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DD83C23C-369D-4D6E-B48B-BCD91B85375F}" xr6:coauthVersionLast="34" xr6:coauthVersionMax="34" xr10:uidLastSave="{00000000-0000-0000-0000-000000000000}"/>
  <bookViews>
    <workbookView xWindow="0" yWindow="0" windowWidth="28800" windowHeight="12210" tabRatio="915" activeTab="6" xr2:uid="{00000000-000D-0000-FFFF-FFFF00000000}"/>
  </bookViews>
  <sheets>
    <sheet name="LICENSE" sheetId="15" r:id="rId1"/>
    <sheet name="Setup" sheetId="1" r:id="rId2"/>
    <sheet name="Define Portfolios" sheetId="4" r:id="rId3"/>
    <sheet name="Add Trades On Security" sheetId="8" r:id="rId4"/>
    <sheet name="Master Trades View" sheetId="10" r:id="rId5"/>
    <sheet name="Master Holdings View" sheetId="11" r:id="rId6"/>
    <sheet name="Reconciliation" sheetId="16" r:id="rId7"/>
  </sheets>
  <functionGroups builtInGroupCount="19"/>
  <definedNames>
    <definedName name="AddTradesPortfolioId1">'Add Trades On Security'!$D$11</definedName>
    <definedName name="AddTradesPortfolioId2">'Add Trades On Security'!$D$18</definedName>
    <definedName name="AddTradesResults1">'Add Trades On Security'!$Y$11:$Y$16</definedName>
    <definedName name="AddTradesResults2">'Add Trades On Security'!$Y$18:$Y$23</definedName>
    <definedName name="AddTradesSelection">'Add Trades On Security'!$F$11:$X$16</definedName>
    <definedName name="AddTradesSelectionEq">'Add Trades On Security'!$F$18:$X$23</definedName>
    <definedName name="AddTradesSelectionTopLevel">'Add Trades On Security'!$F$11:$X$16</definedName>
    <definedName name="CreatePortfolio">'Define Portfolios'!$C$14:$G$41</definedName>
    <definedName name="EffectiveDate">Setup!$M$33</definedName>
    <definedName name="FAPortfolio">'Define Portfolios'!$C$16:$G$16</definedName>
    <definedName name="FAScope">Setup!$M$33</definedName>
    <definedName name="fbnPortfoliosAdd_Template_ref" localSheetId="2">'Define Portfolios'!$C$14:$H$14</definedName>
    <definedName name="fbnReconcileParameters_Template_ref" localSheetId="6">Reconciliation!$B$11:$C$19</definedName>
    <definedName name="fbnTradesAdd_Template_ref" localSheetId="3">'Add Trades On Security'!$F$11:$V$11</definedName>
    <definedName name="GetTradesPortfolioId">'Master Trades View'!$F$10</definedName>
    <definedName name="HoldingsAsOfDate">'Master Holdings View'!$H$11</definedName>
    <definedName name="HoldingsPortfolioId">'Master Holdings View'!$H$10</definedName>
    <definedName name="MasterHoldingsUpdateView">'Master Holdings View'!$B$18:$M$32</definedName>
    <definedName name="MasterTradesUpdateView">'Master Trades View'!$C$19:$S$49</definedName>
    <definedName name="OfficialPortfolio">'Define Portfolios'!$C$15:$G$15</definedName>
    <definedName name="PortfoliosCreatedResults">'Define Portfolios'!$I$15:$I$41</definedName>
    <definedName name="RawSecuritiesRange">Setup!$B$14:$B$43</definedName>
    <definedName name="Scope">Setup!$M$32</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16" l="1"/>
  <c r="B21" i="16" a="1"/>
  <c r="D14" i="1" a="1"/>
  <c r="C16" i="16" l="1"/>
  <c r="S15" i="8"/>
  <c r="S14" i="8"/>
  <c r="D18" i="8"/>
  <c r="D11" i="8"/>
  <c r="D14" i="1"/>
  <c r="D16" i="1"/>
  <c r="D18" i="1"/>
  <c r="D20" i="1"/>
  <c r="D29" i="16"/>
  <c r="D24" i="16"/>
  <c r="C22" i="16"/>
  <c r="D22" i="16"/>
  <c r="D25" i="16"/>
  <c r="D22" i="1"/>
  <c r="D24" i="1"/>
  <c r="D26" i="1"/>
  <c r="D28" i="1"/>
  <c r="B28" i="16"/>
  <c r="B26" i="16"/>
  <c r="B24" i="16"/>
  <c r="D27" i="1"/>
  <c r="B23" i="16"/>
  <c r="D30" i="1"/>
  <c r="D32" i="1"/>
  <c r="D34" i="1"/>
  <c r="D36" i="1"/>
  <c r="C23" i="16"/>
  <c r="D26" i="16"/>
  <c r="D21" i="16"/>
  <c r="D25" i="1"/>
  <c r="C21" i="16"/>
  <c r="D38" i="1"/>
  <c r="D40" i="1"/>
  <c r="D42" i="1"/>
  <c r="D21" i="1"/>
  <c r="D23" i="16"/>
  <c r="C27" i="16"/>
  <c r="D28" i="16"/>
  <c r="B25" i="16"/>
  <c r="D37" i="1"/>
  <c r="C26" i="16"/>
  <c r="D15" i="1"/>
  <c r="D17" i="1"/>
  <c r="D19" i="1"/>
  <c r="D29" i="1"/>
  <c r="B27" i="16"/>
  <c r="B21" i="16"/>
  <c r="D27" i="16"/>
  <c r="C24" i="16"/>
  <c r="B29" i="16"/>
  <c r="C29" i="16"/>
  <c r="D23" i="1"/>
  <c r="D31" i="1"/>
  <c r="D33" i="1"/>
  <c r="D35" i="1"/>
  <c r="C28" i="16"/>
  <c r="B22" i="16"/>
  <c r="C25" i="16"/>
  <c r="D39" i="1"/>
  <c r="D41" i="1"/>
  <c r="D43" i="1"/>
  <c r="S13" i="8" l="1"/>
  <c r="S12" i="8"/>
  <c r="S19" i="8"/>
  <c r="I20" i="8"/>
  <c r="S20" i="8"/>
  <c r="I21" i="8"/>
  <c r="S21" i="8"/>
  <c r="I22" i="8"/>
  <c r="S22" i="8"/>
  <c r="I23" i="8"/>
  <c r="S23" i="8"/>
  <c r="H11" i="11" l="1"/>
  <c r="G23" i="8" l="1"/>
  <c r="G15" i="8"/>
  <c r="G13" i="8"/>
  <c r="G21" i="8"/>
  <c r="G14" i="8"/>
  <c r="G22" i="8"/>
  <c r="G20" i="8"/>
</calcChain>
</file>

<file path=xl/sharedStrings.xml><?xml version="1.0" encoding="utf-8"?>
<sst xmlns="http://schemas.openxmlformats.org/spreadsheetml/2006/main" count="201" uniqueCount="94">
  <si>
    <t>Name</t>
  </si>
  <si>
    <t>Results</t>
  </si>
  <si>
    <t>Code</t>
  </si>
  <si>
    <t>Date Created</t>
  </si>
  <si>
    <t>Base Currency</t>
  </si>
  <si>
    <t>Created Portfolio Unique Identifiers</t>
  </si>
  <si>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</si>
  <si>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</si>
  <si>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</si>
  <si>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</si>
  <si>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</si>
  <si>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</si>
  <si>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Scope:</t>
  </si>
  <si>
    <t>Corporate Action Source</t>
  </si>
  <si>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</si>
  <si>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</si>
  <si>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</si>
  <si>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</si>
  <si>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</si>
  <si>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</si>
  <si>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</si>
  <si>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</si>
  <si>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</si>
  <si>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</si>
  <si>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</si>
  <si>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</si>
  <si>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</si>
  <si>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</si>
  <si>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</si>
  <si>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</si>
  <si>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</si>
  <si>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</si>
  <si>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</si>
  <si>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</si>
  <si>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</si>
  <si>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</si>
  <si>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Client</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</si>
  <si>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</si>
  <si>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</si>
  <si>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</si>
  <si>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</si>
  <si>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Buy</t>
  </si>
  <si>
    <t>These are your current holdings in Lusid</t>
  </si>
  <si>
    <t xml:space="preserve">As Of: </t>
  </si>
  <si>
    <t>TradeId1</t>
  </si>
  <si>
    <t>TradeId2</t>
  </si>
  <si>
    <t>TradeId3</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</si>
  <si>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</si>
  <si>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</si>
  <si>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</si>
  <si>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</si>
  <si>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</si>
  <si>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</si>
  <si>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</si>
  <si>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</si>
  <si>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Top Level Portfolio</t>
  </si>
  <si>
    <t>Equities Portfolio</t>
  </si>
  <si>
    <t>CCY_GBP</t>
  </si>
  <si>
    <t>Portfolio:</t>
  </si>
  <si>
    <t>GB00BH4HKS39</t>
  </si>
  <si>
    <t>US5949181045</t>
  </si>
  <si>
    <t>US02079K3059</t>
  </si>
  <si>
    <t>GB0031348658</t>
  </si>
  <si>
    <t>IE00B1FZS806</t>
  </si>
  <si>
    <t>IE00B14X4Q57</t>
  </si>
  <si>
    <t>US4642874576</t>
  </si>
  <si>
    <t>US4642874402</t>
  </si>
  <si>
    <t>TradeId4</t>
  </si>
  <si>
    <t>TradeId5</t>
  </si>
  <si>
    <t>1) Enter portfolio id</t>
  </si>
  <si>
    <t>Price</t>
  </si>
  <si>
    <t>Demo Portfolio</t>
  </si>
  <si>
    <t>Demo Portfolio - FA</t>
  </si>
  <si>
    <t>Perform a reconciliation between the portfolios</t>
  </si>
  <si>
    <t>LeftScope</t>
  </si>
  <si>
    <t>LeftCode</t>
  </si>
  <si>
    <t>LeftEffectiveAt</t>
  </si>
  <si>
    <t>LeftAsAt</t>
  </si>
  <si>
    <t>RightScope</t>
  </si>
  <si>
    <t>RightCode</t>
  </si>
  <si>
    <t>RightEffectiveAt</t>
  </si>
  <si>
    <t>RightAsAt</t>
  </si>
  <si>
    <t>1) Setup Portfolio details</t>
  </si>
  <si>
    <t>2) Create portfolios in LUSID</t>
  </si>
  <si>
    <t>Some colours appear in the template and have specific meanings to aid the user. See the colour legend below</t>
  </si>
  <si>
    <t>This spreadsheet demonstrates a simple reconciliation between two portfolios</t>
  </si>
  <si>
    <t>To create portfolios, define their details below and press "Create Portfolio" button.</t>
  </si>
  <si>
    <r>
      <rPr>
        <b/>
        <sz val="11"/>
        <color rgb="FF9C5700"/>
        <rFont val="Calibri"/>
        <family val="2"/>
        <scheme val="minor"/>
      </rPr>
      <t xml:space="preserve">1) </t>
    </r>
    <r>
      <rPr>
        <sz val="11"/>
        <color rgb="FF9C5700"/>
        <rFont val="Calibri"/>
        <family val="2"/>
        <scheme val="minor"/>
      </rPr>
      <t>Create trades for the first portfolio</t>
    </r>
  </si>
  <si>
    <r>
      <rPr>
        <b/>
        <sz val="11"/>
        <color rgb="FF9C5700"/>
        <rFont val="Calibri"/>
        <family val="2"/>
        <scheme val="minor"/>
      </rPr>
      <t xml:space="preserve">2) </t>
    </r>
    <r>
      <rPr>
        <sz val="11"/>
        <color rgb="FF9C5700"/>
        <rFont val="Calibri"/>
        <family val="2"/>
        <scheme val="minor"/>
      </rPr>
      <t>Create trades for the second portfolio</t>
    </r>
  </si>
  <si>
    <t>To upload trades to the portfolios, enter them here and click the 'Create Trades' buttons</t>
  </si>
  <si>
    <t>Enter the reconciliation parameters here, and the reconciliation results will appear automatically below</t>
  </si>
  <si>
    <t>Isin</t>
  </si>
  <si>
    <t>Examp2le</t>
  </si>
  <si>
    <t>FundsIn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</si>
</sst>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2" x14ac:knownFonts="1">
    <font>
      <sz val="11"/>
      <color theme="1"/>
      <name val="Calibri"/>
      <family val="2"/>
      <scheme val="minor"/>
    </font>
    <font>
      <sz val="11"/>
      <color theme="1"/>
      <name val="Calibri"/>
      <family val="2"/>
      <scheme val="minor"/>
    </font>
    <font>
      <sz val="11"/>
      <color rgb="FF9C57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sz val="18"/>
      <color theme="1"/>
      <name val="Calibri"/>
      <family val="2"/>
      <scheme val="minor"/>
    </font>
  </fonts>
  <fills count="14">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theme="6" tint="0.39997558519241921"/>
        <bgColor indexed="65"/>
      </patternFill>
    </fill>
  </fills>
  <borders count="25">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s>
  <cellStyleXfs count="10">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4" fillId="0" borderId="1" applyNumberFormat="0" applyFill="0" applyAlignment="0" applyProtection="0"/>
    <xf numFmtId="0" fontId="1" fillId="8" borderId="8" applyNumberFormat="0" applyFont="0" applyAlignment="0" applyProtection="0"/>
    <xf numFmtId="0" fontId="1" fillId="9" borderId="0" applyNumberFormat="0" applyBorder="0" applyAlignment="0" applyProtection="0"/>
    <xf numFmtId="0" fontId="1" fillId="13" borderId="0" applyNumberFormat="0" applyBorder="0" applyAlignment="0" applyProtection="0"/>
    <xf numFmtId="43" fontId="1" fillId="0" borderId="0" applyFont="0" applyFill="0" applyBorder="0" applyAlignment="0" applyProtection="0"/>
  </cellStyleXfs>
  <cellXfs count="182">
    <xf numFmtId="0" fontId="0" fillId="0" borderId="0" xfId="0"/>
    <xf numFmtId="0" fontId="0" fillId="0" borderId="0" xfId="0" applyFill="1"/>
    <xf numFmtId="0" fontId="2" fillId="0" borderId="0" xfId="1" applyFill="1"/>
    <xf numFmtId="0" fontId="0" fillId="0" borderId="0" xfId="6" applyFont="1" applyFill="1" applyBorder="1" applyAlignment="1">
      <alignment vertical="center"/>
    </xf>
    <xf numFmtId="0" fontId="0" fillId="0" borderId="0" xfId="0" applyFill="1" applyBorder="1"/>
    <xf numFmtId="0" fontId="4" fillId="3" borderId="15" xfId="5" applyFill="1" applyBorder="1"/>
    <xf numFmtId="0" fontId="4" fillId="3" borderId="16" xfId="5" applyFill="1" applyBorder="1"/>
    <xf numFmtId="0" fontId="4" fillId="3" borderId="17" xfId="5" applyFill="1" applyBorder="1"/>
    <xf numFmtId="0" fontId="0" fillId="0" borderId="0" xfId="0" applyAlignment="1">
      <alignment wrapText="1"/>
    </xf>
    <xf numFmtId="0" fontId="0" fillId="5" borderId="9"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4" xfId="0" applyBorder="1" applyAlignment="1">
      <alignment horizontal="center"/>
    </xf>
    <xf numFmtId="0" fontId="0" fillId="5" borderId="9" xfId="0" applyFill="1" applyBorder="1"/>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7" fillId="0" borderId="0" xfId="6" applyFont="1" applyFill="1" applyBorder="1" applyAlignment="1">
      <alignment horizontal="center" vertical="center"/>
    </xf>
    <xf numFmtId="0" fontId="1" fillId="0" borderId="2" xfId="7" applyFill="1" applyBorder="1" applyAlignment="1">
      <alignment horizontal="center" vertical="center"/>
    </xf>
    <xf numFmtId="0" fontId="1" fillId="0" borderId="4" xfId="7" applyFill="1" applyBorder="1" applyAlignment="1">
      <alignment horizontal="center" vertical="center"/>
    </xf>
    <xf numFmtId="0" fontId="4" fillId="11" borderId="17" xfId="5" applyFill="1" applyBorder="1"/>
    <xf numFmtId="0" fontId="1" fillId="4" borderId="15" xfId="3" applyBorder="1"/>
    <xf numFmtId="0" fontId="1" fillId="4" borderId="16" xfId="3" applyBorder="1"/>
    <xf numFmtId="0" fontId="1" fillId="0" borderId="0" xfId="7" applyFill="1" applyBorder="1" applyAlignment="1">
      <alignment horizontal="center" vertical="center"/>
    </xf>
    <xf numFmtId="0" fontId="0" fillId="0" borderId="0" xfId="0" applyAlignment="1"/>
    <xf numFmtId="14" fontId="7" fillId="0" borderId="0" xfId="6"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7" fillId="0" borderId="9" xfId="6" applyNumberFormat="1" applyFont="1" applyFill="1" applyBorder="1" applyAlignment="1">
      <alignment horizontal="center" vertical="center"/>
    </xf>
    <xf numFmtId="0" fontId="0" fillId="4" borderId="5" xfId="3" applyFont="1" applyBorder="1"/>
    <xf numFmtId="14" fontId="0" fillId="0" borderId="0" xfId="0" applyNumberFormat="1" applyFill="1" applyBorder="1" applyAlignment="1"/>
    <xf numFmtId="0" fontId="0" fillId="0" borderId="9" xfId="0" applyBorder="1"/>
    <xf numFmtId="0" fontId="0" fillId="11" borderId="5" xfId="0" applyFill="1" applyBorder="1"/>
    <xf numFmtId="0" fontId="0" fillId="11" borderId="7" xfId="0" applyFill="1" applyBorder="1"/>
    <xf numFmtId="0" fontId="0" fillId="12" borderId="6" xfId="0" applyFill="1" applyBorder="1" applyAlignment="1"/>
    <xf numFmtId="14" fontId="1" fillId="4" borderId="24" xfId="3" applyNumberFormat="1" applyBorder="1"/>
    <xf numFmtId="0" fontId="0" fillId="4" borderId="24" xfId="3" applyFont="1" applyBorder="1"/>
    <xf numFmtId="0" fontId="0" fillId="4" borderId="7" xfId="3" applyFont="1" applyBorder="1"/>
    <xf numFmtId="0" fontId="0" fillId="0" borderId="0" xfId="0" applyBorder="1" applyAlignment="1">
      <alignment horizontal="center" vertical="center"/>
    </xf>
    <xf numFmtId="0" fontId="7" fillId="0" borderId="0" xfId="6"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1" fillId="0" borderId="6" xfId="7" applyFill="1" applyBorder="1" applyAlignment="1">
      <alignment horizontal="center" vertical="center"/>
    </xf>
    <xf numFmtId="0" fontId="1" fillId="0" borderId="2" xfId="7" applyFill="1" applyBorder="1" applyAlignment="1">
      <alignment horizontal="center" vertical="center"/>
    </xf>
    <xf numFmtId="0" fontId="1" fillId="0" borderId="4" xfId="7" applyFill="1" applyBorder="1" applyAlignment="1">
      <alignment horizontal="center" vertical="center"/>
    </xf>
    <xf numFmtId="0" fontId="1" fillId="4" borderId="0" xfId="3" applyBorder="1"/>
    <xf numFmtId="14" fontId="1" fillId="4" borderId="0" xfId="3" applyNumberFormat="1" applyBorder="1"/>
    <xf numFmtId="0" fontId="1" fillId="4" borderId="24" xfId="3" applyBorder="1"/>
    <xf numFmtId="0" fontId="1" fillId="0" borderId="0" xfId="7"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0" fillId="12" borderId="4" xfId="0" applyFill="1" applyBorder="1" applyAlignment="1"/>
    <xf numFmtId="0" fontId="2" fillId="0" borderId="0" xfId="1" applyFill="1" applyBorder="1" applyAlignment="1">
      <alignment vertical="center"/>
    </xf>
    <xf numFmtId="0" fontId="1" fillId="13" borderId="20" xfId="8" applyBorder="1"/>
    <xf numFmtId="0" fontId="4" fillId="11" borderId="5" xfId="0" applyFont="1" applyFill="1" applyBorder="1" applyAlignment="1"/>
    <xf numFmtId="0" fontId="9" fillId="0" borderId="0" xfId="0" applyFont="1" applyAlignment="1">
      <alignment wrapText="1"/>
    </xf>
    <xf numFmtId="0" fontId="10" fillId="0" borderId="0" xfId="0" applyFont="1" applyAlignment="1">
      <alignment wrapText="1"/>
    </xf>
    <xf numFmtId="14" fontId="1" fillId="3" borderId="0" xfId="2" applyNumberFormat="1" applyFont="1" applyBorder="1" applyProtection="1">
      <protection locked="0"/>
    </xf>
    <xf numFmtId="0" fontId="1" fillId="3" borderId="5" xfId="2" applyFont="1" applyBorder="1" applyProtection="1">
      <protection locked="0"/>
    </xf>
    <xf numFmtId="0" fontId="7" fillId="0" borderId="18" xfId="6" applyFont="1" applyFill="1" applyBorder="1" applyAlignment="1">
      <alignment horizontal="center" vertical="center"/>
    </xf>
    <xf numFmtId="0" fontId="0" fillId="3" borderId="9" xfId="2" applyFont="1" applyBorder="1" applyProtection="1">
      <protection locked="0"/>
    </xf>
    <xf numFmtId="43" fontId="1" fillId="4" borderId="0" xfId="3" applyNumberFormat="1" applyBorder="1"/>
    <xf numFmtId="43" fontId="1" fillId="4" borderId="24" xfId="3" applyNumberFormat="1" applyBorder="1"/>
    <xf numFmtId="0" fontId="0" fillId="0" borderId="0" xfId="0"/>
    <xf numFmtId="0" fontId="2" fillId="2" borderId="3" xfId="1" applyBorder="1" applyAlignment="1">
      <alignment vertical="center"/>
    </xf>
    <xf numFmtId="0" fontId="2" fillId="2" borderId="5" xfId="1" applyBorder="1" applyAlignment="1">
      <alignment vertical="center"/>
    </xf>
    <xf numFmtId="0" fontId="2" fillId="2" borderId="7" xfId="1" applyBorder="1" applyAlignment="1">
      <alignment vertical="center"/>
    </xf>
    <xf numFmtId="0" fontId="2" fillId="2" borderId="9" xfId="1" applyBorder="1" applyAlignment="1">
      <alignment horizontal="left"/>
    </xf>
    <xf numFmtId="0" fontId="0" fillId="8" borderId="9" xfId="6" applyFont="1" applyBorder="1" applyAlignment="1">
      <alignment horizontal="left" wrapText="1"/>
    </xf>
    <xf numFmtId="0" fontId="1" fillId="3" borderId="9" xfId="2" applyBorder="1" applyAlignment="1">
      <alignment horizontal="left"/>
    </xf>
    <xf numFmtId="0" fontId="1" fillId="6" borderId="9" xfId="4" applyBorder="1" applyAlignment="1">
      <alignment horizontal="left"/>
    </xf>
    <xf numFmtId="0" fontId="1" fillId="3" borderId="3" xfId="2" applyBorder="1" applyAlignment="1">
      <alignment horizontal="left"/>
    </xf>
    <xf numFmtId="0" fontId="1" fillId="3" borderId="13" xfId="2" applyBorder="1" applyAlignment="1">
      <alignment horizontal="left"/>
    </xf>
    <xf numFmtId="0" fontId="1" fillId="3" borderId="14" xfId="2" applyBorder="1" applyAlignment="1">
      <alignment horizontal="left"/>
    </xf>
    <xf numFmtId="14" fontId="1" fillId="3" borderId="5" xfId="2" applyNumberFormat="1" applyBorder="1" applyAlignment="1">
      <alignment horizontal="left"/>
    </xf>
    <xf numFmtId="14" fontId="1" fillId="3" borderId="7" xfId="2" applyNumberFormat="1" applyBorder="1" applyAlignment="1">
      <alignment horizontal="left"/>
    </xf>
    <xf numFmtId="0" fontId="1" fillId="3" borderId="12" xfId="2" applyBorder="1" applyAlignment="1">
      <alignment horizontal="left"/>
    </xf>
    <xf numFmtId="0" fontId="0" fillId="3" borderId="5" xfId="2" applyFont="1" applyBorder="1" applyAlignment="1">
      <alignment horizontal="left"/>
    </xf>
    <xf numFmtId="14" fontId="0" fillId="3" borderId="5" xfId="2" applyNumberFormat="1" applyFont="1" applyBorder="1" applyAlignment="1">
      <alignment horizontal="left"/>
    </xf>
    <xf numFmtId="0" fontId="7" fillId="8" borderId="18" xfId="6" applyFont="1" applyBorder="1" applyAlignment="1">
      <alignment horizontal="center" vertical="center" wrapText="1"/>
    </xf>
    <xf numFmtId="14" fontId="0" fillId="4" borderId="0" xfId="3" applyNumberFormat="1" applyFont="1" applyBorder="1"/>
    <xf numFmtId="0" fontId="7" fillId="8" borderId="20" xfId="6" applyFont="1" applyBorder="1" applyAlignment="1">
      <alignment horizontal="center" vertical="center" wrapText="1"/>
    </xf>
    <xf numFmtId="0" fontId="0" fillId="13" borderId="18" xfId="8" applyFont="1" applyBorder="1"/>
    <xf numFmtId="0" fontId="2" fillId="2" borderId="9" xfId="1" applyBorder="1" applyAlignment="1">
      <alignment horizontal="center"/>
    </xf>
    <xf numFmtId="0" fontId="4" fillId="7" borderId="9" xfId="5" applyFill="1" applyBorder="1"/>
    <xf numFmtId="0" fontId="4" fillId="7" borderId="12" xfId="5" applyFill="1" applyBorder="1"/>
    <xf numFmtId="0" fontId="4" fillId="7" borderId="13" xfId="5" applyFill="1" applyBorder="1"/>
    <xf numFmtId="0" fontId="4" fillId="7" borderId="14" xfId="5" applyFill="1" applyBorder="1"/>
    <xf numFmtId="0" fontId="1" fillId="4" borderId="17" xfId="3" applyBorder="1"/>
    <xf numFmtId="0" fontId="4" fillId="0" borderId="0" xfId="0" applyFont="1"/>
    <xf numFmtId="0" fontId="1" fillId="3" borderId="18" xfId="2" applyBorder="1" applyAlignment="1">
      <alignment horizontal="center"/>
    </xf>
    <xf numFmtId="0" fontId="1" fillId="3" borderId="20" xfId="2" applyBorder="1" applyAlignment="1">
      <alignment horizontal="center"/>
    </xf>
    <xf numFmtId="0" fontId="1" fillId="6" borderId="18" xfId="4" applyBorder="1" applyAlignment="1">
      <alignment horizontal="center"/>
    </xf>
    <xf numFmtId="0" fontId="1" fillId="6" borderId="20" xfId="4" applyBorder="1" applyAlignment="1">
      <alignment horizontal="center"/>
    </xf>
    <xf numFmtId="0" fontId="4" fillId="10" borderId="18" xfId="0" applyFont="1" applyFill="1" applyBorder="1" applyAlignment="1">
      <alignment horizontal="center"/>
    </xf>
    <xf numFmtId="0" fontId="4" fillId="10" borderId="19" xfId="0" applyFont="1" applyFill="1" applyBorder="1" applyAlignment="1">
      <alignment horizontal="center"/>
    </xf>
    <xf numFmtId="0" fontId="4" fillId="10" borderId="20" xfId="0" applyFont="1" applyFill="1" applyBorder="1" applyAlignment="1">
      <alignment horizontal="center"/>
    </xf>
    <xf numFmtId="0" fontId="0" fillId="8" borderId="2" xfId="6" applyFont="1" applyBorder="1" applyAlignment="1">
      <alignment horizontal="center" vertical="center" wrapText="1"/>
    </xf>
    <xf numFmtId="0" fontId="0" fillId="8" borderId="10" xfId="6" applyFont="1" applyBorder="1" applyAlignment="1">
      <alignment horizontal="center" vertical="center" wrapText="1"/>
    </xf>
    <xf numFmtId="0" fontId="0" fillId="8" borderId="3" xfId="6" applyFont="1" applyBorder="1" applyAlignment="1">
      <alignment horizontal="center" vertical="center" wrapText="1"/>
    </xf>
    <xf numFmtId="0" fontId="0" fillId="8" borderId="6" xfId="6" applyFont="1" applyBorder="1" applyAlignment="1">
      <alignment horizontal="center" vertical="center" wrapText="1"/>
    </xf>
    <xf numFmtId="0" fontId="0" fillId="8" borderId="11" xfId="6" applyFont="1" applyBorder="1" applyAlignment="1">
      <alignment horizontal="center" vertical="center" wrapText="1"/>
    </xf>
    <xf numFmtId="0" fontId="0" fillId="8" borderId="7" xfId="6" applyFont="1" applyBorder="1" applyAlignment="1">
      <alignment horizontal="center" vertical="center" wrapText="1"/>
    </xf>
    <xf numFmtId="0" fontId="0" fillId="8" borderId="21" xfId="6" applyFont="1" applyBorder="1" applyAlignment="1">
      <alignment horizontal="center"/>
    </xf>
    <xf numFmtId="0" fontId="0" fillId="8" borderId="22" xfId="6" applyFont="1" applyBorder="1" applyAlignment="1">
      <alignment horizontal="center"/>
    </xf>
    <xf numFmtId="0" fontId="0" fillId="8" borderId="23" xfId="6" applyFont="1" applyBorder="1" applyAlignment="1">
      <alignment horizontal="center"/>
    </xf>
    <xf numFmtId="0" fontId="0" fillId="8" borderId="4" xfId="6" applyFont="1" applyBorder="1" applyAlignment="1">
      <alignment horizontal="center" vertical="center" wrapText="1"/>
    </xf>
    <xf numFmtId="0" fontId="0" fillId="8" borderId="0" xfId="6" applyFont="1" applyBorder="1" applyAlignment="1">
      <alignment horizontal="center" vertical="center" wrapText="1"/>
    </xf>
    <xf numFmtId="0" fontId="0" fillId="8" borderId="5" xfId="6" applyFont="1" applyBorder="1" applyAlignment="1">
      <alignment horizontal="center" vertical="center" wrapText="1"/>
    </xf>
    <xf numFmtId="0" fontId="2" fillId="2" borderId="18" xfId="1" applyBorder="1" applyAlignment="1">
      <alignment horizontal="center"/>
    </xf>
    <xf numFmtId="0" fontId="2" fillId="2" borderId="20" xfId="1" applyBorder="1" applyAlignment="1">
      <alignment horizontal="center"/>
    </xf>
    <xf numFmtId="0" fontId="11" fillId="0" borderId="0" xfId="0" applyFont="1" applyAlignment="1">
      <alignment horizontal="center" wrapText="1"/>
    </xf>
    <xf numFmtId="0" fontId="0" fillId="8" borderId="18" xfId="6" applyFont="1" applyBorder="1" applyAlignment="1">
      <alignment horizontal="center" wrapText="1"/>
    </xf>
    <xf numFmtId="0" fontId="0" fillId="8" borderId="20" xfId="6" applyFont="1" applyBorder="1" applyAlignment="1">
      <alignment horizontal="center" wrapText="1"/>
    </xf>
    <xf numFmtId="0" fontId="7" fillId="8" borderId="2" xfId="6" applyFont="1" applyBorder="1" applyAlignment="1">
      <alignment horizontal="center" vertical="center"/>
    </xf>
    <xf numFmtId="0" fontId="7" fillId="8" borderId="10" xfId="6" applyFont="1" applyBorder="1" applyAlignment="1">
      <alignment horizontal="center" vertical="center"/>
    </xf>
    <xf numFmtId="0" fontId="7" fillId="8" borderId="3" xfId="6" applyFont="1" applyBorder="1" applyAlignment="1">
      <alignment horizontal="center" vertical="center"/>
    </xf>
    <xf numFmtId="0" fontId="7" fillId="8" borderId="6" xfId="6" applyFont="1" applyBorder="1" applyAlignment="1">
      <alignment horizontal="center" vertical="center"/>
    </xf>
    <xf numFmtId="0" fontId="7" fillId="8" borderId="24" xfId="6" applyFont="1" applyBorder="1" applyAlignment="1">
      <alignment horizontal="center" vertical="center"/>
    </xf>
    <xf numFmtId="0" fontId="7" fillId="8" borderId="7" xfId="6" applyFont="1" applyBorder="1" applyAlignment="1">
      <alignment horizontal="center" vertical="center"/>
    </xf>
    <xf numFmtId="0" fontId="5" fillId="2" borderId="18" xfId="1" applyFont="1" applyBorder="1" applyAlignment="1">
      <alignment horizontal="center"/>
    </xf>
    <xf numFmtId="0" fontId="5" fillId="2" borderId="19" xfId="1" applyFont="1" applyBorder="1" applyAlignment="1">
      <alignment horizontal="center"/>
    </xf>
    <xf numFmtId="0" fontId="5" fillId="2" borderId="20" xfId="1" applyFont="1" applyBorder="1" applyAlignment="1">
      <alignment horizontal="center"/>
    </xf>
    <xf numFmtId="0" fontId="0" fillId="8" borderId="24" xfId="6" applyFont="1" applyBorder="1" applyAlignment="1">
      <alignment horizontal="center" vertical="center" wrapText="1"/>
    </xf>
    <xf numFmtId="0" fontId="5" fillId="2" borderId="0" xfId="1" applyFont="1" applyAlignment="1">
      <alignment horizontal="left" vertical="top" wrapText="1"/>
    </xf>
    <xf numFmtId="0" fontId="2" fillId="2" borderId="4" xfId="1" applyBorder="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7" xfId="1" applyBorder="1" applyAlignment="1">
      <alignment horizontal="left" vertical="top"/>
    </xf>
    <xf numFmtId="0" fontId="0" fillId="0" borderId="0" xfId="0" applyBorder="1" applyAlignment="1">
      <alignment horizontal="center" vertical="center"/>
    </xf>
    <xf numFmtId="0" fontId="7" fillId="8" borderId="11" xfId="6"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24" xfId="1" applyBorder="1" applyAlignment="1">
      <alignment horizontal="left" vertical="center"/>
    </xf>
    <xf numFmtId="0" fontId="2" fillId="2" borderId="7" xfId="1" applyBorder="1" applyAlignment="1">
      <alignment horizontal="left" vertical="center"/>
    </xf>
    <xf numFmtId="0" fontId="2" fillId="2" borderId="2" xfId="1" applyBorder="1" applyAlignment="1">
      <alignment vertical="center"/>
    </xf>
    <xf numFmtId="0" fontId="2" fillId="2" borderId="10" xfId="1" applyBorder="1" applyAlignment="1">
      <alignment vertical="center"/>
    </xf>
    <xf numFmtId="0" fontId="2" fillId="2" borderId="4" xfId="1" applyBorder="1" applyAlignment="1">
      <alignment vertical="center"/>
    </xf>
    <xf numFmtId="0" fontId="2" fillId="2" borderId="0" xfId="1" applyBorder="1" applyAlignment="1">
      <alignment vertical="center"/>
    </xf>
    <xf numFmtId="0" fontId="2" fillId="2" borderId="6" xfId="1" applyBorder="1" applyAlignment="1">
      <alignment vertical="center"/>
    </xf>
    <xf numFmtId="0" fontId="2" fillId="2" borderId="24" xfId="1" applyBorder="1" applyAlignment="1">
      <alignment vertical="center"/>
    </xf>
    <xf numFmtId="0" fontId="7" fillId="0" borderId="12" xfId="6" applyFont="1" applyFill="1" applyBorder="1" applyAlignment="1">
      <alignment horizontal="center" vertical="center"/>
    </xf>
    <xf numFmtId="0" fontId="7" fillId="0" borderId="13" xfId="6" applyFont="1" applyFill="1" applyBorder="1" applyAlignment="1">
      <alignment horizontal="center" vertical="center"/>
    </xf>
    <xf numFmtId="0" fontId="7" fillId="0" borderId="14" xfId="6" applyFont="1" applyFill="1" applyBorder="1" applyAlignment="1">
      <alignment horizontal="center" vertical="center"/>
    </xf>
    <xf numFmtId="0" fontId="2" fillId="2" borderId="11" xfId="1" applyBorder="1" applyAlignment="1">
      <alignment horizontal="left" vertical="center"/>
    </xf>
    <xf numFmtId="0" fontId="0" fillId="0" borderId="4" xfId="0" applyBorder="1" applyAlignment="1">
      <alignment horizontal="center" vertical="center"/>
    </xf>
    <xf numFmtId="0" fontId="2" fillId="2" borderId="12" xfId="1" applyBorder="1" applyAlignment="1">
      <alignment horizontal="center" vertical="center" wrapText="1"/>
    </xf>
    <xf numFmtId="0" fontId="2" fillId="2" borderId="14" xfId="1" applyBorder="1" applyAlignment="1">
      <alignment horizontal="center" vertical="center" wrapText="1"/>
    </xf>
    <xf numFmtId="0" fontId="7" fillId="8" borderId="18" xfId="6" applyFont="1" applyBorder="1" applyAlignment="1">
      <alignment horizontal="center" vertical="center" wrapText="1"/>
    </xf>
    <xf numFmtId="0" fontId="7" fillId="8" borderId="19" xfId="6" applyFont="1" applyBorder="1" applyAlignment="1">
      <alignment horizontal="center" vertical="center" wrapText="1"/>
    </xf>
    <xf numFmtId="0" fontId="7" fillId="8" borderId="20" xfId="6" applyFont="1" applyBorder="1" applyAlignment="1">
      <alignment horizontal="center" vertical="center" wrapText="1"/>
    </xf>
    <xf numFmtId="0" fontId="7" fillId="8" borderId="2" xfId="6" applyFont="1" applyBorder="1" applyAlignment="1">
      <alignment horizontal="center" vertical="center" wrapText="1"/>
    </xf>
    <xf numFmtId="0" fontId="7" fillId="8" borderId="10" xfId="6" applyFont="1" applyBorder="1" applyAlignment="1">
      <alignment horizontal="center" vertical="center" wrapText="1"/>
    </xf>
    <xf numFmtId="0" fontId="7" fillId="8" borderId="3" xfId="6" applyFont="1" applyBorder="1" applyAlignment="1">
      <alignment horizontal="center" vertical="center" wrapText="1"/>
    </xf>
    <xf numFmtId="0" fontId="7" fillId="8" borderId="4" xfId="6" applyFont="1" applyBorder="1" applyAlignment="1">
      <alignment horizontal="center" vertical="center" wrapText="1"/>
    </xf>
    <xf numFmtId="0" fontId="7" fillId="8" borderId="0" xfId="6" applyFont="1" applyBorder="1" applyAlignment="1">
      <alignment horizontal="center" vertical="center" wrapText="1"/>
    </xf>
    <xf numFmtId="0" fontId="7" fillId="8" borderId="5" xfId="6" applyFont="1" applyBorder="1" applyAlignment="1">
      <alignment horizontal="center" vertical="center" wrapText="1"/>
    </xf>
    <xf numFmtId="0" fontId="7" fillId="8" borderId="24" xfId="6" applyFont="1" applyBorder="1" applyAlignment="1">
      <alignment horizontal="center" vertical="center" wrapText="1"/>
    </xf>
    <xf numFmtId="0" fontId="7" fillId="8" borderId="7" xfId="6" applyFont="1" applyBorder="1" applyAlignment="1">
      <alignment horizontal="center" vertical="center" wrapText="1"/>
    </xf>
    <xf numFmtId="0" fontId="2" fillId="2" borderId="18" xfId="1" applyBorder="1" applyAlignment="1">
      <alignment horizontal="center" vertical="center" wrapText="1"/>
    </xf>
    <xf numFmtId="0" fontId="2" fillId="2" borderId="20" xfId="1" applyBorder="1" applyAlignment="1">
      <alignment horizontal="center" vertical="center" wrapText="1"/>
    </xf>
  </cellXfs>
  <cellStyles count="10">
    <cellStyle name="20% - Accent1" xfId="2" builtinId="30"/>
    <cellStyle name="20% - Accent3" xfId="4" builtinId="38"/>
    <cellStyle name="40% - Accent1" xfId="3" builtinId="31"/>
    <cellStyle name="60% - Accent1" xfId="7" builtinId="32"/>
    <cellStyle name="60% - Accent3" xfId="8" builtinId="40"/>
    <cellStyle name="Comma 2" xfId="9" xr:uid="{00000000-0005-0000-0000-000031000000}"/>
    <cellStyle name="Neutral" xfId="1" builtinId="28"/>
    <cellStyle name="Normal" xfId="0" builtinId="0"/>
    <cellStyle name="Note" xfId="6" builtinId="10"/>
    <cellStyle name="Total" xfId="5"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0492324453504a4a95cbc0a604b30d45">
      <tp>
        <v>-1</v>
        <stp/>
        <stp>03f5bd44-2bad-4e90-ab01-6f8dbc7c016a</stp>
        <tr r="D43" s="1"/>
        <tr r="D41" s="1"/>
        <tr r="D39" s="1"/>
        <tr r="D35" s="1"/>
        <tr r="D33" s="1"/>
        <tr r="D31" s="1"/>
        <tr r="D23" s="1"/>
        <tr r="D29" s="1"/>
        <tr r="D19" s="1"/>
        <tr r="D17" s="1"/>
        <tr r="D15" s="1"/>
        <tr r="D37" s="1"/>
        <tr r="D21" s="1"/>
        <tr r="D42" s="1"/>
        <tr r="D40" s="1"/>
        <tr r="D38" s="1"/>
        <tr r="D25" s="1"/>
        <tr r="D36" s="1"/>
        <tr r="D34" s="1"/>
        <tr r="D32" s="1"/>
        <tr r="D30" s="1"/>
        <tr r="D27" s="1"/>
        <tr r="D28" s="1"/>
        <tr r="D26" s="1"/>
        <tr r="D24" s="1"/>
        <tr r="D22" s="1"/>
        <tr r="D20" s="1"/>
        <tr r="D18" s="1"/>
        <tr r="D16" s="1"/>
        <tr r="D14" s="1"/>
      </tp>
    </main>
    <main first="rtdsrv.0492324453504a4a95cbc0a604b30d45">
      <tp>
        <v>-1</v>
        <stp/>
        <stp>e2c61bee-bfee-4d6f-88c5-f3cf14af85b8</stp>
        <tr r="C25" s="16"/>
        <tr r="B22" s="16"/>
        <tr r="C28" s="16"/>
        <tr r="C29" s="16"/>
        <tr r="B29" s="16"/>
        <tr r="C24" s="16"/>
        <tr r="D27" s="16"/>
        <tr r="B21" s="16"/>
        <tr r="B27" s="16"/>
        <tr r="C26" s="16"/>
        <tr r="B25" s="16"/>
        <tr r="D28" s="16"/>
        <tr r="C27" s="16"/>
        <tr r="D23" s="16"/>
        <tr r="C21" s="16"/>
        <tr r="D21" s="16"/>
        <tr r="D26" s="16"/>
        <tr r="C23" s="16"/>
        <tr r="B23" s="16"/>
        <tr r="B24" s="16"/>
        <tr r="B26" s="16"/>
        <tr r="B28" s="16"/>
        <tr r="D25" s="16"/>
        <tr r="D22" s="16"/>
        <tr r="C22" s="16"/>
        <tr r="D24" s="16"/>
        <tr r="D29" s="16"/>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6</xdr:row>
      <xdr:rowOff>73819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371475</xdr:colOff>
          <xdr:row>23</xdr:row>
          <xdr:rowOff>9525</xdr:rowOff>
        </xdr:from>
        <xdr:to>
          <xdr:col>11</xdr:col>
          <xdr:colOff>238125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Portfolios</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13</xdr:row>
          <xdr:rowOff>76200</xdr:rowOff>
        </xdr:from>
        <xdr:to>
          <xdr:col>3</xdr:col>
          <xdr:colOff>323850</xdr:colOff>
          <xdr:row>15</xdr:row>
          <xdr:rowOff>9525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161925</xdr:colOff>
          <xdr:row>20</xdr:row>
          <xdr:rowOff>76200</xdr:rowOff>
        </xdr:from>
        <xdr:to>
          <xdr:col>3</xdr:col>
          <xdr:colOff>323850</xdr:colOff>
          <xdr:row>22</xdr:row>
          <xdr:rowOff>9525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95250</xdr:rowOff>
        </xdr:from>
        <xdr:to>
          <xdr:col>5</xdr:col>
          <xdr:colOff>857250</xdr:colOff>
          <xdr:row>15</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749332</xdr:colOff>
      <xdr:row>5</xdr:row>
      <xdr:rowOff>100635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13</xdr:row>
          <xdr:rowOff>76200</xdr:rowOff>
        </xdr:from>
        <xdr:to>
          <xdr:col>6</xdr:col>
          <xdr:colOff>990600</xdr:colOff>
          <xdr:row>14</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356767</xdr:colOff>
      <xdr:row>5</xdr:row>
      <xdr:rowOff>46206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1</xdr:row>
      <xdr:rowOff>19050</xdr:rowOff>
    </xdr:from>
    <xdr:to>
      <xdr:col>2</xdr:col>
      <xdr:colOff>1170134</xdr:colOff>
      <xdr:row>5</xdr:row>
      <xdr:rowOff>1148</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209550"/>
          <a:ext cx="2484584" cy="74409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morningstar.co.uk/uk/etf/snapshot/snapshot.aspx?id=0P00002DB3" TargetMode="External"/><Relationship Id="rId1" Type="http://schemas.openxmlformats.org/officeDocument/2006/relationships/hyperlink" Target="http://www.morningstar.co.uk/uk/etf/snapshot/snapshot.aspx?id=0P00002DB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3"/>
  <dimension ref="B3:B9"/>
  <sheetViews>
    <sheetView workbookViewId="0">
      <selection activeCell="B5" sqref="B5"/>
    </sheetView>
  </sheetViews>
  <sheetFormatPr defaultRowHeight="15" x14ac:dyDescent="0.25"/>
  <cols>
    <col min="2" max="2" width="104" style="8" customWidth="1"/>
  </cols>
  <sheetData>
    <row r="3" spans="2:2" ht="21" x14ac:dyDescent="0.35">
      <c r="B3" s="71" t="s">
        <v>49</v>
      </c>
    </row>
    <row r="4" spans="2:2" ht="21" x14ac:dyDescent="0.35">
      <c r="B4" s="72"/>
    </row>
    <row r="5" spans="2:2" ht="126" x14ac:dyDescent="0.35">
      <c r="B5" s="72" t="s">
        <v>50</v>
      </c>
    </row>
    <row r="6" spans="2:2" ht="21" x14ac:dyDescent="0.35">
      <c r="B6" s="72"/>
    </row>
    <row r="7" spans="2:2" ht="42" x14ac:dyDescent="0.35">
      <c r="B7" s="72" t="s">
        <v>51</v>
      </c>
    </row>
    <row r="8" spans="2:2" ht="21" x14ac:dyDescent="0.35">
      <c r="B8" s="72"/>
    </row>
    <row r="9" spans="2:2" ht="168" x14ac:dyDescent="0.35">
      <c r="B9" s="72" t="s">
        <v>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U43"/>
  <sheetViews>
    <sheetView zoomScale="80" zoomScaleNormal="80" workbookViewId="0">
      <selection activeCell="M33" sqref="M33"/>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 min="14" max="14" width="4.85546875" customWidth="1"/>
  </cols>
  <sheetData>
    <row r="3" spans="2:21" ht="48.75" customHeight="1" x14ac:dyDescent="0.35">
      <c r="F3" s="127" t="s">
        <v>85</v>
      </c>
      <c r="G3" s="127"/>
      <c r="H3" s="127"/>
      <c r="I3" s="127"/>
      <c r="J3" s="127"/>
      <c r="K3" s="127"/>
      <c r="L3" s="127"/>
    </row>
    <row r="11" spans="2:21" x14ac:dyDescent="0.25">
      <c r="B11" s="119" t="s">
        <v>39</v>
      </c>
      <c r="C11" s="120"/>
      <c r="D11" s="120"/>
      <c r="E11" s="121"/>
    </row>
    <row r="13" spans="2:21" x14ac:dyDescent="0.25">
      <c r="B13" s="9" t="s">
        <v>91</v>
      </c>
      <c r="C13" s="1"/>
      <c r="D13" s="98" t="s">
        <v>15</v>
      </c>
      <c r="E13" s="69"/>
    </row>
    <row r="14" spans="2:21" x14ac:dyDescent="0.25">
      <c r="B14" s="10" t="s">
        <v>59</v>
      </c>
      <c r="D14" s="53" t="str">
        <f t="array" ref="D14:D43">_xll.fbnSecurityLookupUid(B13,RawSecuritiesRange)</f>
        <v>FIGI_BBG00J9VKM45</v>
      </c>
      <c r="E14" s="52"/>
    </row>
    <row r="15" spans="2:21" ht="15" customHeight="1" x14ac:dyDescent="0.25">
      <c r="B15" s="10" t="s">
        <v>60</v>
      </c>
      <c r="D15" s="53" t="str">
        <v>FIGI_BBG00KD95HL5</v>
      </c>
      <c r="E15" s="52"/>
      <c r="L15" s="113" t="s">
        <v>11</v>
      </c>
      <c r="M15" s="114"/>
      <c r="N15" s="114"/>
      <c r="O15" s="114"/>
      <c r="P15" s="114"/>
      <c r="Q15" s="114"/>
      <c r="R15" s="114"/>
      <c r="S15" s="114"/>
      <c r="T15" s="114"/>
      <c r="U15" s="115"/>
    </row>
    <row r="16" spans="2:21" x14ac:dyDescent="0.25">
      <c r="B16" s="10" t="s">
        <v>61</v>
      </c>
      <c r="D16" s="53" t="str">
        <v>FIGI_BBG00JX0QJK9</v>
      </c>
      <c r="E16" s="52"/>
      <c r="L16" s="122"/>
      <c r="M16" s="123"/>
      <c r="N16" s="123"/>
      <c r="O16" s="123"/>
      <c r="P16" s="123"/>
      <c r="Q16" s="123"/>
      <c r="R16" s="123"/>
      <c r="S16" s="123"/>
      <c r="T16" s="123"/>
      <c r="U16" s="124"/>
    </row>
    <row r="17" spans="2:21" x14ac:dyDescent="0.25">
      <c r="B17" s="10" t="s">
        <v>62</v>
      </c>
      <c r="D17" s="53" t="str">
        <v>FIGI_BBG00KNV3VD5</v>
      </c>
      <c r="E17" s="52"/>
      <c r="L17" s="116"/>
      <c r="M17" s="117"/>
      <c r="N17" s="117"/>
      <c r="O17" s="117"/>
      <c r="P17" s="117"/>
      <c r="Q17" s="117"/>
      <c r="R17" s="117"/>
      <c r="S17" s="117"/>
      <c r="T17" s="117"/>
      <c r="U17" s="118"/>
    </row>
    <row r="18" spans="2:21" x14ac:dyDescent="0.25">
      <c r="B18" s="10" t="s">
        <v>64</v>
      </c>
      <c r="D18" s="53" t="str">
        <v>FIGI_BBG00KX71FP1</v>
      </c>
      <c r="E18" s="52"/>
    </row>
    <row r="19" spans="2:21" x14ac:dyDescent="0.25">
      <c r="B19" s="10" t="s">
        <v>63</v>
      </c>
      <c r="D19" s="53" t="str">
        <v>FIGI_BBG00FGY2H95</v>
      </c>
      <c r="E19" s="52"/>
    </row>
    <row r="20" spans="2:21" x14ac:dyDescent="0.25">
      <c r="B20" s="10" t="s">
        <v>65</v>
      </c>
      <c r="D20" s="53" t="str">
        <v>FIGI_BBG00K9XGG91</v>
      </c>
      <c r="E20" s="52"/>
      <c r="L20" s="113" t="s">
        <v>84</v>
      </c>
      <c r="M20" s="114"/>
      <c r="N20" s="114"/>
      <c r="O20" s="114"/>
      <c r="P20" s="114"/>
      <c r="Q20" s="114"/>
      <c r="R20" s="114"/>
      <c r="S20" s="114"/>
      <c r="T20" s="114"/>
      <c r="U20" s="115"/>
    </row>
    <row r="21" spans="2:21" x14ac:dyDescent="0.25">
      <c r="B21" s="10" t="s">
        <v>66</v>
      </c>
      <c r="D21" s="53" t="str">
        <v>FIGI_BBG00K25MJW0</v>
      </c>
      <c r="E21" s="52"/>
      <c r="L21" s="116"/>
      <c r="M21" s="117"/>
      <c r="N21" s="117"/>
      <c r="O21" s="117"/>
      <c r="P21" s="117"/>
      <c r="Q21" s="117"/>
      <c r="R21" s="117"/>
      <c r="S21" s="117"/>
      <c r="T21" s="117"/>
      <c r="U21" s="118"/>
    </row>
    <row r="22" spans="2:21" x14ac:dyDescent="0.25">
      <c r="B22" s="10"/>
      <c r="D22" s="53">
        <v>0</v>
      </c>
      <c r="E22" s="52"/>
    </row>
    <row r="23" spans="2:21" x14ac:dyDescent="0.25">
      <c r="B23" s="10"/>
      <c r="D23" s="53">
        <v>0</v>
      </c>
      <c r="E23" s="52"/>
      <c r="L23" s="110" t="s">
        <v>7</v>
      </c>
      <c r="M23" s="111"/>
      <c r="N23" s="112"/>
      <c r="O23" s="79"/>
    </row>
    <row r="24" spans="2:21" x14ac:dyDescent="0.25">
      <c r="B24" s="10"/>
      <c r="D24" s="53">
        <v>0</v>
      </c>
      <c r="E24" s="52"/>
      <c r="L24" s="125" t="s">
        <v>9</v>
      </c>
      <c r="M24" s="126"/>
      <c r="N24" s="83"/>
      <c r="O24" s="79"/>
      <c r="P24" s="79"/>
      <c r="Q24" s="79"/>
      <c r="R24" s="79"/>
      <c r="S24" s="79"/>
      <c r="T24" s="79"/>
    </row>
    <row r="25" spans="2:21" x14ac:dyDescent="0.25">
      <c r="B25" s="10"/>
      <c r="D25" s="53">
        <v>0</v>
      </c>
      <c r="E25" s="52"/>
      <c r="L25" s="128" t="s">
        <v>8</v>
      </c>
      <c r="M25" s="129"/>
      <c r="N25" s="84"/>
      <c r="O25" s="79"/>
      <c r="P25" s="79"/>
      <c r="Q25" s="79"/>
      <c r="R25" s="79"/>
      <c r="S25" s="79"/>
      <c r="T25" s="79"/>
    </row>
    <row r="26" spans="2:21" x14ac:dyDescent="0.25">
      <c r="B26" s="10"/>
      <c r="D26" s="53">
        <v>0</v>
      </c>
      <c r="E26" s="52"/>
      <c r="L26" s="106" t="s">
        <v>6</v>
      </c>
      <c r="M26" s="107"/>
      <c r="N26" s="85"/>
      <c r="O26" s="79"/>
      <c r="P26" s="79"/>
      <c r="Q26" s="79"/>
      <c r="R26" s="79"/>
      <c r="S26" s="79"/>
      <c r="T26" s="79"/>
    </row>
    <row r="27" spans="2:21" x14ac:dyDescent="0.25">
      <c r="B27" s="10"/>
      <c r="D27" s="53">
        <v>0</v>
      </c>
      <c r="E27" s="52"/>
      <c r="L27" s="108" t="s">
        <v>10</v>
      </c>
      <c r="M27" s="109"/>
      <c r="N27" s="86"/>
      <c r="O27" s="79"/>
      <c r="P27" s="79"/>
      <c r="Q27" s="79"/>
      <c r="R27" s="79"/>
      <c r="S27" s="79"/>
      <c r="T27" s="79"/>
    </row>
    <row r="28" spans="2:21" x14ac:dyDescent="0.25">
      <c r="B28" s="10"/>
      <c r="D28" s="53">
        <v>0</v>
      </c>
      <c r="E28" s="52"/>
      <c r="L28" s="4"/>
      <c r="M28" s="4"/>
      <c r="N28" s="79"/>
      <c r="O28" s="79"/>
      <c r="P28" s="79"/>
      <c r="Q28" s="79"/>
      <c r="R28" s="79"/>
      <c r="S28" s="79"/>
      <c r="T28" s="79"/>
    </row>
    <row r="29" spans="2:21" x14ac:dyDescent="0.25">
      <c r="B29" s="10"/>
      <c r="D29" s="53">
        <v>0</v>
      </c>
      <c r="E29" s="52"/>
      <c r="L29" s="4"/>
      <c r="M29" s="4"/>
      <c r="N29" s="79"/>
      <c r="O29" s="79"/>
      <c r="P29" s="79"/>
      <c r="Q29" s="79"/>
      <c r="R29" s="79"/>
      <c r="S29" s="79"/>
      <c r="T29" s="79"/>
    </row>
    <row r="30" spans="2:21" x14ac:dyDescent="0.25">
      <c r="B30" s="10"/>
      <c r="D30" s="53">
        <v>0</v>
      </c>
      <c r="E30" s="52"/>
      <c r="L30" s="4"/>
      <c r="M30" s="4"/>
      <c r="N30" s="4"/>
      <c r="O30" s="4"/>
    </row>
    <row r="31" spans="2:21" x14ac:dyDescent="0.25">
      <c r="B31" s="10"/>
      <c r="D31" s="53">
        <v>0</v>
      </c>
      <c r="E31" s="52"/>
      <c r="N31" s="4"/>
      <c r="O31" s="4"/>
    </row>
    <row r="32" spans="2:21" x14ac:dyDescent="0.25">
      <c r="B32" s="10"/>
      <c r="D32" s="53">
        <v>0</v>
      </c>
      <c r="E32" s="52"/>
      <c r="L32" s="13" t="s">
        <v>12</v>
      </c>
      <c r="M32" s="41" t="s">
        <v>92</v>
      </c>
      <c r="N32" s="4"/>
      <c r="O32" s="4"/>
    </row>
    <row r="33" spans="2:15" x14ac:dyDescent="0.25">
      <c r="B33" s="10"/>
      <c r="D33" s="53">
        <v>0</v>
      </c>
      <c r="E33" s="52"/>
      <c r="L33" s="79"/>
      <c r="M33" s="79"/>
      <c r="N33" s="79"/>
      <c r="O33" s="79"/>
    </row>
    <row r="34" spans="2:15" x14ac:dyDescent="0.25">
      <c r="B34" s="10"/>
      <c r="D34" s="53">
        <v>0</v>
      </c>
      <c r="E34" s="52"/>
      <c r="L34" s="79"/>
      <c r="M34" s="79"/>
      <c r="N34" s="79"/>
      <c r="O34" s="79"/>
    </row>
    <row r="35" spans="2:15" x14ac:dyDescent="0.25">
      <c r="B35" s="10"/>
      <c r="D35" s="53">
        <v>0</v>
      </c>
      <c r="E35" s="52"/>
      <c r="L35" s="54"/>
      <c r="M35" s="54"/>
    </row>
    <row r="36" spans="2:15" x14ac:dyDescent="0.25">
      <c r="B36" s="11"/>
      <c r="C36" s="1"/>
      <c r="D36" s="53">
        <v>0</v>
      </c>
      <c r="E36" s="52"/>
      <c r="L36" s="54"/>
      <c r="M36" s="54"/>
    </row>
    <row r="37" spans="2:15" x14ac:dyDescent="0.25">
      <c r="B37" s="10"/>
      <c r="D37" s="53">
        <v>0</v>
      </c>
      <c r="E37" s="52"/>
    </row>
    <row r="38" spans="2:15" x14ac:dyDescent="0.25">
      <c r="B38" s="10"/>
      <c r="D38" s="53">
        <v>0</v>
      </c>
      <c r="E38" s="52"/>
    </row>
    <row r="39" spans="2:15" x14ac:dyDescent="0.25">
      <c r="B39" s="10"/>
      <c r="D39" s="53">
        <v>0</v>
      </c>
      <c r="E39" s="52"/>
    </row>
    <row r="40" spans="2:15" x14ac:dyDescent="0.25">
      <c r="B40" s="10"/>
      <c r="D40" s="53">
        <v>0</v>
      </c>
      <c r="E40" s="52"/>
    </row>
    <row r="41" spans="2:15" x14ac:dyDescent="0.25">
      <c r="B41" s="10"/>
      <c r="D41" s="53">
        <v>0</v>
      </c>
      <c r="E41" s="52"/>
    </row>
    <row r="42" spans="2:15" x14ac:dyDescent="0.25">
      <c r="B42" s="10"/>
      <c r="D42" s="53">
        <v>0</v>
      </c>
      <c r="E42" s="52"/>
    </row>
    <row r="43" spans="2:15" x14ac:dyDescent="0.25">
      <c r="B43" s="12"/>
      <c r="D43" s="51">
        <v>0</v>
      </c>
      <c r="E43" s="50"/>
    </row>
  </sheetData>
  <mergeCells count="9">
    <mergeCell ref="F3:L3"/>
    <mergeCell ref="L25:M25"/>
    <mergeCell ref="L26:M26"/>
    <mergeCell ref="L27:M27"/>
    <mergeCell ref="L23:N23"/>
    <mergeCell ref="L20:U21"/>
    <mergeCell ref="B11:E11"/>
    <mergeCell ref="L15:U17"/>
    <mergeCell ref="L24:M24"/>
  </mergeCells>
  <hyperlinks>
    <hyperlink ref="B20" r:id="rId1" display="http://www.morningstar.co.uk/uk/etf/snapshot/snapshot.aspx?id=0P00002DB4" xr:uid="{1F185B63-1140-429A-96F0-722D2E2BE25C}"/>
    <hyperlink ref="B21" r:id="rId2" display="http://www.morningstar.co.uk/uk/etf/snapshot/snapshot.aspx?id=0P00002DB3" xr:uid="{1527BBB6-C7F8-47CF-A711-5375F0013B57}"/>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L48"/>
  <sheetViews>
    <sheetView topLeftCell="A4" zoomScale="80" zoomScaleNormal="80" workbookViewId="0">
      <selection activeCell="L13" sqref="L13"/>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1" max="11" width="26.5703125" customWidth="1"/>
  </cols>
  <sheetData>
    <row r="8" spans="3:9" x14ac:dyDescent="0.25">
      <c r="C8" s="130" t="s">
        <v>86</v>
      </c>
      <c r="D8" s="131"/>
      <c r="E8" s="131"/>
      <c r="F8" s="131"/>
      <c r="G8" s="131"/>
      <c r="H8" s="131"/>
      <c r="I8" s="132"/>
    </row>
    <row r="9" spans="3:9" x14ac:dyDescent="0.25">
      <c r="C9" s="133"/>
      <c r="D9" s="134"/>
      <c r="E9" s="134"/>
      <c r="F9" s="134"/>
      <c r="G9" s="134"/>
      <c r="H9" s="134"/>
      <c r="I9" s="135"/>
    </row>
    <row r="12" spans="3:9" x14ac:dyDescent="0.25">
      <c r="C12" s="136" t="s">
        <v>82</v>
      </c>
      <c r="D12" s="137"/>
      <c r="E12" s="137"/>
      <c r="F12" s="137"/>
      <c r="G12" s="138"/>
      <c r="I12" s="99" t="s">
        <v>1</v>
      </c>
    </row>
    <row r="14" spans="3:9" ht="15.75" thickBot="1" x14ac:dyDescent="0.3">
      <c r="C14" s="5" t="s">
        <v>2</v>
      </c>
      <c r="D14" s="6" t="s">
        <v>13</v>
      </c>
      <c r="E14" s="6" t="s">
        <v>0</v>
      </c>
      <c r="F14" s="6" t="s">
        <v>3</v>
      </c>
      <c r="G14" s="7" t="s">
        <v>4</v>
      </c>
      <c r="I14" s="100" t="s">
        <v>5</v>
      </c>
    </row>
    <row r="15" spans="3:9" ht="15.75" thickTop="1" x14ac:dyDescent="0.25">
      <c r="C15" s="14" t="s">
        <v>71</v>
      </c>
      <c r="D15" s="15"/>
      <c r="E15" s="16" t="s">
        <v>55</v>
      </c>
      <c r="F15" s="16">
        <v>43252</v>
      </c>
      <c r="G15" s="17" t="s">
        <v>32</v>
      </c>
      <c r="I15" s="101"/>
    </row>
    <row r="16" spans="3:9" x14ac:dyDescent="0.25">
      <c r="C16" s="14" t="s">
        <v>72</v>
      </c>
      <c r="D16" s="15"/>
      <c r="E16" s="16" t="s">
        <v>56</v>
      </c>
      <c r="F16" s="73">
        <v>43252</v>
      </c>
      <c r="G16" s="74" t="s">
        <v>32</v>
      </c>
      <c r="I16" s="102"/>
    </row>
    <row r="17" spans="3:12" x14ac:dyDescent="0.25">
      <c r="C17" s="14"/>
      <c r="D17" s="15"/>
      <c r="E17" s="16"/>
      <c r="F17" s="73"/>
      <c r="G17" s="74"/>
      <c r="I17" s="102"/>
    </row>
    <row r="18" spans="3:12" x14ac:dyDescent="0.25">
      <c r="C18" s="14"/>
      <c r="D18" s="15"/>
      <c r="E18" s="18"/>
      <c r="F18" s="15"/>
      <c r="G18" s="17"/>
      <c r="I18" s="102"/>
    </row>
    <row r="19" spans="3:12" x14ac:dyDescent="0.25">
      <c r="C19" s="14"/>
      <c r="D19" s="15"/>
      <c r="E19" s="18"/>
      <c r="F19" s="15"/>
      <c r="G19" s="17"/>
      <c r="I19" s="102"/>
    </row>
    <row r="20" spans="3:12" x14ac:dyDescent="0.25">
      <c r="C20" s="14"/>
      <c r="D20" s="15"/>
      <c r="E20" s="18"/>
      <c r="F20" s="15"/>
      <c r="G20" s="17"/>
      <c r="I20" s="102"/>
    </row>
    <row r="21" spans="3:12" x14ac:dyDescent="0.25">
      <c r="C21" s="14"/>
      <c r="D21" s="15"/>
      <c r="E21" s="18"/>
      <c r="F21" s="15"/>
      <c r="G21" s="17"/>
      <c r="I21" s="102"/>
    </row>
    <row r="22" spans="3:12" x14ac:dyDescent="0.25">
      <c r="C22" s="14"/>
      <c r="D22" s="15"/>
      <c r="E22" s="18"/>
      <c r="F22" s="15"/>
      <c r="G22" s="17"/>
      <c r="I22" s="102"/>
      <c r="K22" s="140" t="s">
        <v>83</v>
      </c>
      <c r="L22" s="140"/>
    </row>
    <row r="23" spans="3:12" x14ac:dyDescent="0.25">
      <c r="C23" s="14"/>
      <c r="D23" s="15"/>
      <c r="E23" s="18"/>
      <c r="F23" s="15"/>
      <c r="G23" s="17"/>
      <c r="I23" s="102"/>
      <c r="K23" s="140"/>
      <c r="L23" s="140"/>
    </row>
    <row r="24" spans="3:12" x14ac:dyDescent="0.25">
      <c r="C24" s="14"/>
      <c r="D24" s="15"/>
      <c r="E24" s="18"/>
      <c r="F24" s="15"/>
      <c r="G24" s="17"/>
      <c r="I24" s="102"/>
      <c r="K24" s="140"/>
      <c r="L24" s="140"/>
    </row>
    <row r="25" spans="3:12" x14ac:dyDescent="0.25">
      <c r="C25" s="14"/>
      <c r="D25" s="15"/>
      <c r="E25" s="18"/>
      <c r="F25" s="15"/>
      <c r="G25" s="17"/>
      <c r="I25" s="102"/>
      <c r="K25" s="140"/>
      <c r="L25" s="140"/>
    </row>
    <row r="26" spans="3:12" x14ac:dyDescent="0.25">
      <c r="C26" s="14"/>
      <c r="D26" s="15"/>
      <c r="E26" s="18"/>
      <c r="F26" s="15"/>
      <c r="G26" s="17"/>
      <c r="I26" s="102"/>
      <c r="K26" s="140"/>
      <c r="L26" s="140"/>
    </row>
    <row r="27" spans="3:12" x14ac:dyDescent="0.25">
      <c r="C27" s="14"/>
      <c r="D27" s="15"/>
      <c r="E27" s="18"/>
      <c r="F27" s="15"/>
      <c r="G27" s="17"/>
      <c r="I27" s="102"/>
    </row>
    <row r="28" spans="3:12" x14ac:dyDescent="0.25">
      <c r="C28" s="14"/>
      <c r="D28" s="15"/>
      <c r="E28" s="18"/>
      <c r="F28" s="15"/>
      <c r="G28" s="17"/>
      <c r="I28" s="102"/>
    </row>
    <row r="29" spans="3:12" x14ac:dyDescent="0.25">
      <c r="C29" s="19"/>
      <c r="D29" s="20"/>
      <c r="E29" s="20"/>
      <c r="F29" s="20"/>
      <c r="G29" s="21"/>
      <c r="I29" s="102"/>
    </row>
    <row r="30" spans="3:12" x14ac:dyDescent="0.25">
      <c r="C30" s="19"/>
      <c r="D30" s="20"/>
      <c r="E30" s="20"/>
      <c r="F30" s="20"/>
      <c r="G30" s="21"/>
      <c r="I30" s="102"/>
    </row>
    <row r="31" spans="3:12" x14ac:dyDescent="0.25">
      <c r="C31" s="19"/>
      <c r="D31" s="20"/>
      <c r="E31" s="20"/>
      <c r="F31" s="20"/>
      <c r="G31" s="21"/>
      <c r="I31" s="102"/>
    </row>
    <row r="32" spans="3:12" x14ac:dyDescent="0.25">
      <c r="C32" s="19"/>
      <c r="D32" s="20"/>
      <c r="E32" s="20"/>
      <c r="F32" s="20"/>
      <c r="G32" s="21"/>
      <c r="I32" s="102"/>
    </row>
    <row r="33" spans="3:12" x14ac:dyDescent="0.25">
      <c r="C33" s="19"/>
      <c r="D33" s="20"/>
      <c r="E33" s="20"/>
      <c r="F33" s="20"/>
      <c r="G33" s="21"/>
      <c r="I33" s="102"/>
    </row>
    <row r="34" spans="3:12" x14ac:dyDescent="0.25">
      <c r="C34" s="19"/>
      <c r="D34" s="20"/>
      <c r="E34" s="20"/>
      <c r="F34" s="20"/>
      <c r="G34" s="21"/>
      <c r="I34" s="102"/>
    </row>
    <row r="35" spans="3:12" x14ac:dyDescent="0.25">
      <c r="C35" s="19"/>
      <c r="D35" s="20"/>
      <c r="E35" s="20"/>
      <c r="F35" s="20"/>
      <c r="G35" s="21"/>
      <c r="I35" s="102"/>
    </row>
    <row r="36" spans="3:12" x14ac:dyDescent="0.25">
      <c r="C36" s="19"/>
      <c r="D36" s="20"/>
      <c r="E36" s="20"/>
      <c r="F36" s="20"/>
      <c r="G36" s="21"/>
      <c r="I36" s="102"/>
    </row>
    <row r="37" spans="3:12" x14ac:dyDescent="0.25">
      <c r="C37" s="19"/>
      <c r="D37" s="20"/>
      <c r="E37" s="20"/>
      <c r="F37" s="20"/>
      <c r="G37" s="21"/>
      <c r="I37" s="102"/>
    </row>
    <row r="38" spans="3:12" x14ac:dyDescent="0.25">
      <c r="C38" s="19"/>
      <c r="D38" s="20"/>
      <c r="E38" s="20"/>
      <c r="F38" s="20"/>
      <c r="G38" s="21"/>
      <c r="I38" s="102"/>
    </row>
    <row r="39" spans="3:12" x14ac:dyDescent="0.25">
      <c r="C39" s="19"/>
      <c r="D39" s="20"/>
      <c r="E39" s="20"/>
      <c r="F39" s="20"/>
      <c r="G39" s="21"/>
      <c r="I39" s="102"/>
    </row>
    <row r="40" spans="3:12" x14ac:dyDescent="0.25">
      <c r="C40" s="19"/>
      <c r="D40" s="20"/>
      <c r="E40" s="20"/>
      <c r="F40" s="20"/>
      <c r="G40" s="21"/>
      <c r="I40" s="102"/>
    </row>
    <row r="41" spans="3:12" x14ac:dyDescent="0.25">
      <c r="C41" s="22"/>
      <c r="D41" s="23"/>
      <c r="E41" s="23"/>
      <c r="F41" s="23"/>
      <c r="G41" s="24"/>
      <c r="I41" s="103"/>
    </row>
    <row r="44" spans="3:12" ht="15" customHeight="1" x14ac:dyDescent="0.25">
      <c r="C44" s="113" t="s">
        <v>47</v>
      </c>
      <c r="D44" s="114"/>
      <c r="E44" s="114"/>
      <c r="F44" s="114"/>
      <c r="G44" s="114"/>
      <c r="H44" s="114"/>
      <c r="I44" s="115"/>
      <c r="J44" s="3"/>
      <c r="K44" s="3"/>
      <c r="L44" s="3"/>
    </row>
    <row r="45" spans="3:12" x14ac:dyDescent="0.25">
      <c r="C45" s="122"/>
      <c r="D45" s="123"/>
      <c r="E45" s="123"/>
      <c r="F45" s="123"/>
      <c r="G45" s="123"/>
      <c r="H45" s="123"/>
      <c r="I45" s="124"/>
      <c r="J45" s="3"/>
      <c r="K45" s="3"/>
      <c r="L45" s="3"/>
    </row>
    <row r="46" spans="3:12" x14ac:dyDescent="0.25">
      <c r="C46" s="122"/>
      <c r="D46" s="123"/>
      <c r="E46" s="123"/>
      <c r="F46" s="123"/>
      <c r="G46" s="123"/>
      <c r="H46" s="123"/>
      <c r="I46" s="124"/>
      <c r="J46" s="3"/>
      <c r="K46" s="3"/>
      <c r="L46" s="3"/>
    </row>
    <row r="47" spans="3:12" x14ac:dyDescent="0.25">
      <c r="C47" s="122"/>
      <c r="D47" s="123"/>
      <c r="E47" s="123"/>
      <c r="F47" s="123"/>
      <c r="G47" s="123"/>
      <c r="H47" s="123"/>
      <c r="I47" s="124"/>
      <c r="J47" s="3"/>
      <c r="K47" s="3"/>
      <c r="L47" s="3"/>
    </row>
    <row r="48" spans="3:12" x14ac:dyDescent="0.25">
      <c r="C48" s="116"/>
      <c r="D48" s="139"/>
      <c r="E48" s="139"/>
      <c r="F48" s="139"/>
      <c r="G48" s="139"/>
      <c r="H48" s="139"/>
      <c r="I48" s="118"/>
      <c r="J48" s="3"/>
      <c r="K48" s="3"/>
      <c r="L48" s="3"/>
    </row>
  </sheetData>
  <mergeCells count="4">
    <mergeCell ref="C8:I9"/>
    <mergeCell ref="C12:G12"/>
    <mergeCell ref="C44:I48"/>
    <mergeCell ref="K22:L2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10</xdr:col>
                    <xdr:colOff>371475</xdr:colOff>
                    <xdr:row>23</xdr:row>
                    <xdr:rowOff>9525</xdr:rowOff>
                  </from>
                  <to>
                    <xdr:col>11</xdr:col>
                    <xdr:colOff>238125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7:Y33"/>
  <sheetViews>
    <sheetView topLeftCell="G3" zoomScale="70" zoomScaleNormal="70" workbookViewId="0">
      <selection activeCell="Y19" sqref="Y19"/>
    </sheetView>
  </sheetViews>
  <sheetFormatPr defaultRowHeight="15" x14ac:dyDescent="0.25"/>
  <cols>
    <col min="3" max="3" width="16.140625" customWidth="1"/>
    <col min="4" max="4" width="27.42578125" customWidth="1"/>
    <col min="5" max="5" width="6.5703125" customWidth="1"/>
    <col min="6" max="6" width="16.42578125" customWidth="1"/>
    <col min="7" max="7" width="27.7109375"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7" width="15.42578125" customWidth="1"/>
    <col min="18" max="18" width="13.5703125" bestFit="1" customWidth="1"/>
    <col min="19" max="19" width="21.7109375" bestFit="1" customWidth="1"/>
    <col min="20" max="20" width="26.140625" customWidth="1"/>
    <col min="21" max="21" width="18.42578125" customWidth="1"/>
    <col min="22" max="22" width="17" customWidth="1"/>
    <col min="23" max="23" width="14.28515625" customWidth="1"/>
    <col min="24" max="24" width="13" customWidth="1"/>
  </cols>
  <sheetData>
    <row r="7" spans="2:25" ht="14.25" customHeight="1" x14ac:dyDescent="0.25">
      <c r="C7" s="130" t="s">
        <v>89</v>
      </c>
      <c r="D7" s="131"/>
      <c r="E7" s="131"/>
      <c r="F7" s="131"/>
      <c r="G7" s="131"/>
      <c r="H7" s="131"/>
      <c r="I7" s="132"/>
    </row>
    <row r="8" spans="2:25" ht="14.25" customHeight="1" x14ac:dyDescent="0.25">
      <c r="C8" s="133"/>
      <c r="D8" s="134"/>
      <c r="E8" s="134"/>
      <c r="F8" s="134"/>
      <c r="G8" s="134"/>
      <c r="H8" s="134"/>
      <c r="I8" s="135"/>
    </row>
    <row r="9" spans="2:25" ht="15.75" x14ac:dyDescent="0.25">
      <c r="C9" s="25"/>
      <c r="D9" s="25"/>
      <c r="E9" s="25"/>
      <c r="F9" s="25"/>
      <c r="G9" s="25"/>
      <c r="H9" s="25"/>
      <c r="I9" s="25"/>
    </row>
    <row r="11" spans="2:25" ht="16.5" thickBot="1" x14ac:dyDescent="0.3">
      <c r="B11" s="54"/>
      <c r="C11" s="75" t="s">
        <v>58</v>
      </c>
      <c r="D11" s="76" t="str">
        <f>'Define Portfolios'!C15</f>
        <v>Demo Portfolio</v>
      </c>
      <c r="F11" s="29" t="s">
        <v>14</v>
      </c>
      <c r="G11" s="30" t="s">
        <v>15</v>
      </c>
      <c r="H11" s="30" t="s">
        <v>16</v>
      </c>
      <c r="I11" s="30" t="s">
        <v>17</v>
      </c>
      <c r="J11" s="30" t="s">
        <v>18</v>
      </c>
      <c r="K11" s="30" t="s">
        <v>19</v>
      </c>
      <c r="L11" s="30" t="s">
        <v>20</v>
      </c>
      <c r="M11" s="30" t="s">
        <v>21</v>
      </c>
      <c r="N11" s="30" t="s">
        <v>22</v>
      </c>
      <c r="O11" s="30" t="s">
        <v>23</v>
      </c>
      <c r="P11" s="30" t="s">
        <v>24</v>
      </c>
      <c r="Q11" s="30" t="s">
        <v>25</v>
      </c>
      <c r="R11" s="30" t="s">
        <v>26</v>
      </c>
      <c r="S11" s="30" t="s">
        <v>27</v>
      </c>
      <c r="T11" s="30" t="s">
        <v>28</v>
      </c>
      <c r="U11" s="30" t="s">
        <v>29</v>
      </c>
      <c r="V11" s="30" t="s">
        <v>30</v>
      </c>
      <c r="W11" s="30"/>
      <c r="X11" s="104"/>
      <c r="Y11" s="28" t="s">
        <v>1</v>
      </c>
    </row>
    <row r="12" spans="2:25" ht="15.75" thickTop="1" x14ac:dyDescent="0.25">
      <c r="B12" s="54"/>
      <c r="C12" s="53"/>
      <c r="D12" s="52"/>
      <c r="E12" s="26">
        <v>1</v>
      </c>
      <c r="F12" s="67" t="s">
        <v>44</v>
      </c>
      <c r="G12" s="66" t="s">
        <v>57</v>
      </c>
      <c r="H12" s="61">
        <v>43252</v>
      </c>
      <c r="I12" s="61">
        <v>43252</v>
      </c>
      <c r="J12" s="66" t="s">
        <v>93</v>
      </c>
      <c r="K12" s="60">
        <v>10000000</v>
      </c>
      <c r="L12" s="60" t="s">
        <v>32</v>
      </c>
      <c r="M12" s="60" t="s">
        <v>33</v>
      </c>
      <c r="N12" s="60" t="s">
        <v>34</v>
      </c>
      <c r="O12" s="66" t="s">
        <v>70</v>
      </c>
      <c r="P12" s="60" t="s">
        <v>31</v>
      </c>
      <c r="Q12" s="60" t="s">
        <v>36</v>
      </c>
      <c r="R12" s="60">
        <v>1</v>
      </c>
      <c r="S12" s="77">
        <f>R12*K12</f>
        <v>10000000</v>
      </c>
      <c r="T12" s="60">
        <v>1</v>
      </c>
      <c r="U12" s="60" t="s">
        <v>35</v>
      </c>
      <c r="V12" s="60" t="s">
        <v>34</v>
      </c>
      <c r="W12" s="66"/>
      <c r="X12" s="39"/>
      <c r="Y12" s="70"/>
    </row>
    <row r="13" spans="2:25" x14ac:dyDescent="0.25">
      <c r="B13" s="54"/>
      <c r="C13" s="141" t="s">
        <v>87</v>
      </c>
      <c r="D13" s="142"/>
      <c r="E13" s="27">
        <v>2</v>
      </c>
      <c r="F13" s="67" t="s">
        <v>45</v>
      </c>
      <c r="G13" s="60" t="str">
        <f>Setup!D15</f>
        <v>FIGI_BBG00KD95HL5</v>
      </c>
      <c r="H13" s="61">
        <v>43266</v>
      </c>
      <c r="I13" s="61">
        <v>43269</v>
      </c>
      <c r="J13" s="66" t="s">
        <v>41</v>
      </c>
      <c r="K13" s="60">
        <v>60500</v>
      </c>
      <c r="L13" s="60" t="s">
        <v>32</v>
      </c>
      <c r="M13" s="60" t="s">
        <v>33</v>
      </c>
      <c r="N13" s="60" t="s">
        <v>34</v>
      </c>
      <c r="O13" s="66" t="s">
        <v>70</v>
      </c>
      <c r="P13" s="60" t="s">
        <v>31</v>
      </c>
      <c r="Q13" s="60" t="s">
        <v>36</v>
      </c>
      <c r="R13" s="60">
        <v>48.6</v>
      </c>
      <c r="S13" s="77">
        <f>R13*K13</f>
        <v>2940300</v>
      </c>
      <c r="T13" s="60">
        <v>1</v>
      </c>
      <c r="U13" s="60" t="s">
        <v>35</v>
      </c>
      <c r="V13" s="60" t="s">
        <v>34</v>
      </c>
      <c r="W13" s="66"/>
      <c r="X13" s="39"/>
      <c r="Y13" s="42"/>
    </row>
    <row r="14" spans="2:25" x14ac:dyDescent="0.25">
      <c r="B14" s="54"/>
      <c r="C14" s="141"/>
      <c r="D14" s="142"/>
      <c r="E14" s="27">
        <v>3</v>
      </c>
      <c r="F14" s="67" t="s">
        <v>46</v>
      </c>
      <c r="G14" s="60" t="str">
        <f>Setup!D16</f>
        <v>FIGI_BBG00JX0QJK9</v>
      </c>
      <c r="H14" s="61">
        <v>43266</v>
      </c>
      <c r="I14" s="61">
        <v>43269</v>
      </c>
      <c r="J14" s="66" t="s">
        <v>41</v>
      </c>
      <c r="K14" s="60">
        <v>8650</v>
      </c>
      <c r="L14" s="60" t="s">
        <v>32</v>
      </c>
      <c r="M14" s="60" t="s">
        <v>33</v>
      </c>
      <c r="N14" s="60" t="s">
        <v>34</v>
      </c>
      <c r="O14" s="66" t="s">
        <v>70</v>
      </c>
      <c r="P14" s="60" t="s">
        <v>31</v>
      </c>
      <c r="Q14" s="60" t="s">
        <v>36</v>
      </c>
      <c r="R14" s="60">
        <v>1005.65</v>
      </c>
      <c r="S14" s="77">
        <f>R14*K14</f>
        <v>8698872.5</v>
      </c>
      <c r="T14" s="60">
        <v>1</v>
      </c>
      <c r="U14" s="60" t="s">
        <v>35</v>
      </c>
      <c r="V14" s="60" t="s">
        <v>34</v>
      </c>
      <c r="W14" s="66"/>
      <c r="X14" s="39"/>
      <c r="Y14" s="42"/>
    </row>
    <row r="15" spans="2:25" x14ac:dyDescent="0.25">
      <c r="B15" s="54"/>
      <c r="C15" s="141"/>
      <c r="D15" s="142"/>
      <c r="E15" s="27">
        <v>4</v>
      </c>
      <c r="F15" s="67" t="s">
        <v>67</v>
      </c>
      <c r="G15" s="60" t="str">
        <f>Setup!D17</f>
        <v>FIGI_BBG00KNV3VD5</v>
      </c>
      <c r="H15" s="61">
        <v>43269</v>
      </c>
      <c r="I15" s="96">
        <v>43269</v>
      </c>
      <c r="J15" s="66" t="s">
        <v>41</v>
      </c>
      <c r="K15" s="60">
        <v>4580</v>
      </c>
      <c r="L15" s="60" t="s">
        <v>32</v>
      </c>
      <c r="M15" s="60" t="s">
        <v>33</v>
      </c>
      <c r="N15" s="60" t="s">
        <v>34</v>
      </c>
      <c r="O15" s="66" t="s">
        <v>70</v>
      </c>
      <c r="P15" s="60" t="s">
        <v>31</v>
      </c>
      <c r="Q15" s="60" t="s">
        <v>36</v>
      </c>
      <c r="R15" s="60">
        <v>190.1</v>
      </c>
      <c r="S15" s="77">
        <f>R15*K15</f>
        <v>870658</v>
      </c>
      <c r="T15" s="60">
        <v>1</v>
      </c>
      <c r="U15" s="60" t="s">
        <v>35</v>
      </c>
      <c r="V15" s="60" t="s">
        <v>34</v>
      </c>
      <c r="W15" s="66"/>
      <c r="X15" s="39"/>
      <c r="Y15" s="42"/>
    </row>
    <row r="16" spans="2:25" x14ac:dyDescent="0.25">
      <c r="B16" s="54"/>
      <c r="C16" s="141"/>
      <c r="D16" s="142"/>
      <c r="E16" s="57">
        <v>5</v>
      </c>
      <c r="F16" s="44"/>
      <c r="G16" s="62"/>
      <c r="H16" s="45"/>
      <c r="I16" s="45"/>
      <c r="J16" s="46"/>
      <c r="K16" s="62"/>
      <c r="L16" s="62"/>
      <c r="M16" s="62"/>
      <c r="N16" s="62"/>
      <c r="O16" s="62"/>
      <c r="P16" s="62"/>
      <c r="Q16" s="62"/>
      <c r="R16" s="62"/>
      <c r="S16" s="62"/>
      <c r="T16" s="62"/>
      <c r="U16" s="62"/>
      <c r="V16" s="62"/>
      <c r="W16" s="46"/>
      <c r="X16" s="47"/>
      <c r="Y16" s="43"/>
    </row>
    <row r="18" spans="3:25" s="54" customFormat="1" ht="16.5" thickBot="1" x14ac:dyDescent="0.3">
      <c r="C18" s="75" t="s">
        <v>58</v>
      </c>
      <c r="D18" s="76" t="str">
        <f>'Define Portfolios'!C16</f>
        <v>Demo Portfolio - FA</v>
      </c>
      <c r="F18" s="29" t="s">
        <v>14</v>
      </c>
      <c r="G18" s="30" t="s">
        <v>15</v>
      </c>
      <c r="H18" s="30" t="s">
        <v>16</v>
      </c>
      <c r="I18" s="30" t="s">
        <v>17</v>
      </c>
      <c r="J18" s="30" t="s">
        <v>18</v>
      </c>
      <c r="K18" s="30" t="s">
        <v>19</v>
      </c>
      <c r="L18" s="30" t="s">
        <v>20</v>
      </c>
      <c r="M18" s="30" t="s">
        <v>21</v>
      </c>
      <c r="N18" s="30" t="s">
        <v>22</v>
      </c>
      <c r="O18" s="30" t="s">
        <v>23</v>
      </c>
      <c r="P18" s="30" t="s">
        <v>24</v>
      </c>
      <c r="Q18" s="30" t="s">
        <v>25</v>
      </c>
      <c r="R18" s="30" t="s">
        <v>26</v>
      </c>
      <c r="S18" s="30" t="s">
        <v>27</v>
      </c>
      <c r="T18" s="30" t="s">
        <v>28</v>
      </c>
      <c r="U18" s="30" t="s">
        <v>29</v>
      </c>
      <c r="V18" s="30" t="s">
        <v>30</v>
      </c>
      <c r="W18" s="30"/>
      <c r="X18" s="104"/>
      <c r="Y18" s="28" t="s">
        <v>1</v>
      </c>
    </row>
    <row r="19" spans="3:25" s="54" customFormat="1" ht="15.75" thickTop="1" x14ac:dyDescent="0.25">
      <c r="C19" s="53"/>
      <c r="D19" s="52"/>
      <c r="E19" s="58">
        <v>1</v>
      </c>
      <c r="F19" s="67" t="s">
        <v>44</v>
      </c>
      <c r="G19" s="66" t="s">
        <v>57</v>
      </c>
      <c r="H19" s="61">
        <v>43252</v>
      </c>
      <c r="I19" s="61">
        <v>43252</v>
      </c>
      <c r="J19" s="66" t="s">
        <v>93</v>
      </c>
      <c r="K19" s="66">
        <v>10224984.859999999</v>
      </c>
      <c r="L19" s="66" t="s">
        <v>32</v>
      </c>
      <c r="M19" s="60" t="s">
        <v>33</v>
      </c>
      <c r="N19" s="60" t="s">
        <v>34</v>
      </c>
      <c r="O19" s="66" t="s">
        <v>70</v>
      </c>
      <c r="P19" s="60" t="s">
        <v>31</v>
      </c>
      <c r="Q19" s="60" t="s">
        <v>36</v>
      </c>
      <c r="R19" s="60">
        <v>1</v>
      </c>
      <c r="S19" s="77">
        <f>R19*K19</f>
        <v>10224984.859999999</v>
      </c>
      <c r="T19" s="60">
        <v>1</v>
      </c>
      <c r="U19" s="60" t="s">
        <v>35</v>
      </c>
      <c r="V19" s="60" t="s">
        <v>34</v>
      </c>
      <c r="W19" s="66"/>
      <c r="X19" s="39"/>
      <c r="Y19" s="70"/>
    </row>
    <row r="20" spans="3:25" s="54" customFormat="1" x14ac:dyDescent="0.25">
      <c r="C20" s="141" t="s">
        <v>88</v>
      </c>
      <c r="D20" s="142"/>
      <c r="E20" s="59">
        <v>2</v>
      </c>
      <c r="F20" s="67" t="s">
        <v>45</v>
      </c>
      <c r="G20" s="66" t="str">
        <f>Setup!D14</f>
        <v>FIGI_BBG00J9VKM45</v>
      </c>
      <c r="H20" s="61">
        <v>43266</v>
      </c>
      <c r="I20" s="61">
        <f t="shared" ref="I20:I23" ca="1" si="0">TODAY()</f>
        <v>43336</v>
      </c>
      <c r="J20" s="66" t="s">
        <v>41</v>
      </c>
      <c r="K20" s="66">
        <v>5680</v>
      </c>
      <c r="L20" s="66" t="s">
        <v>32</v>
      </c>
      <c r="M20" s="60" t="s">
        <v>33</v>
      </c>
      <c r="N20" s="60" t="s">
        <v>34</v>
      </c>
      <c r="O20" s="66" t="s">
        <v>70</v>
      </c>
      <c r="P20" s="60" t="s">
        <v>31</v>
      </c>
      <c r="Q20" s="60" t="s">
        <v>36</v>
      </c>
      <c r="R20" s="60">
        <v>2.1644999999999999</v>
      </c>
      <c r="S20" s="77">
        <f>R20*K20</f>
        <v>12294.359999999999</v>
      </c>
      <c r="T20" s="60">
        <v>1</v>
      </c>
      <c r="U20" s="60" t="s">
        <v>35</v>
      </c>
      <c r="V20" s="60" t="s">
        <v>34</v>
      </c>
      <c r="W20" s="66"/>
      <c r="X20" s="39"/>
      <c r="Y20" s="42"/>
    </row>
    <row r="21" spans="3:25" s="54" customFormat="1" x14ac:dyDescent="0.25">
      <c r="C21" s="141"/>
      <c r="D21" s="142"/>
      <c r="E21" s="59">
        <v>3</v>
      </c>
      <c r="F21" s="67" t="s">
        <v>46</v>
      </c>
      <c r="G21" s="66" t="str">
        <f>Setup!D15</f>
        <v>FIGI_BBG00KD95HL5</v>
      </c>
      <c r="H21" s="61">
        <v>43266</v>
      </c>
      <c r="I21" s="61">
        <f t="shared" ca="1" si="0"/>
        <v>43336</v>
      </c>
      <c r="J21" s="66" t="s">
        <v>41</v>
      </c>
      <c r="K21" s="66">
        <v>60500</v>
      </c>
      <c r="L21" s="60" t="s">
        <v>32</v>
      </c>
      <c r="M21" s="60" t="s">
        <v>33</v>
      </c>
      <c r="N21" s="60" t="s">
        <v>34</v>
      </c>
      <c r="O21" s="66" t="s">
        <v>70</v>
      </c>
      <c r="P21" s="60" t="s">
        <v>31</v>
      </c>
      <c r="Q21" s="60" t="s">
        <v>36</v>
      </c>
      <c r="R21" s="60">
        <v>48.6</v>
      </c>
      <c r="S21" s="77">
        <f t="shared" ref="S21:S23" si="1">R21*K21</f>
        <v>2940300</v>
      </c>
      <c r="T21" s="60">
        <v>1</v>
      </c>
      <c r="U21" s="60" t="s">
        <v>35</v>
      </c>
      <c r="V21" s="60" t="s">
        <v>34</v>
      </c>
      <c r="W21" s="66"/>
      <c r="X21" s="39"/>
      <c r="Y21" s="42"/>
    </row>
    <row r="22" spans="3:25" s="54" customFormat="1" x14ac:dyDescent="0.25">
      <c r="C22" s="141"/>
      <c r="D22" s="142"/>
      <c r="E22" s="59">
        <v>4</v>
      </c>
      <c r="F22" s="67" t="s">
        <v>67</v>
      </c>
      <c r="G22" s="66" t="str">
        <f>Setup!D16</f>
        <v>FIGI_BBG00JX0QJK9</v>
      </c>
      <c r="H22" s="61">
        <v>43266</v>
      </c>
      <c r="I22" s="61">
        <f t="shared" ca="1" si="0"/>
        <v>43336</v>
      </c>
      <c r="J22" s="66" t="s">
        <v>41</v>
      </c>
      <c r="K22" s="66">
        <v>4650</v>
      </c>
      <c r="L22" s="60" t="s">
        <v>32</v>
      </c>
      <c r="M22" s="60" t="s">
        <v>33</v>
      </c>
      <c r="N22" s="60" t="s">
        <v>34</v>
      </c>
      <c r="O22" s="66" t="s">
        <v>70</v>
      </c>
      <c r="P22" s="60" t="s">
        <v>31</v>
      </c>
      <c r="Q22" s="60" t="s">
        <v>36</v>
      </c>
      <c r="R22" s="60">
        <v>1005.65</v>
      </c>
      <c r="S22" s="77">
        <f t="shared" si="1"/>
        <v>4676272.5</v>
      </c>
      <c r="T22" s="60">
        <v>1</v>
      </c>
      <c r="U22" s="60" t="s">
        <v>35</v>
      </c>
      <c r="V22" s="60" t="s">
        <v>34</v>
      </c>
      <c r="W22" s="66"/>
      <c r="X22" s="39"/>
      <c r="Y22" s="42"/>
    </row>
    <row r="23" spans="3:25" s="54" customFormat="1" x14ac:dyDescent="0.25">
      <c r="C23" s="143"/>
      <c r="D23" s="144"/>
      <c r="E23" s="57">
        <v>5</v>
      </c>
      <c r="F23" s="44" t="s">
        <v>68</v>
      </c>
      <c r="G23" s="46" t="str">
        <f>Setup!D17</f>
        <v>FIGI_BBG00KNV3VD5</v>
      </c>
      <c r="H23" s="45">
        <v>43266</v>
      </c>
      <c r="I23" s="45">
        <f t="shared" ca="1" si="0"/>
        <v>43336</v>
      </c>
      <c r="J23" s="46" t="s">
        <v>41</v>
      </c>
      <c r="K23" s="46">
        <v>4580</v>
      </c>
      <c r="L23" s="62" t="s">
        <v>32</v>
      </c>
      <c r="M23" s="62" t="s">
        <v>33</v>
      </c>
      <c r="N23" s="62" t="s">
        <v>34</v>
      </c>
      <c r="O23" s="46" t="s">
        <v>70</v>
      </c>
      <c r="P23" s="62" t="s">
        <v>31</v>
      </c>
      <c r="Q23" s="62" t="s">
        <v>36</v>
      </c>
      <c r="R23" s="62">
        <v>190.1</v>
      </c>
      <c r="S23" s="78">
        <f t="shared" si="1"/>
        <v>870658</v>
      </c>
      <c r="T23" s="62">
        <v>1</v>
      </c>
      <c r="U23" s="62" t="s">
        <v>35</v>
      </c>
      <c r="V23" s="62" t="s">
        <v>34</v>
      </c>
      <c r="W23" s="46"/>
      <c r="X23" s="47"/>
      <c r="Y23" s="43"/>
    </row>
    <row r="24" spans="3:25" s="54" customFormat="1" x14ac:dyDescent="0.25"/>
    <row r="25" spans="3:25" s="54" customFormat="1" x14ac:dyDescent="0.25">
      <c r="G25" s="79"/>
    </row>
    <row r="26" spans="3:25" ht="15" customHeight="1" x14ac:dyDescent="0.25">
      <c r="C26" s="113" t="s">
        <v>37</v>
      </c>
      <c r="D26" s="114"/>
      <c r="E26" s="114"/>
      <c r="F26" s="114"/>
      <c r="G26" s="114"/>
      <c r="H26" s="114"/>
      <c r="I26" s="114"/>
      <c r="J26" s="114"/>
      <c r="K26" s="114"/>
      <c r="L26" s="114"/>
      <c r="M26" s="114"/>
      <c r="N26" s="114"/>
      <c r="O26" s="114"/>
      <c r="P26" s="114"/>
      <c r="Q26" s="114"/>
      <c r="R26" s="114"/>
      <c r="S26" s="114"/>
      <c r="T26" s="114"/>
      <c r="U26" s="115"/>
    </row>
    <row r="27" spans="3:25" x14ac:dyDescent="0.25">
      <c r="C27" s="122"/>
      <c r="D27" s="123"/>
      <c r="E27" s="123"/>
      <c r="F27" s="123"/>
      <c r="G27" s="123"/>
      <c r="H27" s="123"/>
      <c r="I27" s="123"/>
      <c r="J27" s="123"/>
      <c r="K27" s="123"/>
      <c r="L27" s="123"/>
      <c r="M27" s="123"/>
      <c r="N27" s="123"/>
      <c r="O27" s="123"/>
      <c r="P27" s="123"/>
      <c r="Q27" s="123"/>
      <c r="R27" s="123"/>
      <c r="S27" s="123"/>
      <c r="T27" s="123"/>
      <c r="U27" s="124"/>
    </row>
    <row r="28" spans="3:25" x14ac:dyDescent="0.25">
      <c r="C28" s="122"/>
      <c r="D28" s="123"/>
      <c r="E28" s="123"/>
      <c r="F28" s="123"/>
      <c r="G28" s="123"/>
      <c r="H28" s="123"/>
      <c r="I28" s="123"/>
      <c r="J28" s="123"/>
      <c r="K28" s="123"/>
      <c r="L28" s="123"/>
      <c r="M28" s="123"/>
      <c r="N28" s="123"/>
      <c r="O28" s="123"/>
      <c r="P28" s="123"/>
      <c r="Q28" s="123"/>
      <c r="R28" s="123"/>
      <c r="S28" s="123"/>
      <c r="T28" s="123"/>
      <c r="U28" s="124"/>
    </row>
    <row r="29" spans="3:25" x14ac:dyDescent="0.25">
      <c r="C29" s="122"/>
      <c r="D29" s="123"/>
      <c r="E29" s="123"/>
      <c r="F29" s="123"/>
      <c r="G29" s="123"/>
      <c r="H29" s="123"/>
      <c r="I29" s="123"/>
      <c r="J29" s="123"/>
      <c r="K29" s="123"/>
      <c r="L29" s="123"/>
      <c r="M29" s="123"/>
      <c r="N29" s="123"/>
      <c r="O29" s="123"/>
      <c r="P29" s="123"/>
      <c r="Q29" s="123"/>
      <c r="R29" s="123"/>
      <c r="S29" s="123"/>
      <c r="T29" s="123"/>
      <c r="U29" s="124"/>
    </row>
    <row r="30" spans="3:25" x14ac:dyDescent="0.25">
      <c r="C30" s="116"/>
      <c r="D30" s="139"/>
      <c r="E30" s="139"/>
      <c r="F30" s="139"/>
      <c r="G30" s="139"/>
      <c r="H30" s="139"/>
      <c r="I30" s="139"/>
      <c r="J30" s="139"/>
      <c r="K30" s="139"/>
      <c r="L30" s="139"/>
      <c r="M30" s="139"/>
      <c r="N30" s="139"/>
      <c r="O30" s="139"/>
      <c r="P30" s="139"/>
      <c r="Q30" s="139"/>
      <c r="R30" s="139"/>
      <c r="S30" s="139"/>
      <c r="T30" s="139"/>
      <c r="U30" s="118"/>
    </row>
    <row r="33" spans="10:15" x14ac:dyDescent="0.25">
      <c r="J33" s="3"/>
      <c r="K33" s="3"/>
      <c r="L33" s="3"/>
      <c r="M33" s="3"/>
      <c r="N33" s="3"/>
      <c r="O33" s="3"/>
    </row>
  </sheetData>
  <mergeCells count="4">
    <mergeCell ref="C26:U30"/>
    <mergeCell ref="C7:I8"/>
    <mergeCell ref="C13:D16"/>
    <mergeCell ref="C20:D2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1">
                <anchor moveWithCells="1">
                  <from>
                    <xdr:col>2</xdr:col>
                    <xdr:colOff>161925</xdr:colOff>
                    <xdr:row>13</xdr:row>
                    <xdr:rowOff>76200</xdr:rowOff>
                  </from>
                  <to>
                    <xdr:col>3</xdr:col>
                    <xdr:colOff>323850</xdr:colOff>
                    <xdr:row>15</xdr:row>
                    <xdr:rowOff>9525</xdr:rowOff>
                  </to>
                </anchor>
              </controlPr>
            </control>
          </mc:Choice>
        </mc:AlternateContent>
        <mc:AlternateContent xmlns:mc="http://schemas.openxmlformats.org/markup-compatibility/2006">
          <mc:Choice Requires="x14">
            <control shapeId="12291" r:id="rId4" name="Button 3">
              <controlPr defaultSize="0" print="0" autoFill="0" autoPict="0" macro="[0]!do_addTrades2">
                <anchor moveWithCells="1">
                  <from>
                    <xdr:col>2</xdr:col>
                    <xdr:colOff>161925</xdr:colOff>
                    <xdr:row>20</xdr:row>
                    <xdr:rowOff>76200</xdr:rowOff>
                  </from>
                  <to>
                    <xdr:col>3</xdr:col>
                    <xdr:colOff>323850</xdr:colOff>
                    <xdr:row>22</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8"/>
  <sheetViews>
    <sheetView zoomScale="80" zoomScaleNormal="80" workbookViewId="0">
      <selection activeCell="A27" sqref="A19:W27"/>
    </sheetView>
  </sheetViews>
  <sheetFormatPr defaultRowHeight="15" x14ac:dyDescent="0.25"/>
  <cols>
    <col min="3" max="3" width="9.85546875" bestFit="1" customWidth="1"/>
    <col min="4" max="4" width="21.28515625" bestFit="1" customWidth="1"/>
    <col min="5" max="5" width="12" style="34" bestFit="1" customWidth="1"/>
    <col min="6" max="6" width="22.42578125" style="34"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20.28515625" style="32" bestFit="1" customWidth="1"/>
    <col min="21" max="21" width="22.140625" bestFit="1" customWidth="1"/>
    <col min="22" max="22" width="30.5703125" bestFit="1" customWidth="1"/>
  </cols>
  <sheetData>
    <row r="1" spans="1:22" x14ac:dyDescent="0.25">
      <c r="A1" s="36"/>
    </row>
    <row r="7" spans="1:22" ht="15" customHeight="1" x14ac:dyDescent="0.25">
      <c r="C7" s="130" t="s">
        <v>54</v>
      </c>
      <c r="D7" s="131"/>
      <c r="E7" s="131"/>
      <c r="F7" s="131"/>
      <c r="G7" s="131"/>
      <c r="H7" s="131"/>
      <c r="I7" s="131"/>
      <c r="J7" s="131"/>
      <c r="K7" s="131"/>
      <c r="L7" s="131"/>
      <c r="M7" s="131"/>
      <c r="N7" s="132"/>
      <c r="T7"/>
    </row>
    <row r="8" spans="1:22" ht="15" customHeight="1" x14ac:dyDescent="0.25">
      <c r="C8" s="133"/>
      <c r="D8" s="146"/>
      <c r="E8" s="146"/>
      <c r="F8" s="146"/>
      <c r="G8" s="146"/>
      <c r="H8" s="146"/>
      <c r="I8" s="146"/>
      <c r="J8" s="146"/>
      <c r="K8" s="146"/>
      <c r="L8" s="146"/>
      <c r="M8" s="146"/>
      <c r="N8" s="135"/>
      <c r="T8"/>
    </row>
    <row r="9" spans="1:22" ht="15.75" x14ac:dyDescent="0.25">
      <c r="C9" s="25"/>
      <c r="D9" s="25"/>
      <c r="E9" s="33"/>
      <c r="F9" s="33"/>
      <c r="G9" s="25"/>
      <c r="H9" s="25"/>
      <c r="I9" s="25"/>
      <c r="T9"/>
    </row>
    <row r="10" spans="1:22" ht="15.75" x14ac:dyDescent="0.25">
      <c r="C10" s="156" t="s">
        <v>69</v>
      </c>
      <c r="D10" s="157"/>
      <c r="E10" s="80"/>
      <c r="F10" s="162" t="s">
        <v>72</v>
      </c>
      <c r="G10" s="25"/>
      <c r="H10" s="64"/>
      <c r="I10" s="64"/>
      <c r="J10" s="64"/>
      <c r="K10" s="64"/>
      <c r="L10" s="64"/>
      <c r="M10" s="64"/>
      <c r="N10" s="64"/>
      <c r="T10"/>
    </row>
    <row r="11" spans="1:22" s="79" customFormat="1" ht="15.75" x14ac:dyDescent="0.25">
      <c r="C11" s="158"/>
      <c r="D11" s="159"/>
      <c r="E11" s="81"/>
      <c r="F11" s="163"/>
      <c r="G11" s="25"/>
      <c r="H11" s="64"/>
      <c r="I11" s="64"/>
      <c r="J11" s="64"/>
      <c r="K11" s="64"/>
      <c r="L11" s="64"/>
      <c r="M11" s="64"/>
      <c r="N11" s="64"/>
    </row>
    <row r="12" spans="1:22" s="79" customFormat="1" ht="15.75" x14ac:dyDescent="0.25">
      <c r="C12" s="160"/>
      <c r="D12" s="161"/>
      <c r="E12" s="82"/>
      <c r="F12" s="164"/>
      <c r="G12" s="25"/>
      <c r="H12" s="64"/>
      <c r="I12" s="64"/>
      <c r="J12" s="64"/>
      <c r="K12" s="64"/>
      <c r="L12" s="64"/>
      <c r="M12" s="64"/>
      <c r="N12" s="64"/>
    </row>
    <row r="13" spans="1:22" ht="15.75" x14ac:dyDescent="0.25">
      <c r="C13" s="25"/>
      <c r="D13" s="25"/>
      <c r="E13" s="33"/>
      <c r="F13" s="33"/>
      <c r="G13" s="25"/>
      <c r="H13" s="64"/>
      <c r="I13" s="64"/>
      <c r="J13" s="64"/>
      <c r="K13" s="64"/>
      <c r="L13" s="64"/>
      <c r="M13" s="64"/>
      <c r="N13" s="64"/>
      <c r="T13"/>
    </row>
    <row r="14" spans="1:22" ht="15" customHeight="1" x14ac:dyDescent="0.25">
      <c r="C14" s="147" t="s">
        <v>38</v>
      </c>
      <c r="D14" s="148"/>
      <c r="E14" s="148"/>
      <c r="F14" s="149"/>
      <c r="G14" s="145"/>
      <c r="H14" s="64"/>
      <c r="I14" s="64"/>
      <c r="J14" s="64"/>
      <c r="K14" s="64"/>
      <c r="L14" s="64"/>
      <c r="M14" s="64"/>
      <c r="N14" s="64"/>
      <c r="T14"/>
    </row>
    <row r="15" spans="1:22" ht="15" customHeight="1" x14ac:dyDescent="0.25">
      <c r="C15" s="150"/>
      <c r="D15" s="151"/>
      <c r="E15" s="151"/>
      <c r="F15" s="152"/>
      <c r="G15" s="145"/>
      <c r="H15" s="64"/>
      <c r="I15" s="64"/>
      <c r="J15" s="64"/>
      <c r="K15" s="64"/>
      <c r="L15" s="64"/>
      <c r="M15" s="64"/>
      <c r="N15" s="64"/>
      <c r="T15"/>
    </row>
    <row r="16" spans="1:22" ht="15" customHeight="1" x14ac:dyDescent="0.25">
      <c r="C16" s="153"/>
      <c r="D16" s="154"/>
      <c r="E16" s="154"/>
      <c r="F16" s="155"/>
      <c r="G16" s="48"/>
      <c r="H16" s="64"/>
      <c r="I16" s="64"/>
      <c r="J16" s="64"/>
      <c r="K16" s="64"/>
      <c r="L16" s="64"/>
      <c r="M16" s="64"/>
      <c r="N16" s="64"/>
      <c r="T16"/>
      <c r="V16" s="55"/>
    </row>
    <row r="17" spans="1:23" x14ac:dyDescent="0.25">
      <c r="G17" s="2"/>
      <c r="T17" s="56"/>
      <c r="U17" s="56"/>
      <c r="V17" s="55"/>
    </row>
    <row r="18" spans="1:23" x14ac:dyDescent="0.25">
      <c r="B18" s="56"/>
      <c r="C18" s="56"/>
      <c r="D18" s="56"/>
      <c r="E18" s="65"/>
      <c r="F18" s="65"/>
      <c r="G18" s="56"/>
      <c r="H18" s="56"/>
      <c r="I18" s="56"/>
      <c r="J18" s="56"/>
      <c r="K18" s="56"/>
      <c r="L18" s="56"/>
      <c r="M18" s="56"/>
      <c r="N18" s="56"/>
      <c r="O18" s="56"/>
      <c r="P18" s="56"/>
      <c r="Q18" s="56"/>
      <c r="R18" s="56"/>
      <c r="S18" s="56"/>
      <c r="T18" s="64"/>
      <c r="U18" s="56"/>
      <c r="V18" s="56"/>
    </row>
    <row r="19" spans="1:23" x14ac:dyDescent="0.25">
      <c r="A19" s="63"/>
      <c r="B19" s="63"/>
      <c r="C19" s="63"/>
      <c r="D19" s="63"/>
      <c r="E19" s="63"/>
      <c r="F19" s="63"/>
      <c r="G19" s="63"/>
      <c r="H19" s="63"/>
      <c r="I19" s="63"/>
      <c r="J19" s="63"/>
      <c r="K19" s="63"/>
      <c r="L19" s="63"/>
      <c r="M19" s="63"/>
      <c r="N19" s="63"/>
      <c r="O19" s="63"/>
      <c r="P19" s="63"/>
      <c r="Q19" s="63"/>
      <c r="R19" s="63"/>
      <c r="S19" s="63"/>
      <c r="T19" s="63"/>
      <c r="U19" s="63"/>
      <c r="V19" s="63"/>
      <c r="W19" s="63"/>
    </row>
    <row r="20" spans="1:23" x14ac:dyDescent="0.25">
      <c r="A20" s="63"/>
      <c r="B20" s="63"/>
      <c r="C20" s="63"/>
      <c r="D20" s="63"/>
      <c r="E20" s="63"/>
      <c r="F20" s="63"/>
      <c r="G20" s="63"/>
      <c r="H20" s="63"/>
      <c r="I20" s="63"/>
      <c r="J20" s="63"/>
      <c r="K20" s="63"/>
      <c r="L20" s="63"/>
      <c r="M20" s="63"/>
      <c r="N20" s="63"/>
      <c r="O20" s="63"/>
      <c r="P20" s="63"/>
      <c r="Q20" s="63"/>
      <c r="R20" s="63"/>
      <c r="S20" s="63"/>
      <c r="T20" s="63"/>
      <c r="U20" s="63"/>
      <c r="V20" s="63"/>
      <c r="W20" s="63"/>
    </row>
    <row r="21" spans="1:23" x14ac:dyDescent="0.25">
      <c r="A21" s="63"/>
      <c r="B21" s="63"/>
      <c r="C21" s="63"/>
      <c r="D21" s="63"/>
      <c r="E21" s="63"/>
      <c r="F21" s="63"/>
      <c r="G21" s="63"/>
      <c r="H21" s="63"/>
      <c r="I21" s="63"/>
      <c r="J21" s="63"/>
      <c r="K21" s="63"/>
      <c r="L21" s="63"/>
      <c r="M21" s="63"/>
      <c r="N21" s="63"/>
      <c r="O21" s="63"/>
      <c r="P21" s="63"/>
      <c r="Q21" s="63"/>
      <c r="R21" s="63"/>
      <c r="S21" s="63"/>
      <c r="T21" s="63"/>
      <c r="U21" s="63"/>
      <c r="V21" s="63"/>
      <c r="W21" s="63"/>
    </row>
    <row r="22" spans="1:23" x14ac:dyDescent="0.25">
      <c r="A22" s="63"/>
      <c r="B22" s="63"/>
      <c r="C22" s="63"/>
      <c r="D22" s="63"/>
      <c r="E22" s="63"/>
      <c r="F22" s="63"/>
      <c r="G22" s="63"/>
      <c r="H22" s="63"/>
      <c r="I22" s="63"/>
      <c r="J22" s="63"/>
      <c r="K22" s="63"/>
      <c r="L22" s="63"/>
      <c r="M22" s="63"/>
      <c r="N22" s="63"/>
      <c r="O22" s="63"/>
      <c r="P22" s="63"/>
      <c r="Q22" s="63"/>
      <c r="R22" s="63"/>
      <c r="S22" s="63"/>
      <c r="T22" s="63"/>
      <c r="U22" s="63"/>
      <c r="V22" s="63"/>
      <c r="W22" s="63"/>
    </row>
    <row r="23" spans="1:23" x14ac:dyDescent="0.25">
      <c r="A23" s="63"/>
      <c r="B23" s="63"/>
      <c r="C23" s="63"/>
      <c r="D23" s="63"/>
      <c r="E23" s="63"/>
      <c r="F23" s="63"/>
      <c r="G23" s="63"/>
      <c r="H23" s="63"/>
      <c r="I23" s="63"/>
      <c r="J23" s="63"/>
      <c r="K23" s="63"/>
      <c r="L23" s="63"/>
      <c r="M23" s="63"/>
      <c r="N23" s="63"/>
      <c r="O23" s="63"/>
      <c r="P23" s="63"/>
      <c r="Q23" s="63"/>
      <c r="R23" s="63"/>
      <c r="S23" s="63"/>
      <c r="T23" s="63"/>
      <c r="U23" s="63"/>
      <c r="V23" s="63"/>
      <c r="W23" s="63"/>
    </row>
    <row r="24" spans="1:23" x14ac:dyDescent="0.25">
      <c r="A24" s="63"/>
      <c r="B24" s="63"/>
      <c r="C24" s="63"/>
      <c r="D24" s="63"/>
      <c r="E24" s="63"/>
      <c r="F24" s="63"/>
      <c r="G24" s="63"/>
      <c r="H24" s="63"/>
      <c r="I24" s="63"/>
      <c r="J24" s="63"/>
      <c r="K24" s="63"/>
      <c r="L24" s="63"/>
      <c r="M24" s="63"/>
      <c r="N24" s="63"/>
      <c r="O24" s="63"/>
      <c r="P24" s="63"/>
      <c r="Q24" s="63"/>
      <c r="R24" s="63"/>
      <c r="S24" s="63"/>
      <c r="T24" s="63"/>
      <c r="U24" s="63"/>
      <c r="V24" s="63"/>
      <c r="W24" s="63"/>
    </row>
    <row r="25" spans="1:23" x14ac:dyDescent="0.25">
      <c r="A25" s="63"/>
      <c r="B25" s="63"/>
      <c r="C25" s="63"/>
      <c r="D25" s="63"/>
      <c r="E25" s="63"/>
      <c r="F25" s="63"/>
      <c r="G25" s="63"/>
      <c r="H25" s="63"/>
      <c r="I25" s="63"/>
      <c r="J25" s="63"/>
      <c r="K25" s="63"/>
      <c r="L25" s="63"/>
      <c r="M25" s="63"/>
      <c r="N25" s="63"/>
      <c r="O25" s="63"/>
      <c r="P25" s="63"/>
      <c r="Q25" s="63"/>
      <c r="R25" s="63"/>
      <c r="S25" s="63"/>
      <c r="T25" s="63"/>
      <c r="U25" s="63"/>
      <c r="V25" s="63"/>
      <c r="W25" s="63"/>
    </row>
    <row r="26" spans="1:23" x14ac:dyDescent="0.25">
      <c r="A26" s="63"/>
      <c r="B26" s="63"/>
      <c r="C26" s="63"/>
      <c r="D26" s="63"/>
      <c r="E26" s="63"/>
      <c r="F26" s="63"/>
      <c r="G26" s="63"/>
      <c r="H26" s="63"/>
      <c r="I26" s="63"/>
      <c r="J26" s="63"/>
      <c r="K26" s="63"/>
      <c r="L26" s="63"/>
      <c r="M26" s="63"/>
      <c r="N26" s="63"/>
      <c r="O26" s="63"/>
      <c r="P26" s="63"/>
      <c r="Q26" s="63"/>
      <c r="R26" s="63"/>
      <c r="S26" s="63"/>
      <c r="T26" s="63"/>
      <c r="U26" s="63"/>
      <c r="V26" s="63"/>
      <c r="W26" s="63"/>
    </row>
    <row r="27" spans="1:23" x14ac:dyDescent="0.25">
      <c r="A27" s="63"/>
      <c r="B27" s="63"/>
      <c r="C27" s="63"/>
      <c r="D27" s="63"/>
      <c r="E27" s="63"/>
      <c r="F27" s="63"/>
      <c r="G27" s="63"/>
      <c r="H27" s="63"/>
      <c r="I27" s="63"/>
      <c r="J27" s="63"/>
      <c r="K27" s="63"/>
      <c r="L27" s="63"/>
      <c r="M27" s="63"/>
      <c r="N27" s="63"/>
      <c r="O27" s="63"/>
      <c r="P27" s="63"/>
      <c r="Q27" s="63"/>
      <c r="R27" s="63"/>
      <c r="S27" s="63"/>
      <c r="T27" s="63"/>
      <c r="U27" s="63"/>
      <c r="V27" s="63"/>
      <c r="W27" s="63"/>
    </row>
    <row r="28" spans="1:23" x14ac:dyDescent="0.25">
      <c r="B28" s="63"/>
      <c r="E28"/>
      <c r="F28"/>
      <c r="T28" s="68"/>
      <c r="U28" s="68"/>
      <c r="V28" s="68"/>
      <c r="W28" s="68"/>
    </row>
    <row r="29" spans="1:23" x14ac:dyDescent="0.25">
      <c r="B29" s="63"/>
      <c r="E29"/>
      <c r="F29"/>
      <c r="T29" s="68"/>
      <c r="U29" s="68"/>
      <c r="V29" s="68"/>
      <c r="W29" s="68"/>
    </row>
    <row r="30" spans="1:23" x14ac:dyDescent="0.25">
      <c r="B30" s="63"/>
      <c r="E30"/>
      <c r="F30"/>
      <c r="T30" s="68"/>
      <c r="U30" s="68"/>
      <c r="V30" s="68"/>
      <c r="W30" s="68"/>
    </row>
    <row r="31" spans="1:23" x14ac:dyDescent="0.25">
      <c r="B31" s="63"/>
      <c r="E31"/>
      <c r="F31"/>
      <c r="T31" s="68"/>
      <c r="U31" s="68"/>
      <c r="V31" s="68"/>
      <c r="W31" s="68"/>
    </row>
    <row r="32" spans="1:23" x14ac:dyDescent="0.25">
      <c r="B32" s="63"/>
      <c r="E32"/>
      <c r="F32"/>
      <c r="T32" s="68"/>
      <c r="U32" s="68"/>
      <c r="V32" s="68"/>
      <c r="W32" s="68"/>
    </row>
    <row r="33" spans="2:23" x14ac:dyDescent="0.25">
      <c r="B33" s="63"/>
      <c r="E33"/>
      <c r="F33"/>
      <c r="T33" s="68"/>
      <c r="U33" s="68"/>
      <c r="V33" s="68"/>
      <c r="W33" s="68"/>
    </row>
    <row r="34" spans="2:23" x14ac:dyDescent="0.25">
      <c r="B34" s="63"/>
      <c r="E34"/>
      <c r="F34"/>
      <c r="T34" s="68"/>
      <c r="U34" s="68"/>
      <c r="V34" s="68"/>
      <c r="W34" s="68"/>
    </row>
    <row r="35" spans="2:23" x14ac:dyDescent="0.25">
      <c r="B35" s="63"/>
      <c r="E35"/>
      <c r="F35"/>
      <c r="T35" s="68"/>
      <c r="U35" s="68"/>
      <c r="V35" s="68"/>
      <c r="W35" s="68"/>
    </row>
    <row r="36" spans="2:23" x14ac:dyDescent="0.25">
      <c r="B36" s="63"/>
      <c r="E36"/>
      <c r="F36"/>
      <c r="T36" s="68"/>
      <c r="U36" s="68"/>
      <c r="V36" s="68"/>
      <c r="W36" s="68"/>
    </row>
    <row r="37" spans="2:23" x14ac:dyDescent="0.25">
      <c r="B37" s="63"/>
      <c r="E37"/>
      <c r="F37"/>
      <c r="T37" s="68"/>
      <c r="U37" s="68"/>
      <c r="V37" s="68"/>
      <c r="W37" s="68"/>
    </row>
    <row r="38" spans="2:23" x14ac:dyDescent="0.25">
      <c r="B38" s="31"/>
      <c r="E38"/>
      <c r="F38"/>
      <c r="T38" s="68"/>
      <c r="U38" s="68"/>
      <c r="V38" s="68"/>
      <c r="W38" s="68"/>
    </row>
    <row r="39" spans="2:23" x14ac:dyDescent="0.25">
      <c r="B39" s="31"/>
      <c r="E39"/>
      <c r="F39"/>
      <c r="T39" s="68"/>
      <c r="U39" s="68"/>
      <c r="V39" s="68"/>
      <c r="W39" s="68"/>
    </row>
    <row r="40" spans="2:23" x14ac:dyDescent="0.25">
      <c r="B40" s="31"/>
      <c r="E40"/>
      <c r="F40"/>
      <c r="T40" s="68"/>
      <c r="U40" s="68"/>
      <c r="V40" s="68"/>
      <c r="W40" s="68"/>
    </row>
    <row r="41" spans="2:23" x14ac:dyDescent="0.25">
      <c r="B41" s="31"/>
      <c r="E41"/>
      <c r="F41"/>
      <c r="T41" s="68"/>
      <c r="U41" s="68"/>
      <c r="V41" s="68"/>
      <c r="W41" s="68"/>
    </row>
    <row r="42" spans="2:23" x14ac:dyDescent="0.25">
      <c r="B42" s="31"/>
      <c r="E42"/>
      <c r="F42"/>
      <c r="T42" s="68"/>
      <c r="U42" s="68"/>
      <c r="V42" s="68"/>
      <c r="W42" s="68"/>
    </row>
    <row r="43" spans="2:23" x14ac:dyDescent="0.25">
      <c r="B43" s="31"/>
      <c r="E43"/>
      <c r="F43"/>
      <c r="T43" s="68"/>
      <c r="U43" s="68"/>
      <c r="V43" s="68"/>
      <c r="W43" s="68"/>
    </row>
    <row r="44" spans="2:23" x14ac:dyDescent="0.25">
      <c r="B44" s="31"/>
      <c r="E44"/>
      <c r="F44"/>
      <c r="T44" s="68"/>
      <c r="U44" s="68"/>
      <c r="V44" s="68"/>
      <c r="W44" s="68"/>
    </row>
    <row r="45" spans="2:23" x14ac:dyDescent="0.25">
      <c r="B45" s="31"/>
      <c r="E45"/>
      <c r="F45"/>
      <c r="T45" s="68"/>
      <c r="U45" s="68"/>
      <c r="V45" s="68"/>
      <c r="W45" s="68"/>
    </row>
    <row r="46" spans="2:23" x14ac:dyDescent="0.25">
      <c r="B46" s="31"/>
      <c r="E46"/>
      <c r="F46"/>
      <c r="T46" s="68"/>
      <c r="U46" s="68"/>
      <c r="V46" s="68"/>
      <c r="W46" s="68"/>
    </row>
    <row r="47" spans="2:23" x14ac:dyDescent="0.25">
      <c r="B47" s="31"/>
      <c r="E47"/>
      <c r="F47"/>
      <c r="T47" s="68"/>
      <c r="U47" s="68"/>
      <c r="V47" s="68"/>
      <c r="W47" s="68"/>
    </row>
    <row r="48" spans="2:23" x14ac:dyDescent="0.25">
      <c r="B48" s="31"/>
      <c r="E48"/>
      <c r="F48"/>
      <c r="T48" s="68"/>
      <c r="U48" s="68"/>
      <c r="V48" s="68"/>
      <c r="W48" s="68"/>
    </row>
    <row r="49" spans="2:23" x14ac:dyDescent="0.25">
      <c r="B49" s="31"/>
      <c r="E49"/>
      <c r="F49"/>
      <c r="T49" s="68"/>
      <c r="U49" s="68"/>
      <c r="V49" s="68"/>
      <c r="W49" s="68"/>
    </row>
    <row r="50" spans="2:23" x14ac:dyDescent="0.25">
      <c r="C50" s="35"/>
      <c r="D50" s="35"/>
      <c r="E50" s="40"/>
      <c r="F50" s="40"/>
      <c r="G50" s="35"/>
      <c r="H50" s="35"/>
      <c r="I50" s="35"/>
      <c r="J50" s="35"/>
      <c r="K50" s="35"/>
      <c r="L50" s="35"/>
      <c r="M50" s="35"/>
      <c r="N50" s="35"/>
      <c r="O50" s="35"/>
      <c r="P50" s="35"/>
      <c r="Q50" s="35"/>
      <c r="R50" s="35"/>
      <c r="S50" s="35"/>
      <c r="T50" s="35"/>
      <c r="U50" s="35"/>
      <c r="V50" s="1"/>
    </row>
    <row r="51" spans="2:23" x14ac:dyDescent="0.25">
      <c r="C51" s="35"/>
      <c r="D51" s="35"/>
      <c r="E51" s="40"/>
      <c r="F51" s="40"/>
      <c r="G51" s="35"/>
      <c r="H51" s="35"/>
      <c r="I51" s="35"/>
      <c r="J51" s="35"/>
      <c r="K51" s="35"/>
      <c r="L51" s="35"/>
      <c r="M51" s="35"/>
      <c r="N51" s="35"/>
      <c r="O51" s="35"/>
      <c r="P51" s="35"/>
      <c r="Q51" s="35"/>
      <c r="R51" s="35"/>
      <c r="S51" s="35"/>
      <c r="T51" s="35"/>
      <c r="U51" s="35"/>
      <c r="V51" s="1"/>
    </row>
    <row r="52" spans="2:23" x14ac:dyDescent="0.25">
      <c r="C52" s="35"/>
      <c r="D52" s="35"/>
      <c r="E52" s="40"/>
      <c r="F52" s="40"/>
      <c r="G52" s="35"/>
      <c r="H52" s="35"/>
      <c r="I52" s="35"/>
      <c r="J52" s="35"/>
      <c r="K52" s="35"/>
      <c r="L52" s="35"/>
      <c r="M52" s="35"/>
      <c r="N52" s="35"/>
      <c r="O52" s="35"/>
      <c r="P52" s="35"/>
      <c r="Q52" s="35"/>
      <c r="R52" s="35"/>
      <c r="S52" s="35"/>
      <c r="T52" s="35"/>
      <c r="U52" s="35"/>
    </row>
    <row r="53" spans="2:23" x14ac:dyDescent="0.25">
      <c r="C53" s="35"/>
      <c r="D53" s="35"/>
      <c r="E53" s="40"/>
      <c r="F53" s="40"/>
      <c r="G53" s="35"/>
      <c r="H53" s="35"/>
      <c r="I53" s="35"/>
      <c r="J53" s="35"/>
      <c r="K53" s="35"/>
      <c r="L53" s="35"/>
      <c r="M53" s="35"/>
      <c r="N53" s="35"/>
      <c r="O53" s="35"/>
      <c r="P53" s="35"/>
      <c r="Q53" s="35"/>
      <c r="R53" s="35"/>
      <c r="S53" s="35"/>
      <c r="T53" s="35"/>
      <c r="U53" s="35"/>
    </row>
    <row r="54" spans="2:23" x14ac:dyDescent="0.25">
      <c r="C54" s="3"/>
      <c r="D54" s="3"/>
      <c r="E54" s="3"/>
      <c r="F54" s="3"/>
      <c r="G54" s="3"/>
      <c r="H54" s="3"/>
      <c r="I54" s="3"/>
      <c r="J54" s="3"/>
      <c r="K54" s="3"/>
      <c r="L54" s="3"/>
      <c r="M54" s="3"/>
      <c r="N54" s="3"/>
      <c r="O54" s="3"/>
      <c r="P54" s="3"/>
      <c r="Q54" s="3"/>
      <c r="R54" s="3"/>
      <c r="S54" s="3"/>
      <c r="T54" s="35"/>
      <c r="U54" s="35"/>
    </row>
    <row r="55" spans="2:23" x14ac:dyDescent="0.25">
      <c r="C55" s="3"/>
      <c r="D55" s="3"/>
      <c r="E55" s="3"/>
      <c r="F55" s="3"/>
      <c r="G55" s="3"/>
      <c r="H55" s="3"/>
      <c r="I55" s="3"/>
      <c r="J55" s="3"/>
      <c r="K55" s="3"/>
      <c r="L55" s="3"/>
      <c r="M55" s="3"/>
      <c r="N55" s="3"/>
      <c r="O55" s="3"/>
      <c r="P55" s="3"/>
      <c r="Q55" s="3"/>
      <c r="R55" s="3"/>
      <c r="S55" s="3"/>
      <c r="T55" s="35"/>
      <c r="U55" s="4"/>
    </row>
    <row r="56" spans="2:23" x14ac:dyDescent="0.25">
      <c r="C56" s="3"/>
      <c r="D56" s="3"/>
      <c r="E56" s="3"/>
      <c r="F56" s="3"/>
      <c r="G56" s="3"/>
      <c r="H56" s="3"/>
      <c r="I56" s="3"/>
      <c r="J56" s="3"/>
      <c r="K56" s="3"/>
      <c r="L56" s="3"/>
      <c r="M56" s="3"/>
      <c r="N56" s="3"/>
      <c r="O56" s="3"/>
      <c r="P56" s="3"/>
      <c r="Q56" s="3"/>
      <c r="R56" s="3"/>
      <c r="S56" s="3"/>
      <c r="T56" s="35"/>
      <c r="U56" s="4"/>
    </row>
    <row r="57" spans="2:23" x14ac:dyDescent="0.25">
      <c r="C57" s="3"/>
      <c r="D57" s="3"/>
      <c r="E57" s="3"/>
      <c r="F57" s="3"/>
      <c r="G57" s="3"/>
      <c r="H57" s="3"/>
      <c r="I57" s="3"/>
      <c r="J57" s="3"/>
      <c r="K57" s="3"/>
      <c r="L57" s="3"/>
      <c r="M57" s="3"/>
      <c r="N57" s="3"/>
      <c r="O57" s="3"/>
      <c r="P57" s="3"/>
      <c r="Q57" s="3"/>
      <c r="R57" s="3"/>
      <c r="S57" s="3"/>
      <c r="T57" s="35"/>
      <c r="U57" s="4"/>
    </row>
    <row r="58" spans="2:23" x14ac:dyDescent="0.25">
      <c r="C58" s="3"/>
      <c r="D58" s="3"/>
      <c r="E58" s="3"/>
      <c r="F58" s="3"/>
      <c r="G58" s="3"/>
      <c r="H58" s="3"/>
      <c r="I58" s="3"/>
      <c r="J58" s="3"/>
      <c r="K58" s="3"/>
      <c r="L58" s="3"/>
      <c r="M58" s="3"/>
      <c r="N58" s="3"/>
      <c r="O58" s="3"/>
      <c r="P58" s="3"/>
      <c r="Q58" s="3"/>
      <c r="R58" s="3"/>
      <c r="S58" s="3"/>
      <c r="T58" s="35"/>
      <c r="U58" s="4"/>
    </row>
  </sheetData>
  <mergeCells count="5">
    <mergeCell ref="G14:G15"/>
    <mergeCell ref="C7:N8"/>
    <mergeCell ref="C14:F16"/>
    <mergeCell ref="C10:D12"/>
    <mergeCell ref="F10:F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13</xdr:row>
                    <xdr:rowOff>95250</xdr:rowOff>
                  </from>
                  <to>
                    <xdr:col>5</xdr:col>
                    <xdr:colOff>857250</xdr:colOff>
                    <xdr:row>15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2"/>
  <sheetViews>
    <sheetView zoomScale="80" zoomScaleNormal="80" workbookViewId="0">
      <selection activeCell="H26" sqref="A17:H26"/>
    </sheetView>
  </sheetViews>
  <sheetFormatPr defaultRowHeight="15" x14ac:dyDescent="0.25"/>
  <cols>
    <col min="2" max="2" width="21.28515625" bestFit="1" customWidth="1"/>
    <col min="3" max="3" width="13.85546875" bestFit="1" customWidth="1"/>
    <col min="4" max="4" width="8.7109375" bestFit="1" customWidth="1"/>
    <col min="5" max="5" width="13.42578125" bestFit="1" customWidth="1"/>
    <col min="6" max="6" width="10.8554687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15" x14ac:dyDescent="0.25">
      <c r="D2" s="34"/>
      <c r="E2" s="34"/>
    </row>
    <row r="3" spans="1:15" x14ac:dyDescent="0.25">
      <c r="D3" s="34"/>
      <c r="E3" s="34"/>
    </row>
    <row r="4" spans="1:15" x14ac:dyDescent="0.25">
      <c r="D4" s="34"/>
      <c r="E4" s="34"/>
    </row>
    <row r="5" spans="1:15" x14ac:dyDescent="0.25">
      <c r="D5" s="34"/>
      <c r="E5" s="34"/>
    </row>
    <row r="6" spans="1:15" x14ac:dyDescent="0.25">
      <c r="D6" s="34"/>
      <c r="E6" s="34"/>
    </row>
    <row r="7" spans="1:15" x14ac:dyDescent="0.25">
      <c r="B7" s="130" t="s">
        <v>53</v>
      </c>
      <c r="C7" s="131"/>
      <c r="D7" s="131"/>
      <c r="E7" s="131"/>
      <c r="F7" s="131"/>
      <c r="G7" s="131"/>
      <c r="H7" s="131"/>
      <c r="I7" s="131"/>
      <c r="J7" s="131"/>
      <c r="K7" s="131"/>
      <c r="L7" s="131"/>
      <c r="M7" s="132"/>
    </row>
    <row r="8" spans="1:15" x14ac:dyDescent="0.25">
      <c r="B8" s="133"/>
      <c r="C8" s="146"/>
      <c r="D8" s="146"/>
      <c r="E8" s="146"/>
      <c r="F8" s="146"/>
      <c r="G8" s="146"/>
      <c r="H8" s="146"/>
      <c r="I8" s="146"/>
      <c r="J8" s="146"/>
      <c r="K8" s="146"/>
      <c r="L8" s="146"/>
      <c r="M8" s="135"/>
    </row>
    <row r="9" spans="1:15" ht="15.75" x14ac:dyDescent="0.25">
      <c r="B9" s="25"/>
      <c r="C9" s="25"/>
      <c r="D9" s="33"/>
      <c r="E9" s="33"/>
      <c r="F9" s="25"/>
      <c r="G9" s="25"/>
      <c r="H9" s="33"/>
    </row>
    <row r="10" spans="1:15" ht="15.75" x14ac:dyDescent="0.25">
      <c r="B10" s="169" t="s">
        <v>42</v>
      </c>
      <c r="C10" s="170"/>
      <c r="D10" s="170"/>
      <c r="E10" s="170"/>
      <c r="F10" s="171"/>
      <c r="G10" s="25" t="s">
        <v>58</v>
      </c>
      <c r="H10" s="38" t="s">
        <v>72</v>
      </c>
    </row>
    <row r="11" spans="1:15" s="54" customFormat="1" ht="15.75" x14ac:dyDescent="0.25">
      <c r="B11" s="25"/>
      <c r="C11" s="25"/>
      <c r="D11" s="25"/>
      <c r="E11" s="25"/>
      <c r="F11" s="25"/>
      <c r="G11" s="25" t="s">
        <v>43</v>
      </c>
      <c r="H11" s="38">
        <f ca="1">TODAY()</f>
        <v>43336</v>
      </c>
    </row>
    <row r="12" spans="1:15" ht="15.75" x14ac:dyDescent="0.25">
      <c r="B12" s="25"/>
      <c r="C12" s="25"/>
      <c r="D12" s="33"/>
      <c r="E12" s="33"/>
      <c r="F12" s="25"/>
      <c r="G12" s="37"/>
      <c r="H12" s="37"/>
    </row>
    <row r="13" spans="1:15" ht="15.75" customHeight="1" x14ac:dyDescent="0.25">
      <c r="B13" s="25"/>
      <c r="C13" s="25"/>
      <c r="D13" s="33"/>
      <c r="E13" s="33"/>
      <c r="F13" s="25"/>
      <c r="G13" s="37"/>
      <c r="H13" s="37"/>
      <c r="I13" s="172" t="s">
        <v>48</v>
      </c>
      <c r="J13" s="173"/>
      <c r="K13" s="173"/>
      <c r="L13" s="173"/>
      <c r="M13" s="174"/>
      <c r="N13" s="49"/>
      <c r="O13" s="49"/>
    </row>
    <row r="14" spans="1:15" ht="15" customHeight="1" x14ac:dyDescent="0.25">
      <c r="B14" s="147" t="s">
        <v>38</v>
      </c>
      <c r="C14" s="148"/>
      <c r="D14" s="148"/>
      <c r="E14" s="149"/>
      <c r="F14" s="166"/>
      <c r="G14" s="167"/>
      <c r="H14" s="37"/>
      <c r="I14" s="175"/>
      <c r="J14" s="176"/>
      <c r="K14" s="176"/>
      <c r="L14" s="176"/>
      <c r="M14" s="177"/>
      <c r="N14" s="49"/>
      <c r="O14" s="49"/>
    </row>
    <row r="15" spans="1:15" ht="15" customHeight="1" x14ac:dyDescent="0.25">
      <c r="B15" s="153"/>
      <c r="C15" s="165"/>
      <c r="D15" s="165"/>
      <c r="E15" s="155"/>
      <c r="F15" s="166"/>
      <c r="G15" s="168"/>
      <c r="H15" s="37"/>
      <c r="I15" s="175"/>
      <c r="J15" s="176"/>
      <c r="K15" s="176"/>
      <c r="L15" s="176"/>
      <c r="M15" s="177"/>
      <c r="N15" s="49"/>
      <c r="O15" s="49"/>
    </row>
    <row r="16" spans="1:15" ht="15" customHeight="1" x14ac:dyDescent="0.25">
      <c r="A16" s="79"/>
      <c r="B16" s="79"/>
      <c r="C16" s="79"/>
      <c r="D16" s="79"/>
      <c r="E16" s="79"/>
      <c r="F16" s="79"/>
      <c r="G16" s="79"/>
      <c r="H16" s="79"/>
      <c r="I16" s="175"/>
      <c r="J16" s="176"/>
      <c r="K16" s="176"/>
      <c r="L16" s="176"/>
      <c r="M16" s="177"/>
      <c r="N16" s="49"/>
      <c r="O16" s="49"/>
    </row>
    <row r="17" spans="1:20" ht="15" customHeight="1" x14ac:dyDescent="0.25">
      <c r="A17" s="79"/>
      <c r="B17" s="79"/>
      <c r="C17" s="79"/>
      <c r="D17" s="79"/>
      <c r="E17" s="79"/>
      <c r="F17" s="79"/>
      <c r="G17" s="79"/>
      <c r="H17" s="79"/>
      <c r="I17" s="178"/>
      <c r="J17" s="178"/>
      <c r="K17" s="178"/>
      <c r="L17" s="178"/>
      <c r="M17" s="179"/>
      <c r="N17" s="49"/>
      <c r="O17" s="49"/>
      <c r="P17" s="4"/>
      <c r="Q17" s="4"/>
      <c r="R17" s="4"/>
      <c r="S17" s="4"/>
      <c r="T17" s="4"/>
    </row>
    <row r="18" spans="1:20" x14ac:dyDescent="0.25">
      <c r="A18" s="79"/>
      <c r="B18" s="79"/>
      <c r="C18" s="79"/>
      <c r="D18" s="79"/>
      <c r="E18" s="79"/>
      <c r="F18" s="79"/>
      <c r="G18" s="79"/>
      <c r="H18" s="79"/>
      <c r="N18" s="35"/>
      <c r="O18" s="35"/>
      <c r="P18" s="35"/>
      <c r="Q18" s="35"/>
      <c r="R18" s="35"/>
      <c r="S18" s="35"/>
      <c r="T18" s="35"/>
    </row>
    <row r="19" spans="1:20" x14ac:dyDescent="0.25">
      <c r="A19" s="79"/>
      <c r="B19" s="79"/>
      <c r="C19" s="79"/>
      <c r="D19" s="79"/>
      <c r="E19" s="79"/>
      <c r="F19" s="79"/>
      <c r="G19" s="79"/>
      <c r="H19" s="79"/>
      <c r="N19" s="35"/>
      <c r="O19" s="35"/>
      <c r="P19" s="35"/>
      <c r="Q19" s="35"/>
      <c r="R19" s="35"/>
      <c r="S19" s="35"/>
      <c r="T19" s="35"/>
    </row>
    <row r="20" spans="1:20" x14ac:dyDescent="0.25">
      <c r="A20" s="79"/>
      <c r="B20" s="79"/>
      <c r="C20" s="79"/>
      <c r="D20" s="79"/>
      <c r="E20" s="79"/>
      <c r="F20" s="79"/>
      <c r="G20" s="79"/>
      <c r="H20" s="79"/>
      <c r="N20" s="35"/>
      <c r="O20" s="35"/>
      <c r="P20" s="35"/>
      <c r="Q20" s="35"/>
      <c r="R20" s="35"/>
      <c r="S20" s="35"/>
      <c r="T20" s="35"/>
    </row>
    <row r="21" spans="1:20" x14ac:dyDescent="0.25">
      <c r="A21" s="79"/>
      <c r="B21" s="79"/>
      <c r="C21" s="79"/>
      <c r="D21" s="79"/>
      <c r="E21" s="79"/>
      <c r="F21" s="79"/>
      <c r="G21" s="79"/>
      <c r="H21" s="79"/>
      <c r="N21" s="35"/>
      <c r="O21" s="35"/>
      <c r="P21" s="35"/>
      <c r="Q21" s="35"/>
      <c r="R21" s="35"/>
      <c r="S21" s="35"/>
      <c r="T21" s="35"/>
    </row>
    <row r="22" spans="1:20" x14ac:dyDescent="0.25">
      <c r="A22" s="79"/>
      <c r="B22" s="79"/>
      <c r="C22" s="79"/>
      <c r="D22" s="79"/>
      <c r="E22" s="79"/>
      <c r="F22" s="79"/>
      <c r="G22" s="79"/>
      <c r="H22" s="79"/>
      <c r="N22" s="35"/>
      <c r="O22" s="35"/>
      <c r="P22" s="35"/>
      <c r="Q22" s="35"/>
      <c r="R22" s="35"/>
      <c r="S22" s="35"/>
      <c r="T22" s="35"/>
    </row>
    <row r="23" spans="1:20" x14ac:dyDescent="0.25">
      <c r="A23" s="79"/>
      <c r="B23" s="79"/>
      <c r="C23" s="79"/>
      <c r="D23" s="79"/>
      <c r="E23" s="79"/>
      <c r="F23" s="79"/>
      <c r="G23" s="79"/>
      <c r="H23" s="79"/>
      <c r="N23" s="35"/>
      <c r="O23" s="35"/>
      <c r="P23" s="35"/>
      <c r="Q23" s="35"/>
      <c r="R23" s="35"/>
      <c r="S23" s="35"/>
      <c r="T23" s="35"/>
    </row>
    <row r="24" spans="1:20" x14ac:dyDescent="0.25">
      <c r="A24" s="79"/>
      <c r="B24" s="79"/>
      <c r="C24" s="79"/>
      <c r="D24" s="79"/>
      <c r="E24" s="79"/>
      <c r="F24" s="79"/>
      <c r="G24" s="79"/>
      <c r="H24" s="79"/>
      <c r="N24" s="35"/>
      <c r="O24" s="35"/>
      <c r="P24" s="35"/>
      <c r="Q24" s="35"/>
      <c r="R24" s="35"/>
      <c r="S24" s="35"/>
      <c r="T24" s="35"/>
    </row>
    <row r="25" spans="1:20" x14ac:dyDescent="0.25">
      <c r="A25" s="79"/>
      <c r="B25" s="79"/>
      <c r="C25" s="79"/>
      <c r="D25" s="79"/>
      <c r="E25" s="79"/>
      <c r="F25" s="79"/>
      <c r="G25" s="79"/>
      <c r="H25" s="79"/>
      <c r="N25" s="35"/>
      <c r="O25" s="35"/>
      <c r="P25" s="35"/>
      <c r="Q25" s="35"/>
      <c r="R25" s="35"/>
      <c r="S25" s="35"/>
      <c r="T25" s="35"/>
    </row>
    <row r="26" spans="1:20" x14ac:dyDescent="0.25">
      <c r="A26" s="79"/>
      <c r="B26" s="79"/>
      <c r="C26" s="79"/>
      <c r="D26" s="79"/>
      <c r="E26" s="79"/>
      <c r="F26" s="79"/>
      <c r="G26" s="79"/>
      <c r="H26" s="79"/>
      <c r="N26" s="35"/>
      <c r="O26" s="35"/>
      <c r="P26" s="35"/>
      <c r="Q26" s="35"/>
      <c r="R26" s="35"/>
      <c r="S26" s="35"/>
      <c r="T26" s="35"/>
    </row>
    <row r="27" spans="1:20" x14ac:dyDescent="0.25">
      <c r="A27" s="56"/>
      <c r="N27" s="35"/>
      <c r="O27" s="35"/>
      <c r="P27" s="35"/>
      <c r="Q27" s="35"/>
      <c r="R27" s="35"/>
      <c r="S27" s="35"/>
      <c r="T27" s="35"/>
    </row>
    <row r="28" spans="1:20" x14ac:dyDescent="0.25">
      <c r="A28" s="56"/>
      <c r="N28" s="35"/>
      <c r="O28" s="35"/>
      <c r="P28" s="35"/>
      <c r="Q28" s="35"/>
      <c r="R28" s="35"/>
      <c r="S28" s="35"/>
      <c r="T28" s="35"/>
    </row>
    <row r="29" spans="1:20" x14ac:dyDescent="0.25">
      <c r="A29" s="54"/>
      <c r="N29" s="35"/>
      <c r="O29" s="35"/>
      <c r="P29" s="35"/>
      <c r="Q29" s="35"/>
      <c r="R29" s="35"/>
      <c r="S29" s="35"/>
      <c r="T29" s="35"/>
    </row>
    <row r="30" spans="1:20" x14ac:dyDescent="0.25">
      <c r="A30" s="54"/>
      <c r="N30" s="35"/>
      <c r="O30" s="35"/>
      <c r="P30" s="35"/>
      <c r="Q30" s="35"/>
      <c r="R30" s="35"/>
      <c r="S30" s="35"/>
      <c r="T30" s="35"/>
    </row>
    <row r="31" spans="1:20" x14ac:dyDescent="0.25">
      <c r="A31" s="54"/>
      <c r="N31" s="35"/>
      <c r="O31" s="35"/>
      <c r="P31" s="35"/>
      <c r="Q31" s="35"/>
      <c r="R31" s="35"/>
      <c r="S31" s="35"/>
      <c r="T31" s="35"/>
    </row>
    <row r="32" spans="1:20" x14ac:dyDescent="0.25">
      <c r="A32" s="54"/>
      <c r="N32" s="35"/>
      <c r="O32" s="35"/>
      <c r="P32" s="35"/>
      <c r="Q32" s="35"/>
      <c r="R32" s="35"/>
      <c r="S32" s="35"/>
      <c r="T32" s="35"/>
    </row>
    <row r="33" spans="1:20" x14ac:dyDescent="0.25">
      <c r="A33" s="54"/>
      <c r="B33" s="54"/>
      <c r="C33" s="54"/>
      <c r="D33" s="54"/>
      <c r="E33" s="54"/>
      <c r="F33" s="54"/>
      <c r="G33" s="54"/>
      <c r="H33" s="54"/>
      <c r="I33" s="54"/>
      <c r="J33" s="35"/>
      <c r="K33" s="35"/>
      <c r="L33" s="35"/>
      <c r="M33" s="35"/>
      <c r="N33" s="35"/>
      <c r="O33" s="35"/>
      <c r="P33" s="35"/>
      <c r="Q33" s="35"/>
      <c r="R33" s="35"/>
      <c r="S33" s="35"/>
      <c r="T33" s="35"/>
    </row>
    <row r="34" spans="1:20" x14ac:dyDescent="0.25">
      <c r="A34" s="54"/>
      <c r="B34" s="54"/>
      <c r="C34" s="54"/>
      <c r="D34" s="54"/>
      <c r="E34" s="54"/>
      <c r="F34" s="54"/>
      <c r="G34" s="54"/>
      <c r="H34" s="54"/>
      <c r="I34" s="54"/>
      <c r="J34" s="35"/>
      <c r="K34" s="35"/>
      <c r="L34" s="35"/>
      <c r="M34" s="35"/>
      <c r="N34" s="35"/>
      <c r="O34" s="35"/>
      <c r="P34" s="35"/>
      <c r="Q34" s="35"/>
      <c r="R34" s="35"/>
      <c r="S34" s="35"/>
      <c r="T34" s="35"/>
    </row>
    <row r="35" spans="1:20" x14ac:dyDescent="0.25">
      <c r="A35" s="54"/>
      <c r="B35" s="54"/>
      <c r="C35" s="54"/>
      <c r="D35" s="54"/>
      <c r="E35" s="54"/>
      <c r="F35" s="54"/>
      <c r="G35" s="54"/>
      <c r="H35" s="54"/>
      <c r="I35" s="54"/>
      <c r="J35" s="35"/>
      <c r="K35" s="35"/>
      <c r="L35" s="35"/>
      <c r="M35" s="35"/>
      <c r="N35" s="35"/>
      <c r="O35" s="35"/>
      <c r="P35" s="35"/>
      <c r="Q35" s="35"/>
      <c r="R35" s="35"/>
      <c r="S35" s="35"/>
      <c r="T35" s="35"/>
    </row>
    <row r="36" spans="1:20" x14ac:dyDescent="0.25">
      <c r="A36" s="54"/>
      <c r="B36" s="54"/>
      <c r="C36" s="54"/>
      <c r="D36" s="54"/>
      <c r="E36" s="54"/>
      <c r="F36" s="54"/>
      <c r="G36" s="54"/>
      <c r="H36" s="54"/>
      <c r="I36" s="54"/>
      <c r="J36" s="35"/>
      <c r="K36" s="35"/>
      <c r="L36" s="35"/>
      <c r="M36" s="35"/>
      <c r="N36" s="35"/>
      <c r="O36" s="35"/>
      <c r="P36" s="35"/>
      <c r="Q36" s="35"/>
      <c r="R36" s="35"/>
      <c r="S36" s="35"/>
      <c r="T36" s="35"/>
    </row>
    <row r="37" spans="1:20" x14ac:dyDescent="0.25">
      <c r="A37" s="54"/>
      <c r="B37" s="54"/>
      <c r="C37" s="54"/>
      <c r="D37" s="54"/>
      <c r="E37" s="54"/>
      <c r="F37" s="54"/>
      <c r="G37" s="54"/>
      <c r="H37" s="54"/>
      <c r="I37" s="54"/>
      <c r="J37" s="35"/>
      <c r="K37" s="35"/>
      <c r="L37" s="35"/>
      <c r="M37" s="35"/>
      <c r="N37" s="35"/>
      <c r="O37" s="35"/>
      <c r="P37" s="35"/>
      <c r="Q37" s="35"/>
      <c r="R37" s="35"/>
      <c r="S37" s="35"/>
      <c r="T37" s="35"/>
    </row>
    <row r="38" spans="1:20" x14ac:dyDescent="0.25">
      <c r="A38" s="54"/>
      <c r="B38" s="54"/>
      <c r="C38" s="54"/>
      <c r="D38" s="54"/>
      <c r="E38" s="54"/>
      <c r="F38" s="54"/>
      <c r="G38" s="54"/>
      <c r="H38" s="54"/>
      <c r="I38" s="54"/>
      <c r="J38" s="35"/>
      <c r="K38" s="35"/>
      <c r="L38" s="35"/>
      <c r="M38" s="35"/>
      <c r="N38" s="35"/>
      <c r="O38" s="35"/>
      <c r="P38" s="35"/>
      <c r="Q38" s="35"/>
      <c r="R38" s="35"/>
      <c r="S38" s="35"/>
      <c r="T38" s="35"/>
    </row>
    <row r="39" spans="1:20" x14ac:dyDescent="0.25">
      <c r="A39" s="54"/>
      <c r="B39" s="54"/>
      <c r="C39" s="54"/>
      <c r="D39" s="54"/>
      <c r="E39" s="54"/>
      <c r="F39" s="54"/>
      <c r="G39" s="54"/>
      <c r="H39" s="54"/>
      <c r="I39" s="54"/>
      <c r="J39" s="35"/>
      <c r="K39" s="35"/>
      <c r="L39" s="35"/>
      <c r="M39" s="35"/>
      <c r="N39" s="35"/>
      <c r="O39" s="35"/>
      <c r="P39" s="35"/>
      <c r="Q39" s="35"/>
      <c r="R39" s="35"/>
      <c r="S39" s="35"/>
      <c r="T39" s="35"/>
    </row>
    <row r="40" spans="1:20" x14ac:dyDescent="0.25">
      <c r="A40" s="54"/>
      <c r="B40" s="54"/>
      <c r="C40" s="54"/>
      <c r="D40" s="54"/>
      <c r="E40" s="54"/>
      <c r="F40" s="54"/>
      <c r="G40" s="54"/>
      <c r="H40" s="54"/>
      <c r="I40" s="54"/>
      <c r="J40" s="35"/>
      <c r="K40" s="35"/>
      <c r="L40" s="35"/>
      <c r="M40" s="35"/>
      <c r="N40" s="35"/>
      <c r="O40" s="35"/>
      <c r="P40" s="35"/>
      <c r="Q40" s="35"/>
      <c r="R40" s="35"/>
      <c r="S40" s="35"/>
      <c r="T40" s="35"/>
    </row>
    <row r="41" spans="1:20" x14ac:dyDescent="0.25">
      <c r="A41" s="54"/>
      <c r="B41" s="54"/>
      <c r="C41" s="54"/>
      <c r="D41" s="54"/>
      <c r="E41" s="54"/>
      <c r="F41" s="54"/>
      <c r="G41" s="54"/>
      <c r="H41" s="54"/>
      <c r="I41" s="54"/>
      <c r="J41" s="35"/>
      <c r="K41" s="35"/>
      <c r="L41" s="35"/>
      <c r="M41" s="35"/>
      <c r="N41" s="35"/>
      <c r="O41" s="35"/>
      <c r="P41" s="35"/>
      <c r="Q41" s="35"/>
      <c r="R41" s="35"/>
      <c r="S41" s="35"/>
      <c r="T41" s="35"/>
    </row>
    <row r="42" spans="1:20" x14ac:dyDescent="0.25">
      <c r="A42" s="54"/>
      <c r="B42" s="54"/>
      <c r="C42" s="54"/>
      <c r="D42" s="54"/>
      <c r="E42" s="54"/>
      <c r="F42" s="54"/>
      <c r="G42" s="54"/>
      <c r="H42" s="54"/>
      <c r="I42" s="54"/>
      <c r="J42" s="35"/>
      <c r="K42" s="35"/>
      <c r="L42" s="35"/>
      <c r="M42" s="35"/>
      <c r="N42" s="35"/>
      <c r="O42" s="35"/>
      <c r="P42" s="35"/>
      <c r="Q42" s="35"/>
      <c r="R42" s="35"/>
      <c r="S42" s="35"/>
      <c r="T42" s="35"/>
    </row>
    <row r="43" spans="1:20" x14ac:dyDescent="0.25">
      <c r="A43" s="54"/>
      <c r="B43" s="54"/>
      <c r="C43" s="54"/>
      <c r="D43" s="54"/>
      <c r="E43" s="54"/>
      <c r="F43" s="54"/>
      <c r="G43" s="54"/>
      <c r="H43" s="54"/>
      <c r="I43" s="54"/>
      <c r="J43" s="35"/>
      <c r="K43" s="35"/>
      <c r="L43" s="35"/>
      <c r="M43" s="35"/>
      <c r="N43" s="35"/>
      <c r="O43" s="35"/>
      <c r="P43" s="35"/>
      <c r="Q43" s="35"/>
      <c r="R43" s="35"/>
      <c r="S43" s="35"/>
      <c r="T43" s="35"/>
    </row>
    <row r="44" spans="1:20" x14ac:dyDescent="0.25">
      <c r="A44" s="54"/>
      <c r="B44" s="54"/>
      <c r="C44" s="54"/>
      <c r="D44" s="54"/>
      <c r="E44" s="54"/>
      <c r="F44" s="54"/>
      <c r="G44" s="54"/>
      <c r="H44" s="54"/>
      <c r="I44" s="54"/>
      <c r="J44" s="35"/>
      <c r="K44" s="35"/>
      <c r="L44" s="35"/>
      <c r="M44" s="35"/>
      <c r="N44" s="35"/>
      <c r="O44" s="35"/>
      <c r="P44" s="35"/>
      <c r="Q44" s="35"/>
      <c r="R44" s="35"/>
      <c r="S44" s="35"/>
      <c r="T44" s="35"/>
    </row>
    <row r="45" spans="1:20" x14ac:dyDescent="0.25">
      <c r="A45" s="54"/>
      <c r="B45" s="54"/>
      <c r="C45" s="54"/>
      <c r="D45" s="54"/>
      <c r="E45" s="54"/>
      <c r="F45" s="54"/>
      <c r="G45" s="54"/>
      <c r="H45" s="54"/>
      <c r="I45" s="54"/>
      <c r="J45" s="35"/>
      <c r="K45" s="35"/>
      <c r="L45" s="35"/>
      <c r="M45" s="35"/>
      <c r="N45" s="35"/>
      <c r="O45" s="35"/>
      <c r="P45" s="35"/>
      <c r="Q45" s="35"/>
      <c r="R45" s="35"/>
      <c r="S45" s="35"/>
      <c r="T45" s="35"/>
    </row>
    <row r="46" spans="1:20" x14ac:dyDescent="0.25">
      <c r="A46" s="54"/>
      <c r="B46" s="54"/>
      <c r="C46" s="54"/>
      <c r="D46" s="54"/>
      <c r="E46" s="54"/>
      <c r="F46" s="54"/>
      <c r="G46" s="54"/>
      <c r="H46" s="54"/>
      <c r="I46" s="54"/>
      <c r="J46" s="35"/>
      <c r="K46" s="35"/>
      <c r="L46" s="35"/>
      <c r="M46" s="35"/>
      <c r="N46" s="35"/>
      <c r="O46" s="35"/>
      <c r="P46" s="35"/>
      <c r="Q46" s="35"/>
      <c r="R46" s="35"/>
      <c r="S46" s="35"/>
      <c r="T46" s="35"/>
    </row>
    <row r="47" spans="1:20" x14ac:dyDescent="0.25">
      <c r="A47" s="54"/>
      <c r="B47" s="54"/>
      <c r="C47" s="54"/>
      <c r="D47" s="54"/>
      <c r="E47" s="54"/>
      <c r="F47" s="54"/>
      <c r="G47" s="54"/>
      <c r="H47" s="54"/>
      <c r="I47" s="54"/>
      <c r="J47" s="35"/>
      <c r="K47" s="35"/>
      <c r="L47" s="35"/>
      <c r="M47" s="35"/>
      <c r="N47" s="35"/>
      <c r="O47" s="35"/>
      <c r="P47" s="35"/>
      <c r="Q47" s="35"/>
      <c r="R47" s="35"/>
      <c r="S47" s="35"/>
      <c r="T47" s="35"/>
    </row>
    <row r="48" spans="1:20" x14ac:dyDescent="0.25">
      <c r="B48" s="35"/>
      <c r="C48" s="35"/>
      <c r="D48" s="35"/>
      <c r="E48" s="35"/>
      <c r="F48" s="35"/>
      <c r="G48" s="35"/>
      <c r="H48" s="35"/>
      <c r="I48" s="35"/>
      <c r="J48" s="35"/>
      <c r="K48" s="35"/>
      <c r="L48" s="35"/>
      <c r="M48" s="35"/>
      <c r="N48" s="35"/>
      <c r="O48" s="35"/>
      <c r="P48" s="35"/>
      <c r="Q48" s="35"/>
      <c r="R48" s="35"/>
      <c r="S48" s="35"/>
      <c r="T48" s="35"/>
    </row>
    <row r="49" spans="2:20" x14ac:dyDescent="0.25">
      <c r="B49" s="35"/>
      <c r="C49" s="35"/>
      <c r="D49" s="35"/>
      <c r="E49" s="35"/>
      <c r="F49" s="35"/>
      <c r="G49" s="35"/>
      <c r="H49" s="35"/>
      <c r="I49" s="35"/>
      <c r="J49" s="35"/>
      <c r="K49" s="35"/>
      <c r="L49" s="35"/>
      <c r="M49" s="35"/>
      <c r="N49" s="35"/>
      <c r="O49" s="35"/>
      <c r="P49" s="35"/>
      <c r="Q49" s="35"/>
      <c r="R49" s="35"/>
      <c r="S49" s="35"/>
      <c r="T49" s="35"/>
    </row>
    <row r="50" spans="2:20" x14ac:dyDescent="0.25">
      <c r="B50" s="35"/>
      <c r="C50" s="35"/>
      <c r="D50" s="35"/>
      <c r="E50" s="35"/>
      <c r="F50" s="35"/>
      <c r="G50" s="35"/>
      <c r="H50" s="35"/>
      <c r="I50" s="35"/>
      <c r="J50" s="35"/>
      <c r="K50" s="35"/>
      <c r="L50" s="35"/>
      <c r="M50" s="35"/>
      <c r="N50" s="35"/>
      <c r="O50" s="35"/>
      <c r="P50" s="35"/>
      <c r="Q50" s="35"/>
      <c r="R50" s="35"/>
      <c r="S50" s="35"/>
      <c r="T50" s="35"/>
    </row>
    <row r="51" spans="2:20" x14ac:dyDescent="0.25">
      <c r="B51" s="35"/>
      <c r="C51" s="35"/>
      <c r="D51" s="35"/>
      <c r="E51" s="35"/>
      <c r="F51" s="35"/>
      <c r="G51" s="35"/>
      <c r="H51" s="35"/>
      <c r="I51" s="35"/>
      <c r="J51" s="35"/>
      <c r="K51" s="35"/>
      <c r="L51" s="35"/>
      <c r="M51" s="35"/>
      <c r="N51" s="35"/>
      <c r="O51" s="35"/>
      <c r="P51" s="35"/>
      <c r="Q51" s="35"/>
      <c r="R51" s="35"/>
      <c r="S51" s="35"/>
      <c r="T51" s="35"/>
    </row>
    <row r="52" spans="2:20" x14ac:dyDescent="0.25">
      <c r="B52" s="35"/>
      <c r="C52" s="35"/>
      <c r="D52" s="35"/>
      <c r="E52" s="35"/>
      <c r="F52" s="35"/>
      <c r="G52" s="35"/>
      <c r="H52" s="35"/>
      <c r="I52" s="35"/>
      <c r="J52" s="35"/>
      <c r="K52" s="35"/>
      <c r="L52" s="35"/>
      <c r="M52" s="35"/>
      <c r="N52" s="35"/>
      <c r="O52" s="35"/>
      <c r="P52" s="35"/>
      <c r="Q52" s="35"/>
      <c r="R52" s="35"/>
      <c r="S52" s="35"/>
      <c r="T52" s="35"/>
    </row>
  </sheetData>
  <mergeCells count="6">
    <mergeCell ref="B7:M8"/>
    <mergeCell ref="B14:E15"/>
    <mergeCell ref="F14:F15"/>
    <mergeCell ref="G14:G15"/>
    <mergeCell ref="B10:F10"/>
    <mergeCell ref="I13:M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13</xdr:row>
                    <xdr:rowOff>76200</xdr:rowOff>
                  </from>
                  <to>
                    <xdr:col>6</xdr:col>
                    <xdr:colOff>990600</xdr:colOff>
                    <xdr:row>14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AD3BD-8E74-40CA-857C-339774828A4B}">
  <sheetPr codeName="Sheet2"/>
  <dimension ref="B2:M29"/>
  <sheetViews>
    <sheetView tabSelected="1" topLeftCell="A4" workbookViewId="0">
      <selection activeCell="J18" sqref="J18"/>
    </sheetView>
  </sheetViews>
  <sheetFormatPr defaultRowHeight="15" x14ac:dyDescent="0.25"/>
  <cols>
    <col min="2" max="2" width="20.140625" customWidth="1"/>
    <col min="3" max="3" width="18.7109375" bestFit="1" customWidth="1"/>
    <col min="4" max="4" width="14.85546875" bestFit="1" customWidth="1"/>
    <col min="5" max="6" width="9.28515625" bestFit="1" customWidth="1"/>
    <col min="8" max="9" width="9.28515625" bestFit="1" customWidth="1"/>
    <col min="10" max="10" width="10" bestFit="1" customWidth="1"/>
  </cols>
  <sheetData>
    <row r="2" spans="2:13" s="79" customFormat="1" x14ac:dyDescent="0.25"/>
    <row r="3" spans="2:13" s="79" customFormat="1" x14ac:dyDescent="0.25"/>
    <row r="4" spans="2:13" s="79" customFormat="1" x14ac:dyDescent="0.25"/>
    <row r="5" spans="2:13" s="79" customFormat="1" x14ac:dyDescent="0.25"/>
    <row r="6" spans="2:13" s="79" customFormat="1" x14ac:dyDescent="0.25"/>
    <row r="7" spans="2:13" x14ac:dyDescent="0.25">
      <c r="B7" s="130" t="s">
        <v>73</v>
      </c>
      <c r="C7" s="131"/>
      <c r="D7" s="131"/>
      <c r="E7" s="131"/>
      <c r="F7" s="131"/>
      <c r="G7" s="131"/>
      <c r="H7" s="131"/>
      <c r="I7" s="131"/>
      <c r="J7" s="131"/>
      <c r="K7" s="131"/>
      <c r="L7" s="131"/>
      <c r="M7" s="132"/>
    </row>
    <row r="8" spans="2:13" x14ac:dyDescent="0.25">
      <c r="B8" s="133"/>
      <c r="C8" s="146"/>
      <c r="D8" s="146"/>
      <c r="E8" s="146"/>
      <c r="F8" s="146"/>
      <c r="G8" s="146"/>
      <c r="H8" s="146"/>
      <c r="I8" s="146"/>
      <c r="J8" s="146"/>
      <c r="K8" s="146"/>
      <c r="L8" s="146"/>
      <c r="M8" s="135"/>
    </row>
    <row r="9" spans="2:13" ht="15.75" x14ac:dyDescent="0.25">
      <c r="B9" s="25"/>
      <c r="C9" s="25"/>
      <c r="D9" s="33"/>
      <c r="E9" s="33"/>
      <c r="F9" s="25"/>
      <c r="G9" s="25"/>
      <c r="H9" s="33"/>
      <c r="I9" s="79"/>
      <c r="J9" s="79"/>
      <c r="K9" s="79"/>
      <c r="L9" s="79"/>
      <c r="M9" s="79"/>
    </row>
    <row r="10" spans="2:13" ht="64.900000000000006" customHeight="1" x14ac:dyDescent="0.25">
      <c r="B10" s="180" t="s">
        <v>90</v>
      </c>
      <c r="C10" s="181"/>
      <c r="D10" s="79"/>
      <c r="E10" s="79"/>
      <c r="F10" s="79"/>
      <c r="G10" s="25"/>
      <c r="H10" s="79"/>
      <c r="I10" s="79"/>
      <c r="J10" s="79"/>
      <c r="K10" s="79"/>
      <c r="L10" s="79"/>
      <c r="M10" s="79"/>
    </row>
    <row r="11" spans="2:13" ht="14.25" customHeight="1" x14ac:dyDescent="0.25">
      <c r="B11" s="95" t="s">
        <v>0</v>
      </c>
      <c r="C11" s="97" t="s">
        <v>40</v>
      </c>
    </row>
    <row r="12" spans="2:13" x14ac:dyDescent="0.25">
      <c r="B12" s="88" t="s">
        <v>74</v>
      </c>
      <c r="C12" s="93" t="str">
        <f>Scope</f>
        <v>Examp2le</v>
      </c>
    </row>
    <row r="13" spans="2:13" x14ac:dyDescent="0.25">
      <c r="B13" s="88" t="s">
        <v>75</v>
      </c>
      <c r="C13" s="93" t="s">
        <v>71</v>
      </c>
    </row>
    <row r="14" spans="2:13" x14ac:dyDescent="0.25">
      <c r="B14" s="88" t="s">
        <v>76</v>
      </c>
      <c r="C14" s="90">
        <v>43266</v>
      </c>
    </row>
    <row r="15" spans="2:13" x14ac:dyDescent="0.25">
      <c r="B15" s="88" t="s">
        <v>77</v>
      </c>
      <c r="C15" s="94"/>
    </row>
    <row r="16" spans="2:13" x14ac:dyDescent="0.25">
      <c r="B16" s="92" t="s">
        <v>78</v>
      </c>
      <c r="C16" s="87" t="str">
        <f>Scope</f>
        <v>Examp2le</v>
      </c>
    </row>
    <row r="17" spans="2:10" x14ac:dyDescent="0.25">
      <c r="B17" s="88" t="s">
        <v>79</v>
      </c>
      <c r="C17" s="93" t="s">
        <v>72</v>
      </c>
    </row>
    <row r="18" spans="2:10" x14ac:dyDescent="0.25">
      <c r="B18" s="88" t="s">
        <v>80</v>
      </c>
      <c r="C18" s="90">
        <v>43267</v>
      </c>
    </row>
    <row r="19" spans="2:10" x14ac:dyDescent="0.25">
      <c r="B19" s="89" t="s">
        <v>81</v>
      </c>
      <c r="C19" s="91"/>
    </row>
    <row r="21" spans="2:10" x14ac:dyDescent="0.25">
      <c r="B21" s="79" t="str">
        <f t="array" ref="B21:D29">_xll.fbnReconcile(fbnReconcileParameters_Template_ref)</f>
        <v>Security Uid</v>
      </c>
      <c r="C21" s="105" t="str">
        <v>Units Difference</v>
      </c>
      <c r="D21" s="105" t="str">
        <v>Cost Difference</v>
      </c>
    </row>
    <row r="22" spans="2:10" x14ac:dyDescent="0.25">
      <c r="B22" t="str">
        <v>CCY_GBP</v>
      </c>
      <c r="C22">
        <v>3364632.5</v>
      </c>
      <c r="D22">
        <v>3364632.5</v>
      </c>
    </row>
    <row r="23" spans="2:10" x14ac:dyDescent="0.25">
      <c r="B23" t="str">
        <v>FIGI_BBG00J9VKM45</v>
      </c>
      <c r="C23">
        <v>5680</v>
      </c>
      <c r="D23">
        <v>12294.36</v>
      </c>
    </row>
    <row r="24" spans="2:10" x14ac:dyDescent="0.25">
      <c r="B24" t="str">
        <v>FIGI_BBG00JX0QJK9</v>
      </c>
      <c r="C24">
        <v>-4000</v>
      </c>
      <c r="D24">
        <v>-4022600</v>
      </c>
    </row>
    <row r="25" spans="2:10" x14ac:dyDescent="0.25">
      <c r="B25" t="str">
        <v>FIGI_BBG00KNV3VD5</v>
      </c>
      <c r="C25">
        <v>4580</v>
      </c>
      <c r="D25">
        <v>870658</v>
      </c>
    </row>
    <row r="26" spans="2:10" x14ac:dyDescent="0.25">
      <c r="B26" t="e">
        <v>#N/A</v>
      </c>
      <c r="C26" t="e">
        <v>#N/A</v>
      </c>
      <c r="D26" t="e">
        <v>#N/A</v>
      </c>
      <c r="J26" s="79"/>
    </row>
    <row r="27" spans="2:10" x14ac:dyDescent="0.25">
      <c r="B27" t="e">
        <v>#N/A</v>
      </c>
      <c r="C27" t="e">
        <v>#N/A</v>
      </c>
      <c r="D27" t="e">
        <v>#N/A</v>
      </c>
    </row>
    <row r="28" spans="2:10" x14ac:dyDescent="0.25">
      <c r="B28" t="e">
        <v>#N/A</v>
      </c>
      <c r="C28" t="e">
        <v>#N/A</v>
      </c>
      <c r="D28" t="e">
        <v>#N/A</v>
      </c>
    </row>
    <row r="29" spans="2:10" x14ac:dyDescent="0.25">
      <c r="B29" t="e">
        <v>#N/A</v>
      </c>
      <c r="C29" t="e">
        <v>#N/A</v>
      </c>
      <c r="D29" t="e">
        <v>#N/A</v>
      </c>
    </row>
  </sheetData>
  <mergeCells count="2">
    <mergeCell ref="B7:M8"/>
    <mergeCell ref="B10:C1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23</vt:i4>
      </vt:variant>
    </vt:vector>
  </HeadingPairs>
  <TitlesOfParts>
    <vt:vector size="30" baseType="lpstr">
      <vt:lpstr>LICENSE</vt:lpstr>
      <vt:lpstr>Setup</vt:lpstr>
      <vt:lpstr>Define Portfolios</vt:lpstr>
      <vt:lpstr>Add Trades On Security</vt:lpstr>
      <vt:lpstr>Master Trades View</vt:lpstr>
      <vt:lpstr>Master Holdings View</vt:lpstr>
      <vt:lpstr>Reconciliation</vt:lpstr>
      <vt:lpstr>AddTradesPortfolioId1</vt:lpstr>
      <vt:lpstr>AddTradesPortfolioId2</vt:lpstr>
      <vt:lpstr>AddTradesResults1</vt:lpstr>
      <vt:lpstr>AddTradesResults2</vt:lpstr>
      <vt:lpstr>AddTradesSelection</vt:lpstr>
      <vt:lpstr>AddTradesSelectionEq</vt:lpstr>
      <vt:lpstr>AddTradesSelectionTopLevel</vt:lpstr>
      <vt:lpstr>CreatePortfolio</vt:lpstr>
      <vt:lpstr>EffectiveDate</vt:lpstr>
      <vt:lpstr>FAPortfolio</vt:lpstr>
      <vt:lpstr>FAScope</vt:lpstr>
      <vt:lpstr>'Define Portfolios'!fbnPortfoliosAdd_Template_ref</vt:lpstr>
      <vt:lpstr>Reconciliation!fbnReconcileParameters_Template_ref</vt:lpstr>
      <vt:lpstr>'Add Trades On Security'!fbnTradesAdd_Template_ref</vt:lpstr>
      <vt:lpstr>GetTradesPortfolioId</vt:lpstr>
      <vt:lpstr>HoldingsAsOfDate</vt:lpstr>
      <vt:lpstr>HoldingsPortfolioId</vt:lpstr>
      <vt:lpstr>MasterHoldingsUpdateView</vt:lpstr>
      <vt:lpstr>MasterTradesUpdateView</vt:lpstr>
      <vt:lpstr>OfficialPortfolio</vt:lpstr>
      <vt:lpstr>PortfoliosCreatedResults</vt:lpstr>
      <vt:lpstr>RawSecuritiesRange</vt:lpstr>
      <vt:lpstr>Scope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2018-08-24T08:19:19Z</dcterms:modified>
</cp:coreProperties>
</file>