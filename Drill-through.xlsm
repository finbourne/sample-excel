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steve\work\sample-excel\"/>
    </mc:Choice>
  </mc:AlternateContent>
  <xr:revisionPtr revIDLastSave="0" documentId="13_ncr:1_{91269D82-0592-49F0-8DEF-F510F1CBE7D5}" xr6:coauthVersionLast="34" xr6:coauthVersionMax="34" xr10:uidLastSave="{00000000-0000-0000-0000-000000000000}"/>
  <bookViews>
    <workbookView xWindow="0" yWindow="0" windowWidth="28800" windowHeight="12210" tabRatio="915" firstSheet="1" activeTab="9" xr2:uid="{00000000-000D-0000-FFFF-FFFF00000000}"/>
  </bookViews>
  <sheets>
    <sheet name="LICENSE" sheetId="15" r:id="rId1"/>
    <sheet name="Setup" sheetId="1" r:id="rId2"/>
    <sheet name="Define Fund Securities" sheetId="2" r:id="rId3"/>
    <sheet name="Define Portfolio" sheetId="4" r:id="rId4"/>
    <sheet name="Add Trades On Security" sheetId="8" r:id="rId5"/>
    <sheet name="Master Trades View" sheetId="10" r:id="rId6"/>
    <sheet name="Master Holdings View" sheetId="11" r:id="rId7"/>
    <sheet name="Setup Analytics" sheetId="13" r:id="rId8"/>
    <sheet name="Insert Analytics" sheetId="12" r:id="rId9"/>
    <sheet name="Aggregation" sheetId="14" r:id="rId10"/>
  </sheets>
  <definedNames>
    <definedName name="AddTradesPortfolioId">'Add Trades On Security'!$D$14</definedName>
    <definedName name="AddTradesPortfolioIdEq">'Add Trades On Security'!$D$21</definedName>
    <definedName name="AddTradesPortfolioIdFI">'Add Trades On Security'!$D$28</definedName>
    <definedName name="AddTradesResults">'Add Trades On Security'!$Y$14:$Y$19</definedName>
    <definedName name="AddTradesResultsEq">'Add Trades On Security'!$Y$21:$Y$26</definedName>
    <definedName name="AddTradesResultsFI">'Add Trades On Security'!$Y$28:$Y$33</definedName>
    <definedName name="AddTradesResultsTopLevel">'Add Trades On Security'!$Y$14:$Y$19</definedName>
    <definedName name="AddTradesSelection">'Add Trades On Security'!$F$14:$X$19</definedName>
    <definedName name="AddTradesSelectionEq">'Add Trades On Security'!$F$21:$X$26</definedName>
    <definedName name="AddTradesSelectionFI">'Add Trades On Security'!$F$28:$X$33</definedName>
    <definedName name="AddTradesSelectionTopLevel">'Add Trades On Security'!$F$14:$X$19</definedName>
    <definedName name="AggregationParameters">Aggregation!$B$13:$C$19</definedName>
    <definedName name="AggregationPortfolioId">Aggregation!$F$10</definedName>
    <definedName name="AnalyticsStoreDate">'Setup Analytics'!$D$17</definedName>
    <definedName name="AnalyticsStoreUploadData">'Setup Analytics'!$C$16:$D$46</definedName>
    <definedName name="AnalyticsStoreUploadDataResults">'Setup Analytics'!$E$16:$E$46</definedName>
    <definedName name="ApplyAnalyticsUploadData">'Insert Analytics'!$E$18:$F$48</definedName>
    <definedName name="ApplyAnalyticsUploadDataResult">'Insert Analytics'!$G$18:$G$48</definedName>
    <definedName name="ApplyClassificationsResult">#REF!</definedName>
    <definedName name="ApplyClassificationUploadData">#REF!</definedName>
    <definedName name="BluePortfoliosRange">'Define Portfolio'!$C$14:$G$41</definedName>
    <definedName name="BlueSecuritiesRange">'Define Fund Securities'!$C$13:$E$41</definedName>
    <definedName name="ClassificationKeys">#REF!</definedName>
    <definedName name="CreateSecurityPropertiesUploadData">#REF!</definedName>
    <definedName name="CustomSecuritiesMasterViewUpdate">#REF!</definedName>
    <definedName name="DELETEME">#REF!</definedName>
    <definedName name="EffectiveDate">Setup!$M$33</definedName>
    <definedName name="ExistingSecuritiesLookup">#REF!</definedName>
    <definedName name="ExistingSecuritiesLookupResults">#REF!</definedName>
    <definedName name="fbnAnalytics_Template_ref" localSheetId="8">'Insert Analytics'!$E$18:$F$18</definedName>
    <definedName name="fbnAnalyticsStore_Template_ref" localSheetId="7">'Setup Analytics'!$C$16:$D$16</definedName>
    <definedName name="fbnClassifications_Template_ref" localSheetId="2">'Define Fund Securities'!$B$54:$B$54</definedName>
    <definedName name="fbnClassifications_Template_ref" localSheetId="8">'Insert Analytics'!$E$18:$F$18</definedName>
    <definedName name="fbnHoldings_Template_ref" localSheetId="4">'Add Trades On Security'!$P$36:$P$36</definedName>
    <definedName name="fbnPortfoliosAdd_Template_ref" localSheetId="4">'Add Trades On Security'!#REF!</definedName>
    <definedName name="fbnPortfoliosAdd_Template_ref" localSheetId="3">'Define Portfolio'!$C$14:$G$14</definedName>
    <definedName name="fbnPropertiesAdd_Template_ref" localSheetId="4">'Add Trades On Security'!#REF!</definedName>
    <definedName name="fbnSecurities_Template_ref" localSheetId="2">'Define Fund Securities'!$C$13:$E$13</definedName>
    <definedName name="fbnTradesAdd_Template_ref" localSheetId="4">'Add Trades On Security'!$F$14:$V$14</definedName>
    <definedName name="GetTradesPortfolioId">'Master Trades View'!$F$10</definedName>
    <definedName name="HoldingsAsOfDate">'Master Holdings View'!$H$11</definedName>
    <definedName name="HoldingsPortfolioId">'Master Holdings View'!$H$10</definedName>
    <definedName name="MasterAggregationUpdateView">Aggregation!$B$28:$F$43</definedName>
    <definedName name="MasterHoldingsUpdateView">'Master Holdings View'!$B$18:$M$32</definedName>
    <definedName name="MasterSecurityUpdateView">#REF!</definedName>
    <definedName name="MasterTradesUpdateView">'Master Trades View'!$C$19:$S$49</definedName>
    <definedName name="PortfoliosCreatedResults">'Define Portfolio'!$I$15:$I$41</definedName>
    <definedName name="PropertyKeys">#REF!</definedName>
    <definedName name="RawSecuritiesRange">Setup!$B$14:$B$43</definedName>
    <definedName name="Scope">Setup!$M$32</definedName>
    <definedName name="SecurityCreatedResult">#REF!</definedName>
    <definedName name="SecurityMasterUid">#REF!</definedName>
    <definedName name="SecurityPropertyNames">#REF!</definedName>
    <definedName name="UploadResults">'Define Fund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3" i="8" l="1"/>
  <c r="R32" i="8"/>
  <c r="S32" i="8" s="1"/>
  <c r="R31" i="8"/>
  <c r="S31" i="8" s="1"/>
  <c r="G16" i="8"/>
  <c r="G15" i="8"/>
  <c r="S16" i="8"/>
  <c r="S15" i="8"/>
  <c r="S29" i="8"/>
  <c r="I29" i="8"/>
  <c r="H29" i="8"/>
  <c r="S22" i="8"/>
  <c r="I22" i="8"/>
  <c r="H22" i="8"/>
  <c r="H23" i="8"/>
  <c r="I23" i="8"/>
  <c r="S23" i="8"/>
  <c r="H24" i="8"/>
  <c r="I24" i="8"/>
  <c r="S24" i="8"/>
  <c r="H25" i="8"/>
  <c r="I25" i="8"/>
  <c r="S25" i="8"/>
  <c r="H26" i="8"/>
  <c r="I26" i="8"/>
  <c r="S26" i="8"/>
  <c r="R30" i="8"/>
  <c r="S30" i="8" s="1"/>
  <c r="S33" i="8"/>
  <c r="I33" i="8"/>
  <c r="H33" i="8"/>
  <c r="D13" i="1" a="1"/>
  <c r="H31" i="8" l="1"/>
  <c r="I31" i="8"/>
  <c r="H32" i="8"/>
  <c r="I32" i="8"/>
  <c r="H16" i="8"/>
  <c r="I16" i="8"/>
  <c r="I30" i="8"/>
  <c r="H30" i="8"/>
  <c r="M33" i="1"/>
  <c r="D17" i="13" s="1"/>
  <c r="E20" i="12"/>
  <c r="E19" i="12"/>
  <c r="E15" i="2"/>
  <c r="E14" i="2"/>
  <c r="F17" i="4"/>
  <c r="F16" i="4"/>
  <c r="E41" i="1"/>
  <c r="E35" i="1"/>
  <c r="E36" i="1"/>
  <c r="D19" i="1"/>
  <c r="E42" i="1"/>
  <c r="E31" i="1"/>
  <c r="D40" i="1"/>
  <c r="D22" i="1"/>
  <c r="E32" i="1"/>
  <c r="E39" i="1"/>
  <c r="E23" i="1"/>
  <c r="D13" i="1"/>
  <c r="D28" i="1"/>
  <c r="D30" i="1"/>
  <c r="D34" i="1"/>
  <c r="E15" i="1"/>
  <c r="E34" i="1"/>
  <c r="E18" i="1"/>
  <c r="E38" i="1"/>
  <c r="D16" i="1"/>
  <c r="E25" i="1"/>
  <c r="D15" i="1"/>
  <c r="E24" i="1"/>
  <c r="E37" i="1"/>
  <c r="D29" i="1"/>
  <c r="D20" i="1"/>
  <c r="D24" i="1"/>
  <c r="E26" i="1"/>
  <c r="D37" i="1"/>
  <c r="D36" i="1"/>
  <c r="D14" i="1"/>
  <c r="D27" i="1"/>
  <c r="E30" i="1"/>
  <c r="E29" i="1"/>
  <c r="E17" i="1"/>
  <c r="D35" i="1"/>
  <c r="D17" i="1"/>
  <c r="D23" i="1"/>
  <c r="E14" i="1"/>
  <c r="E43" i="1"/>
  <c r="D32" i="1"/>
  <c r="D33" i="1"/>
  <c r="E13" i="1"/>
  <c r="D31" i="1"/>
  <c r="E22" i="1"/>
  <c r="D41" i="1"/>
  <c r="D38" i="1"/>
  <c r="D39" i="1"/>
  <c r="D43" i="1"/>
  <c r="E33" i="1"/>
  <c r="D25" i="1"/>
  <c r="D18" i="1"/>
  <c r="E19" i="1"/>
  <c r="E28" i="1"/>
  <c r="D26" i="1"/>
  <c r="D42" i="1"/>
  <c r="E20" i="1"/>
  <c r="E27" i="1"/>
  <c r="E16" i="1"/>
  <c r="D21" i="1"/>
  <c r="E40" i="1"/>
  <c r="E21" i="1"/>
  <c r="G24" i="8" l="1"/>
  <c r="G30" i="8"/>
  <c r="G33" i="8"/>
  <c r="G25" i="8"/>
  <c r="G32" i="8"/>
  <c r="G26" i="8"/>
  <c r="G31" i="8"/>
  <c r="G23" i="8"/>
  <c r="C17" i="13"/>
  <c r="E30" i="12" l="1"/>
  <c r="E38" i="12"/>
  <c r="E26" i="12"/>
  <c r="E46" i="12"/>
  <c r="E41" i="12"/>
  <c r="E34" i="12"/>
  <c r="E22" i="12"/>
  <c r="E35" i="12"/>
  <c r="E25" i="12"/>
  <c r="E33" i="12"/>
  <c r="E29" i="12"/>
  <c r="E44" i="12"/>
  <c r="E36" i="12"/>
  <c r="E28" i="12"/>
  <c r="E40" i="12"/>
  <c r="E39" i="12"/>
  <c r="E27" i="12"/>
  <c r="E23" i="12"/>
  <c r="E31" i="12"/>
  <c r="E32" i="12"/>
  <c r="E45" i="12"/>
  <c r="E37" i="12"/>
  <c r="E42" i="12"/>
  <c r="E24" i="12"/>
  <c r="E21" i="12"/>
  <c r="E43" i="12"/>
  <c r="C14" i="14"/>
  <c r="C15" i="14"/>
  <c r="H15" i="8"/>
  <c r="I15" i="8"/>
  <c r="I13" i="12"/>
  <c r="C15" i="13"/>
  <c r="E17" i="12"/>
  <c r="C19" i="14" l="1"/>
  <c r="H11" i="11"/>
  <c r="F15" i="4" l="1"/>
  <c r="C13" i="4" l="1"/>
  <c r="C12" i="2" l="1"/>
</calcChain>
</file>

<file path=xl/sharedStrings.xml><?xml version="1.0" encoding="utf-8"?>
<sst xmlns="http://schemas.openxmlformats.org/spreadsheetml/2006/main" count="372" uniqueCount="151">
  <si>
    <t>ClientSecurityId</t>
  </si>
  <si>
    <t>Name</t>
  </si>
  <si>
    <t>LookThroughPortfolioId</t>
  </si>
  <si>
    <t>Scope</t>
  </si>
  <si>
    <t>Results</t>
  </si>
  <si>
    <t>Code</t>
  </si>
  <si>
    <t>Date Created</t>
  </si>
  <si>
    <t>Base Currency</t>
  </si>
  <si>
    <t>SecurityUid</t>
  </si>
  <si>
    <t>Upload new Securities to Lusid</t>
  </si>
  <si>
    <t>Sort</t>
  </si>
  <si>
    <t>Result</t>
  </si>
  <si>
    <t>Unique Code</t>
  </si>
  <si>
    <t>Created Portfolio Unique Identifiers</t>
  </si>
  <si>
    <t>OK</t>
  </si>
  <si>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</si>
  <si>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</si>
  <si>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</si>
  <si>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</si>
  <si>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</si>
  <si>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</si>
  <si>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RawSecuritiesRange</t>
  </si>
  <si>
    <t>1) Create specified custom securities</t>
  </si>
  <si>
    <t>Scope:</t>
  </si>
  <si>
    <t>Corporate Action Source</t>
  </si>
  <si>
    <t>1) Create a Portfolio(s) in Lusid</t>
  </si>
  <si>
    <t>2) Create portfolios in Lusid</t>
  </si>
  <si>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</si>
  <si>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</si>
  <si>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</si>
  <si>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</si>
  <si>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</si>
  <si>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</si>
  <si>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</si>
  <si>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</si>
  <si>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</si>
  <si>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</si>
  <si>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</si>
  <si>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</si>
  <si>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</si>
  <si>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</si>
  <si>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</si>
  <si>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</si>
  <si>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</si>
  <si>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</si>
  <si>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</si>
  <si>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</si>
  <si>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</si>
  <si>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</si>
  <si>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</si>
  <si>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</si>
  <si>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</si>
  <si>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</si>
  <si>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</si>
  <si>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</si>
  <si>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</si>
  <si>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</si>
  <si>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</si>
  <si>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</si>
  <si>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</si>
  <si>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</si>
  <si>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</si>
  <si>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</si>
  <si>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</si>
  <si>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</si>
  <si>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</si>
  <si>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</si>
  <si>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</si>
  <si>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</si>
  <si>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</si>
  <si>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</si>
  <si>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</si>
  <si>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</si>
  <si>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</si>
  <si>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</si>
  <si>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These are your current holdings in Lusid</t>
  </si>
  <si>
    <t xml:space="preserve">As Of: </t>
  </si>
  <si>
    <t>TradeId1</t>
  </si>
  <si>
    <t>TradeId2</t>
  </si>
  <si>
    <t>TradeId3</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</si>
  <si>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</si>
  <si>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</si>
  <si>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</si>
  <si>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</si>
  <si>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</si>
  <si>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</si>
  <si>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</si>
  <si>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</si>
  <si>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</si>
  <si>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</si>
  <si>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</si>
  <si>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</si>
  <si>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</si>
  <si>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</si>
  <si>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rPr>
        <b/>
        <sz val="11"/>
        <color rgb="FF9C5700"/>
        <rFont val="Calibri"/>
        <family val="2"/>
        <scheme val="minor"/>
      </rPr>
      <t>1)</t>
    </r>
    <r>
      <rPr>
        <sz val="11"/>
        <color rgb="FF9C5700"/>
        <rFont val="Calibri"/>
        <family val="2"/>
        <scheme val="minor"/>
      </rPr>
      <t xml:space="preserve"> You can add trades against specific securities here</t>
    </r>
  </si>
  <si>
    <t>TopLevel</t>
  </si>
  <si>
    <t>Top Level Portfolio</t>
  </si>
  <si>
    <t>Fixed Income Portfolio</t>
  </si>
  <si>
    <t>Equities Portfolio</t>
  </si>
  <si>
    <t>Equity Portfolio</t>
  </si>
  <si>
    <t>FI Portfolio</t>
  </si>
  <si>
    <t>Trades added</t>
  </si>
  <si>
    <t>Holding Type</t>
  </si>
  <si>
    <t>Units</t>
  </si>
  <si>
    <t>SettledUnits</t>
  </si>
  <si>
    <t>Cost</t>
  </si>
  <si>
    <t>CostPortfolioCcy</t>
  </si>
  <si>
    <t>P</t>
  </si>
  <si>
    <t>CCY_GBP</t>
  </si>
  <si>
    <t>Portfolio:</t>
  </si>
  <si>
    <t>Default settings:</t>
  </si>
  <si>
    <t>Effective Date:</t>
  </si>
  <si>
    <r>
      <rPr>
        <b/>
        <sz val="11"/>
        <color rgb="FF9C5700"/>
        <rFont val="Calibri"/>
        <family val="2"/>
        <scheme val="minor"/>
      </rPr>
      <t xml:space="preserve">2) </t>
    </r>
    <r>
      <rPr>
        <sz val="11"/>
        <color rgb="FF9C5700"/>
        <rFont val="Calibri"/>
        <family val="2"/>
        <scheme val="minor"/>
      </rPr>
      <t>Create these trades</t>
    </r>
  </si>
  <si>
    <r>
      <rPr>
        <b/>
        <sz val="11"/>
        <color rgb="FF9C5700"/>
        <rFont val="Calibri"/>
        <family val="2"/>
        <scheme val="minor"/>
      </rPr>
      <t xml:space="preserve">4) </t>
    </r>
    <r>
      <rPr>
        <sz val="11"/>
        <color rgb="FF9C5700"/>
        <rFont val="Calibri"/>
        <family val="2"/>
        <scheme val="minor"/>
      </rPr>
      <t>Create these trades</t>
    </r>
  </si>
  <si>
    <t>FundsIn</t>
  </si>
  <si>
    <t>GB00BH4HKS39</t>
  </si>
  <si>
    <t>US5949181045</t>
  </si>
  <si>
    <t>US02079K3059</t>
  </si>
  <si>
    <t>GB0031348658</t>
  </si>
  <si>
    <t>IE00B1FZS806</t>
  </si>
  <si>
    <t>IE00B14X4Q57</t>
  </si>
  <si>
    <t>US4642874576</t>
  </si>
  <si>
    <t>US4642874402</t>
  </si>
  <si>
    <t>TradeId4</t>
  </si>
  <si>
    <t>StockIn</t>
  </si>
  <si>
    <t>ABC</t>
  </si>
  <si>
    <t>DEF</t>
  </si>
  <si>
    <t>TradeId5</t>
  </si>
  <si>
    <t>MyNameSpace4</t>
  </si>
  <si>
    <t>FIGI_BBG001S6PJ31</t>
  </si>
  <si>
    <t>FIGI_BBG001S5TD05</t>
  </si>
  <si>
    <t>FIGI_BBG009S39JY5</t>
  </si>
  <si>
    <t>FIGI_BBG001S61626</t>
  </si>
  <si>
    <t>Created Security SECUID_18B1WXH</t>
  </si>
  <si>
    <t>SECUID_18B1WXH</t>
  </si>
  <si>
    <t>Created Security SECUID_RQ73SA</t>
  </si>
  <si>
    <t>SECUID_RQ73SA</t>
  </si>
  <si>
    <t>1) Enter portfolio id</t>
  </si>
  <si>
    <t>Trade/default/SourcePortfolioId</t>
  </si>
  <si>
    <t>Trade/default/SourcePortfolioScope</t>
  </si>
  <si>
    <t>Trade/default/EntryDateTime</t>
  </si>
  <si>
    <t>#ERROR: Error creating portfolio with id TopLevel in scope MyNameSpace4 effective at 2018-06-18T00:00:00.0000000+00:00 because it already exists.!</t>
  </si>
  <si>
    <t>#ERROR: Error creating portfolio with id ABC in scope MyNameSpace4 effective at 2018-06-18T00:00:00.0000000+00:00 because it already exists.!</t>
  </si>
  <si>
    <t>#ERROR: Error creating portfolio with id DEF in scope MyNameSpace4 effective at 2018-06-18T00:00:00.0000000+00:00 because it already exists.!</t>
  </si>
  <si>
    <t>#ERROR: Finbourne.Lusid.Client.LusidException: An analytic set with name 'MyNameSpace4' and date '2018-06-18T00:00:00.0000000+00:00' already exists_x000D_
   at Finbourne.Lusid.Client.LusidRestClient.Handle[T](HttpResponseMessage response, HttpStatusCode[] acceptableCodes)_x000D_
   at Finbourne.Lusid.Client.LusidRestClient.CreateAnalyticsStore(CreateAnalyticStoreRequest request, Action`1 getMeta)_x000D_
   at Finbourne.ExcelAddin.AddinImplementation.Functions.AnalyticsFunctions.&lt;CreateAnalyticsStores&gt;b__4_2(CreateAnalyticStoreRequest analyticsStore) in c:\concourse\work\containers\00001jrtusl\tmp\build\80754af9\source-code-excel\ExcelAddin\AddinImplementation\Functions\IAnalyticsFunctions.cs:line 56_x000D_
   at System.Linq.Enumerable.WhereSelectArrayIterator`2.MoveNext()_x000D_
   at System.Linq.Buffer`1..ctor(IEnumerable`1 source)_x000D_
   at System.Linq.Enumerable.ToArray[TSource](IEnumerable`1 source)_x000D_
   at Finbourne.ExcelAddin.AddinImplementation.Functions.AnalyticsFunctions.CreateAnalyticsStores(CreateAnalyticStoreRequest[] stores) in c:\concourse\work\containers\00001jrtusl\tmp\build\80754af9\source-code-excel\ExcelAddin\AddinImplementation\Functions\IAnalyticsFunctions.cs:line 41_x000D_
   at Finbourne.ExcelAddin.AddinImplementation.Addin.ExcelToAnalyticsFunctions.&lt;&gt;c__DisplayClass3_0.&lt;AddAnalyticsStore&gt;b__0() in c:\concourse\work\containers\00001jrtusl\tmp\build\80754af9\source-code-excel\ExcelAddin\AddinImplementation\Addin\ExcelToAnalyticsFunctions.cs:line 68_x000D_
   at Finbourne.ExcelAddin.AddinImplementation.Addin.ExcelToFunctionsBase.ValidateThenRun(String functionName, String scope, Func`1 function) in c:\concourse\work\containers\00001jrtusl\tmp\build\80754af9\source-code-excel\ExcelAddin\AddinImplementation\Addin\ExcelToFunctionsBase.cs:line 48!</t>
  </si>
  <si>
    <t>Some colours appear in the template and have specific meanings to aid the user. See the colour legend below</t>
  </si>
  <si>
    <t>To create the held funds as securities, specify their ids and names together with the id for the portfolio which will contain the underlying fund holdings, then press the 'Create Custom Securities' button</t>
  </si>
  <si>
    <t>To create portfolios, specify their details and and press "Create Portfolio" button.</t>
  </si>
  <si>
    <t>To upload trades to the portfolios, enter them here and click the 'Create Trades' buttons</t>
  </si>
  <si>
    <t>Before you can add analytics (prices) against your securities, you need to define a store to put these analytics into</t>
  </si>
  <si>
    <t>You can add analytics to your securities in your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</si>
</sst>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000000_-;\-* #,##0.000000_-;_-* &quot;-&quot;??_-;_-@_-"/>
  </numFmts>
  <fonts count="13"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b/>
      <sz val="11"/>
      <color theme="3"/>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6">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theme="0" tint="-0.14999847407452621"/>
        <bgColor indexed="64"/>
      </patternFill>
    </fill>
    <fill>
      <patternFill patternType="solid">
        <fgColor rgb="FFB4C6E7"/>
        <bgColor indexed="64"/>
      </patternFill>
    </fill>
    <fill>
      <patternFill patternType="solid">
        <fgColor theme="6" tint="0.39997558519241921"/>
        <bgColor indexed="65"/>
      </patternFill>
    </fill>
    <fill>
      <patternFill patternType="solid">
        <fgColor theme="4" tint="0.79998168889431442"/>
        <bgColor indexed="64"/>
      </patternFill>
    </fill>
  </fills>
  <borders count="29">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3">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0" borderId="18" applyNumberFormat="0" applyFill="0" applyAlignment="0" applyProtection="0"/>
    <xf numFmtId="0" fontId="1" fillId="8" borderId="0" applyNumberFormat="0" applyBorder="0" applyAlignment="0" applyProtection="0"/>
    <xf numFmtId="0" fontId="1" fillId="14" borderId="0" applyNumberFormat="0" applyBorder="0" applyAlignment="0" applyProtection="0"/>
    <xf numFmtId="43" fontId="1" fillId="0" borderId="0" applyFont="0" applyFill="0" applyBorder="0" applyAlignment="0" applyProtection="0"/>
  </cellStyleXfs>
  <cellXfs count="286">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0" fillId="0" borderId="0" xfId="0" applyFill="1" applyAlignment="1">
      <alignment horizontal="center" vertical="center" textRotation="255"/>
    </xf>
    <xf numFmtId="0" fontId="0" fillId="0" borderId="0" xfId="7" applyFont="1" applyFill="1" applyBorder="1" applyAlignment="1">
      <alignment vertical="center"/>
    </xf>
    <xf numFmtId="0" fontId="0" fillId="0" borderId="0" xfId="0" applyFill="1" applyBorder="1"/>
    <xf numFmtId="0" fontId="5" fillId="3" borderId="15" xfId="6" applyFill="1" applyBorder="1"/>
    <xf numFmtId="0" fontId="5" fillId="3" borderId="16" xfId="6" applyFill="1" applyBorder="1"/>
    <xf numFmtId="0" fontId="5" fillId="3" borderId="17" xfId="6" applyFill="1" applyBorder="1"/>
    <xf numFmtId="0" fontId="1" fillId="7" borderId="4" xfId="5" applyBorder="1"/>
    <xf numFmtId="0" fontId="1" fillId="7" borderId="5" xfId="5" applyBorder="1"/>
    <xf numFmtId="0" fontId="1" fillId="7" borderId="6" xfId="5" applyBorder="1"/>
    <xf numFmtId="0" fontId="1" fillId="7" borderId="7" xfId="5" applyBorder="1"/>
    <xf numFmtId="0" fontId="0" fillId="0" borderId="0" xfId="0" applyAlignment="1">
      <alignment wrapText="1"/>
    </xf>
    <xf numFmtId="0" fontId="0" fillId="0" borderId="0" xfId="0" applyBorder="1"/>
    <xf numFmtId="0" fontId="0" fillId="6" borderId="9"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4" xfId="0" applyBorder="1" applyAlignment="1">
      <alignment horizontal="center"/>
    </xf>
    <xf numFmtId="0" fontId="1" fillId="10" borderId="0" xfId="8" applyAlignment="1">
      <alignment horizontal="center" vertical="center"/>
    </xf>
    <xf numFmtId="0" fontId="1" fillId="0" borderId="0" xfId="8" applyFill="1" applyAlignment="1">
      <alignment horizontal="center" vertical="center"/>
    </xf>
    <xf numFmtId="0" fontId="1" fillId="3" borderId="0" xfId="2" applyBorder="1"/>
    <xf numFmtId="0" fontId="1" fillId="3" borderId="11" xfId="2" applyBorder="1"/>
    <xf numFmtId="0" fontId="1" fillId="5" borderId="11" xfId="4" applyFont="1" applyBorder="1"/>
    <xf numFmtId="0" fontId="1" fillId="7" borderId="15" xfId="5" applyBorder="1"/>
    <xf numFmtId="0" fontId="1" fillId="7" borderId="17"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1" fillId="7" borderId="4" xfId="5" applyBorder="1" applyProtection="1">
      <protection locked="0"/>
    </xf>
    <xf numFmtId="0" fontId="1" fillId="7" borderId="6" xfId="5" applyBorder="1" applyProtection="1">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15" xfId="6" applyFill="1" applyBorder="1"/>
    <xf numFmtId="0" fontId="5" fillId="8" borderId="17"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2" borderId="17" xfId="6" applyFill="1" applyBorder="1"/>
    <xf numFmtId="0" fontId="1" fillId="4" borderId="15" xfId="3" applyBorder="1"/>
    <xf numFmtId="0" fontId="1" fillId="4" borderId="16"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1" xfId="10" applyBorder="1" applyAlignment="1"/>
    <xf numFmtId="0" fontId="1" fillId="8" borderId="5" xfId="10" applyBorder="1" applyAlignment="1"/>
    <xf numFmtId="14" fontId="1" fillId="3" borderId="0" xfId="2" applyNumberFormat="1" applyBorder="1"/>
    <xf numFmtId="0" fontId="1" fillId="8" borderId="5" xfId="10" applyBorder="1"/>
    <xf numFmtId="0" fontId="1" fillId="8" borderId="7" xfId="10" applyBorder="1"/>
    <xf numFmtId="0" fontId="1" fillId="3" borderId="19" xfId="2" applyBorder="1"/>
    <xf numFmtId="0" fontId="1" fillId="3" borderId="20"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15" xfId="6" applyFill="1" applyBorder="1"/>
    <xf numFmtId="2" fontId="5" fillId="4" borderId="17"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3" xfId="3" applyBorder="1"/>
    <xf numFmtId="0" fontId="1" fillId="4" borderId="14" xfId="3" applyBorder="1"/>
    <xf numFmtId="0" fontId="1" fillId="4" borderId="15" xfId="3" applyBorder="1" applyAlignment="1">
      <alignment horizontal="center" vertical="center"/>
    </xf>
    <xf numFmtId="0" fontId="1" fillId="4" borderId="17"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2" borderId="5" xfId="0" applyFill="1" applyBorder="1"/>
    <xf numFmtId="0" fontId="0" fillId="12" borderId="7" xfId="0" applyFill="1" applyBorder="1"/>
    <xf numFmtId="0" fontId="0" fillId="13" borderId="6" xfId="0" applyFill="1" applyBorder="1" applyAlignment="1"/>
    <xf numFmtId="14" fontId="1" fillId="4" borderId="25" xfId="3" applyNumberFormat="1" applyBorder="1"/>
    <xf numFmtId="0" fontId="0" fillId="4" borderId="25"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5" fillId="4" borderId="15" xfId="6" applyFont="1" applyFill="1" applyBorder="1"/>
    <xf numFmtId="0" fontId="5" fillId="4" borderId="16" xfId="6" applyFont="1" applyFill="1" applyBorder="1"/>
    <xf numFmtId="0" fontId="5" fillId="4" borderId="17"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25" xfId="3"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0" applyBorder="1" applyAlignment="1"/>
    <xf numFmtId="0" fontId="0" fillId="7" borderId="5" xfId="5" applyFont="1" applyBorder="1" applyAlignment="1" applyProtection="1">
      <protection locked="0"/>
    </xf>
    <xf numFmtId="0" fontId="0" fillId="13" borderId="4" xfId="0" applyFill="1" applyBorder="1" applyAlignment="1"/>
    <xf numFmtId="0" fontId="2" fillId="0" borderId="0" xfId="1" applyFill="1" applyBorder="1" applyAlignment="1">
      <alignment vertical="center"/>
    </xf>
    <xf numFmtId="0" fontId="1" fillId="14" borderId="19" xfId="11" applyBorder="1"/>
    <xf numFmtId="0" fontId="1" fillId="14" borderId="21" xfId="11" applyBorder="1"/>
    <xf numFmtId="0" fontId="0" fillId="4" borderId="5" xfId="3" quotePrefix="1" applyFont="1" applyBorder="1"/>
    <xf numFmtId="0" fontId="9" fillId="0" borderId="0" xfId="9" applyFill="1" applyBorder="1"/>
    <xf numFmtId="0" fontId="9" fillId="9" borderId="20" xfId="9" applyFill="1" applyBorder="1"/>
    <xf numFmtId="0" fontId="1" fillId="5" borderId="6" xfId="4" applyBorder="1" applyProtection="1"/>
    <xf numFmtId="2" fontId="1" fillId="5" borderId="7" xfId="4" applyNumberFormat="1" applyBorder="1" applyAlignment="1" applyProtection="1">
      <alignment horizontal="center"/>
      <protection locked="0"/>
    </xf>
    <xf numFmtId="0" fontId="0" fillId="9" borderId="26" xfId="7" applyFont="1" applyBorder="1"/>
    <xf numFmtId="0" fontId="5" fillId="12" borderId="5" xfId="0" applyFont="1" applyFill="1" applyBorder="1" applyAlignment="1"/>
    <xf numFmtId="0" fontId="1" fillId="9" borderId="27" xfId="7" applyBorder="1" applyProtection="1">
      <protection locked="0"/>
    </xf>
    <xf numFmtId="0" fontId="0" fillId="9" borderId="28" xfId="7" applyFont="1" applyBorder="1" applyAlignment="1"/>
    <xf numFmtId="0" fontId="11" fillId="0" borderId="0" xfId="0" applyFont="1" applyAlignment="1">
      <alignment wrapText="1"/>
    </xf>
    <xf numFmtId="0" fontId="12" fillId="0" borderId="0" xfId="0" applyFont="1" applyAlignment="1">
      <alignment wrapText="1"/>
    </xf>
    <xf numFmtId="14" fontId="1" fillId="3" borderId="0" xfId="2" applyNumberFormat="1" applyFont="1" applyBorder="1" applyProtection="1">
      <protection locked="0"/>
    </xf>
    <xf numFmtId="0" fontId="1" fillId="3" borderId="5" xfId="2" applyFont="1" applyBorder="1" applyProtection="1">
      <protection locked="0"/>
    </xf>
    <xf numFmtId="0" fontId="0" fillId="13" borderId="2" xfId="0" applyFill="1" applyBorder="1" applyAlignment="1"/>
    <xf numFmtId="0" fontId="0" fillId="13" borderId="10" xfId="0" applyFill="1" applyBorder="1" applyAlignment="1"/>
    <xf numFmtId="0" fontId="0" fillId="13" borderId="3" xfId="0" applyFill="1" applyBorder="1" applyAlignment="1"/>
    <xf numFmtId="0" fontId="0" fillId="13" borderId="0" xfId="0" applyFill="1" applyBorder="1" applyAlignment="1"/>
    <xf numFmtId="0" fontId="0" fillId="13" borderId="5" xfId="0" applyFill="1" applyBorder="1" applyAlignment="1"/>
    <xf numFmtId="0" fontId="0" fillId="13" borderId="25" xfId="0" applyFill="1" applyBorder="1" applyAlignment="1"/>
    <xf numFmtId="0" fontId="0" fillId="13" borderId="7" xfId="0" applyFill="1" applyBorder="1" applyAlignment="1"/>
    <xf numFmtId="0" fontId="0" fillId="13" borderId="0" xfId="0" applyFill="1" applyBorder="1" applyAlignment="1">
      <alignment wrapText="1"/>
    </xf>
    <xf numFmtId="0" fontId="0" fillId="13" borderId="25" xfId="0" applyFill="1" applyBorder="1" applyAlignment="1">
      <alignment wrapText="1"/>
    </xf>
    <xf numFmtId="0" fontId="8" fillId="0" borderId="19" xfId="7" applyFont="1" applyFill="1" applyBorder="1" applyAlignment="1">
      <alignment horizontal="center" vertical="center"/>
    </xf>
    <xf numFmtId="0" fontId="0" fillId="3" borderId="9" xfId="2" applyFont="1" applyBorder="1" applyProtection="1">
      <protection locked="0"/>
    </xf>
    <xf numFmtId="43" fontId="1" fillId="4" borderId="0" xfId="3" applyNumberFormat="1" applyBorder="1"/>
    <xf numFmtId="0" fontId="0" fillId="0" borderId="0" xfId="0"/>
    <xf numFmtId="0" fontId="0" fillId="0" borderId="25" xfId="0" applyBorder="1"/>
    <xf numFmtId="43" fontId="1" fillId="4" borderId="25" xfId="3" applyNumberFormat="1" applyBorder="1"/>
    <xf numFmtId="0" fontId="0" fillId="0" borderId="0" xfId="0"/>
    <xf numFmtId="4" fontId="0" fillId="0" borderId="0" xfId="0" applyNumberFormat="1"/>
    <xf numFmtId="43" fontId="0" fillId="0" borderId="0" xfId="12" applyFont="1"/>
    <xf numFmtId="164" fontId="0" fillId="0" borderId="0" xfId="0" applyNumberFormat="1"/>
    <xf numFmtId="164" fontId="0" fillId="0" borderId="0" xfId="0" applyNumberFormat="1"/>
    <xf numFmtId="43" fontId="0" fillId="15" borderId="0" xfId="12" applyFont="1" applyFill="1"/>
    <xf numFmtId="43" fontId="0" fillId="15" borderId="0" xfId="12" applyFont="1" applyFill="1"/>
    <xf numFmtId="0" fontId="0" fillId="15" borderId="0" xfId="0" applyFill="1"/>
    <xf numFmtId="0" fontId="0" fillId="0" borderId="0" xfId="0"/>
    <xf numFmtId="0" fontId="0" fillId="15" borderId="0" xfId="0" applyFill="1"/>
    <xf numFmtId="0" fontId="0" fillId="15" borderId="0" xfId="0" applyFill="1"/>
    <xf numFmtId="0" fontId="2" fillId="2" borderId="3" xfId="1" applyBorder="1" applyAlignment="1">
      <alignment vertical="center"/>
    </xf>
    <xf numFmtId="0" fontId="2" fillId="2" borderId="5" xfId="1" applyBorder="1" applyAlignment="1">
      <alignment vertical="center"/>
    </xf>
    <xf numFmtId="0" fontId="2" fillId="2" borderId="7" xfId="1" applyBorder="1" applyAlignment="1">
      <alignment vertical="center"/>
    </xf>
    <xf numFmtId="0" fontId="2" fillId="13" borderId="0" xfId="1" applyFill="1" applyBorder="1" applyAlignment="1">
      <alignment vertical="center"/>
    </xf>
    <xf numFmtId="0" fontId="2" fillId="13" borderId="10" xfId="1" applyFill="1" applyBorder="1" applyAlignment="1">
      <alignment vertical="center"/>
    </xf>
    <xf numFmtId="0" fontId="2" fillId="13" borderId="3" xfId="1" applyFill="1" applyBorder="1" applyAlignment="1">
      <alignment vertical="center"/>
    </xf>
    <xf numFmtId="0" fontId="2" fillId="13" borderId="5" xfId="1" applyFill="1" applyBorder="1" applyAlignment="1">
      <alignment vertical="center"/>
    </xf>
    <xf numFmtId="0" fontId="2" fillId="13" borderId="25" xfId="1" applyFill="1" applyBorder="1" applyAlignment="1">
      <alignment vertical="center"/>
    </xf>
    <xf numFmtId="0" fontId="2" fillId="13" borderId="7" xfId="1" applyFill="1" applyBorder="1" applyAlignment="1">
      <alignment vertical="center"/>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2" xfId="7" applyFont="1" applyBorder="1" applyAlignment="1">
      <alignment horizontal="center"/>
    </xf>
    <xf numFmtId="0" fontId="0" fillId="9" borderId="23" xfId="7" applyFont="1" applyBorder="1" applyAlignment="1">
      <alignment horizontal="center"/>
    </xf>
    <xf numFmtId="0" fontId="0" fillId="9" borderId="24"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19" xfId="1" applyBorder="1" applyAlignment="1">
      <alignment horizontal="center" wrapText="1"/>
    </xf>
    <xf numFmtId="0" fontId="2" fillId="2" borderId="20" xfId="1" applyBorder="1" applyAlignment="1">
      <alignment horizontal="center" wrapText="1"/>
    </xf>
    <xf numFmtId="0" fontId="2" fillId="2" borderId="21"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0" xfId="7" applyFont="1" applyBorder="1" applyAlignment="1">
      <alignment horizontal="center" vertical="center" wrapText="1"/>
    </xf>
    <xf numFmtId="0" fontId="8" fillId="9" borderId="5" xfId="7" applyFont="1" applyBorder="1" applyAlignment="1">
      <alignment horizontal="center" vertical="center" wrapText="1"/>
    </xf>
    <xf numFmtId="0" fontId="8" fillId="9" borderId="6" xfId="7" applyFont="1" applyBorder="1" applyAlignment="1">
      <alignment horizontal="center" vertical="center" wrapText="1"/>
    </xf>
    <xf numFmtId="0" fontId="8" fillId="9" borderId="25" xfId="7" applyFont="1" applyBorder="1" applyAlignment="1">
      <alignment horizontal="center" vertical="center" wrapText="1"/>
    </xf>
    <xf numFmtId="0" fontId="8" fillId="9" borderId="7" xfId="7" applyFont="1" applyBorder="1" applyAlignment="1">
      <alignment horizontal="center" vertical="center" wrapText="1"/>
    </xf>
    <xf numFmtId="0" fontId="2" fillId="2" borderId="19" xfId="1" applyBorder="1" applyAlignment="1">
      <alignment horizontal="center"/>
    </xf>
    <xf numFmtId="0" fontId="2" fillId="2" borderId="21"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19" xfId="1" applyFont="1" applyBorder="1" applyAlignment="1">
      <alignment horizontal="center"/>
    </xf>
    <xf numFmtId="0" fontId="6" fillId="2" borderId="20" xfId="1" applyFont="1" applyBorder="1" applyAlignment="1">
      <alignment horizontal="center"/>
    </xf>
    <xf numFmtId="0" fontId="6" fillId="2" borderId="21" xfId="1" applyFont="1" applyBorder="1" applyAlignment="1">
      <alignment horizontal="center"/>
    </xf>
    <xf numFmtId="0" fontId="0" fillId="9" borderId="25" xfId="7" applyFont="1" applyBorder="1" applyAlignment="1">
      <alignment horizontal="center" vertical="center" wrapText="1"/>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2" fillId="2" borderId="0" xfId="1" applyAlignment="1">
      <alignment horizontal="left" vertical="top"/>
    </xf>
    <xf numFmtId="0" fontId="2" fillId="2" borderId="5" xfId="1" applyBorder="1" applyAlignment="1">
      <alignment horizontal="left" vertical="top"/>
    </xf>
    <xf numFmtId="0" fontId="0" fillId="0" borderId="0" xfId="0"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25" xfId="1" applyBorder="1" applyAlignment="1">
      <alignment horizontal="left" vertical="center"/>
    </xf>
    <xf numFmtId="0" fontId="2" fillId="2" borderId="2" xfId="1" applyBorder="1" applyAlignment="1">
      <alignment vertical="center"/>
    </xf>
    <xf numFmtId="0" fontId="2" fillId="2" borderId="10" xfId="1" applyBorder="1" applyAlignment="1">
      <alignment vertical="center"/>
    </xf>
    <xf numFmtId="0" fontId="2" fillId="2" borderId="4" xfId="1" applyBorder="1" applyAlignment="1">
      <alignment vertical="center"/>
    </xf>
    <xf numFmtId="0" fontId="2" fillId="2" borderId="0" xfId="1" applyBorder="1" applyAlignment="1">
      <alignment vertical="center"/>
    </xf>
    <xf numFmtId="0" fontId="2" fillId="2" borderId="6" xfId="1" applyBorder="1" applyAlignment="1">
      <alignment vertical="center"/>
    </xf>
    <xf numFmtId="0" fontId="2" fillId="2" borderId="25" xfId="1" applyBorder="1" applyAlignment="1">
      <alignment vertical="center"/>
    </xf>
    <xf numFmtId="0" fontId="8" fillId="0" borderId="12" xfId="7" applyFont="1" applyFill="1" applyBorder="1" applyAlignment="1">
      <alignment horizontal="center" vertical="center"/>
    </xf>
    <xf numFmtId="0" fontId="8" fillId="0" borderId="13" xfId="7" applyFont="1" applyFill="1" applyBorder="1" applyAlignment="1">
      <alignment horizontal="center" vertical="center"/>
    </xf>
    <xf numFmtId="0" fontId="8" fillId="0" borderId="14" xfId="7" applyFont="1" applyFill="1" applyBorder="1" applyAlignment="1">
      <alignment horizontal="center" vertical="center"/>
    </xf>
    <xf numFmtId="0" fontId="0" fillId="0" borderId="4" xfId="0" applyBorder="1" applyAlignment="1">
      <alignment horizontal="center" vertical="center"/>
    </xf>
    <xf numFmtId="0" fontId="2" fillId="2" borderId="12" xfId="1" applyBorder="1" applyAlignment="1">
      <alignment horizontal="center" vertical="center" wrapText="1"/>
    </xf>
    <xf numFmtId="0" fontId="2" fillId="2" borderId="14" xfId="1" applyBorder="1" applyAlignment="1">
      <alignment horizontal="center" vertical="center" wrapText="1"/>
    </xf>
    <xf numFmtId="0" fontId="8" fillId="9" borderId="19" xfId="7" applyFont="1" applyBorder="1" applyAlignment="1">
      <alignment horizontal="center" vertical="center" wrapText="1"/>
    </xf>
    <xf numFmtId="0" fontId="8" fillId="9" borderId="20" xfId="7" applyFont="1" applyBorder="1" applyAlignment="1">
      <alignment horizontal="center" vertical="center" wrapText="1"/>
    </xf>
    <xf numFmtId="0" fontId="8" fillId="9" borderId="21"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11" xfId="7" applyFont="1" applyBorder="1" applyAlignment="1">
      <alignment horizontal="center" vertical="center" wrapText="1"/>
    </xf>
    <xf numFmtId="0" fontId="8" fillId="9" borderId="19" xfId="7" applyFont="1" applyBorder="1" applyAlignment="1">
      <alignment horizontal="center" vertical="center"/>
    </xf>
    <xf numFmtId="0" fontId="8" fillId="9" borderId="20" xfId="7" applyFont="1" applyBorder="1" applyAlignment="1">
      <alignment horizontal="center" vertical="center"/>
    </xf>
    <xf numFmtId="0" fontId="8" fillId="9" borderId="21" xfId="7" applyFont="1" applyBorder="1" applyAlignment="1">
      <alignment horizontal="center" vertical="center"/>
    </xf>
    <xf numFmtId="0" fontId="2" fillId="2" borderId="19" xfId="1" applyBorder="1" applyAlignment="1">
      <alignment horizontal="center" vertical="center" wrapText="1"/>
    </xf>
    <xf numFmtId="0" fontId="2" fillId="2" borderId="20" xfId="1" applyBorder="1" applyAlignment="1">
      <alignment horizontal="center" vertical="center" wrapText="1"/>
    </xf>
    <xf numFmtId="0" fontId="2" fillId="2" borderId="21"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7" xfId="1" applyBorder="1" applyAlignment="1">
      <alignment horizontal="left" vertical="center" wrapText="1"/>
    </xf>
  </cellXfs>
  <cellStyles count="13">
    <cellStyle name="20% - Accent1" xfId="2" builtinId="30"/>
    <cellStyle name="20% - Accent3" xfId="5" builtinId="38"/>
    <cellStyle name="20% - Accent5" xfId="4" builtinId="46"/>
    <cellStyle name="40% - Accent1" xfId="3" builtinId="31"/>
    <cellStyle name="40% - Accent3" xfId="10" builtinId="39"/>
    <cellStyle name="60% - Accent1" xfId="8" builtinId="32"/>
    <cellStyle name="60% - Accent3" xfId="11" builtinId="40"/>
    <cellStyle name="Comma 2" xfId="12" xr:uid="{00000000-0005-0000-0000-000031000000}"/>
    <cellStyle name="Heading 3" xfId="9" builtinId="18"/>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f7bc855452cf419eb894a513ba0ecd70">
      <tp>
        <v>-1</v>
        <stp/>
        <stp>61f04d1a-e9d7-4d11-baee-ad744e0e5858</stp>
        <tr r="E21" s="1"/>
        <tr r="E40" s="1"/>
        <tr r="D21" s="1"/>
        <tr r="E16" s="1"/>
        <tr r="E27" s="1"/>
        <tr r="E20" s="1"/>
        <tr r="D42" s="1"/>
        <tr r="D26" s="1"/>
        <tr r="E28" s="1"/>
        <tr r="E19" s="1"/>
        <tr r="D18" s="1"/>
        <tr r="D25" s="1"/>
        <tr r="E33" s="1"/>
        <tr r="D43" s="1"/>
        <tr r="D39" s="1"/>
        <tr r="D38" s="1"/>
        <tr r="D41" s="1"/>
        <tr r="E22" s="1"/>
        <tr r="D31" s="1"/>
        <tr r="E13" s="1"/>
        <tr r="D33" s="1"/>
        <tr r="D32" s="1"/>
        <tr r="E43" s="1"/>
        <tr r="E14" s="1"/>
        <tr r="D23" s="1"/>
        <tr r="D17" s="1"/>
        <tr r="D35" s="1"/>
        <tr r="E17" s="1"/>
        <tr r="E29" s="1"/>
        <tr r="E30" s="1"/>
        <tr r="D27" s="1"/>
        <tr r="D14" s="1"/>
        <tr r="D36" s="1"/>
        <tr r="D37" s="1"/>
        <tr r="E26" s="1"/>
        <tr r="D24" s="1"/>
        <tr r="D20" s="1"/>
        <tr r="D29" s="1"/>
        <tr r="E37" s="1"/>
        <tr r="E24" s="1"/>
        <tr r="D15" s="1"/>
        <tr r="E25" s="1"/>
        <tr r="D16" s="1"/>
        <tr r="E38" s="1"/>
        <tr r="E18" s="1"/>
        <tr r="E34" s="1"/>
        <tr r="E15" s="1"/>
        <tr r="D34" s="1"/>
        <tr r="D30" s="1"/>
        <tr r="D28" s="1"/>
        <tr r="D13" s="1"/>
        <tr r="E23" s="1"/>
        <tr r="E39" s="1"/>
        <tr r="E32" s="1"/>
        <tr r="D22" s="1"/>
        <tr r="D40" s="1"/>
        <tr r="E31" s="1"/>
        <tr r="E42" s="1"/>
        <tr r="D19" s="1"/>
        <tr r="E36" s="1"/>
        <tr r="E35" s="1"/>
        <tr r="E41"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16</xdr:row>
          <xdr:rowOff>76200</xdr:rowOff>
        </xdr:from>
        <xdr:to>
          <xdr:col>3</xdr:col>
          <xdr:colOff>323850</xdr:colOff>
          <xdr:row>18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161925</xdr:colOff>
          <xdr:row>23</xdr:row>
          <xdr:rowOff>76200</xdr:rowOff>
        </xdr:from>
        <xdr:to>
          <xdr:col>3</xdr:col>
          <xdr:colOff>323850</xdr:colOff>
          <xdr:row>25</xdr:row>
          <xdr:rowOff>9525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30</xdr:row>
          <xdr:rowOff>76200</xdr:rowOff>
        </xdr:from>
        <xdr:to>
          <xdr:col>3</xdr:col>
          <xdr:colOff>323850</xdr:colOff>
          <xdr:row>32</xdr:row>
          <xdr:rowOff>9525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95250</xdr:rowOff>
        </xdr:from>
        <xdr:to>
          <xdr:col>5</xdr:col>
          <xdr:colOff>857250</xdr:colOff>
          <xdr:row>15</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5</xdr:col>
      <xdr:colOff>154019</xdr:colOff>
      <xdr:row>5</xdr:row>
      <xdr:rowOff>100635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13</xdr:row>
          <xdr:rowOff>76200</xdr:rowOff>
        </xdr:from>
        <xdr:to>
          <xdr:col>6</xdr:col>
          <xdr:colOff>990600</xdr:colOff>
          <xdr:row>14</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404392</xdr:colOff>
      <xdr:row>5</xdr:row>
      <xdr:rowOff>46206</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5</xdr:col>
      <xdr:colOff>65573</xdr:colOff>
      <xdr:row>5</xdr:row>
      <xdr:rowOff>100635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morningstar.co.uk/uk/etf/snapshot/snapshot.aspx?id=0P00002DB3" TargetMode="External"/><Relationship Id="rId1" Type="http://schemas.openxmlformats.org/officeDocument/2006/relationships/hyperlink" Target="http://www.morningstar.co.uk/uk/etf/snapshot/snapshot.aspx?id=0P00002DB4"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3"/>
  <dimension ref="B3:B9"/>
  <sheetViews>
    <sheetView workbookViewId="0">
      <selection activeCell="B5" sqref="B5"/>
    </sheetView>
  </sheetViews>
  <sheetFormatPr defaultRowHeight="14.25" x14ac:dyDescent="0.45"/>
  <cols>
    <col min="2" max="2" width="104" style="15" customWidth="1"/>
  </cols>
  <sheetData>
    <row r="3" spans="2:2" ht="21" x14ac:dyDescent="0.65">
      <c r="B3" s="139" t="s">
        <v>88</v>
      </c>
    </row>
    <row r="4" spans="2:2" ht="21" x14ac:dyDescent="0.65">
      <c r="B4" s="140"/>
    </row>
    <row r="5" spans="2:2" ht="126" x14ac:dyDescent="0.65">
      <c r="B5" s="140" t="s">
        <v>89</v>
      </c>
    </row>
    <row r="6" spans="2:2" ht="21" x14ac:dyDescent="0.65">
      <c r="B6" s="140"/>
    </row>
    <row r="7" spans="2:2" ht="42" x14ac:dyDescent="0.65">
      <c r="B7" s="140" t="s">
        <v>90</v>
      </c>
    </row>
    <row r="8" spans="2:2" ht="21" x14ac:dyDescent="0.65">
      <c r="B8" s="140"/>
    </row>
    <row r="9" spans="2:2" ht="147" x14ac:dyDescent="0.65">
      <c r="B9" s="140" t="s">
        <v>91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22" sqref="L22"/>
    </sheetView>
  </sheetViews>
  <sheetFormatPr defaultRowHeight="14.25" x14ac:dyDescent="0.45"/>
  <cols>
    <col min="2" max="2" width="21.265625" customWidth="1"/>
    <col min="3" max="3" width="17.265625" customWidth="1"/>
    <col min="4" max="4" width="25.73046875" customWidth="1"/>
    <col min="5" max="5" width="33" customWidth="1"/>
    <col min="12" max="12" width="27.265625" customWidth="1"/>
    <col min="13" max="13" width="27.86328125" customWidth="1"/>
  </cols>
  <sheetData>
    <row r="11" spans="2:21" x14ac:dyDescent="0.45">
      <c r="B11" s="186" t="s">
        <v>55</v>
      </c>
      <c r="C11" s="187"/>
      <c r="D11" s="187"/>
      <c r="E11" s="188"/>
    </row>
    <row r="13" spans="2:21" x14ac:dyDescent="0.45">
      <c r="B13" s="17" t="s">
        <v>21</v>
      </c>
      <c r="C13" s="1"/>
      <c r="D13" s="128" t="str">
        <f t="array" ref="D13:E43">_xll.fbnSecuritiesLookup("Isin",RawSecuritiesRange)</f>
        <v>Uid</v>
      </c>
      <c r="E13" s="129" t="str">
        <v>CommonName</v>
      </c>
    </row>
    <row r="14" spans="2:21" x14ac:dyDescent="0.45">
      <c r="B14" s="18" t="s">
        <v>115</v>
      </c>
      <c r="D14" s="100" t="str">
        <v>FIGI_BBG009S39JY5</v>
      </c>
      <c r="E14" s="99" t="str">
        <v>ALPHABET INC-CL A</v>
      </c>
    </row>
    <row r="15" spans="2:21" ht="15" customHeight="1" x14ac:dyDescent="0.45">
      <c r="B15" s="18" t="s">
        <v>116</v>
      </c>
      <c r="D15" s="100" t="str">
        <v>FIGI_BBG001SKXPR1</v>
      </c>
      <c r="E15" s="99" t="str">
        <v>ISHARES 1-3 YEAR TREASURY BO</v>
      </c>
      <c r="L15" s="180" t="s">
        <v>20</v>
      </c>
      <c r="M15" s="181"/>
      <c r="N15" s="181"/>
      <c r="O15" s="181"/>
      <c r="P15" s="181"/>
      <c r="Q15" s="181"/>
      <c r="R15" s="181"/>
      <c r="S15" s="181"/>
      <c r="T15" s="181"/>
      <c r="U15" s="182"/>
    </row>
    <row r="16" spans="2:21" x14ac:dyDescent="0.45">
      <c r="B16" s="18" t="s">
        <v>117</v>
      </c>
      <c r="D16" s="100" t="str">
        <v>FIGI_BBG001S6PJ31</v>
      </c>
      <c r="E16" s="99" t="str">
        <v>VODAFONE GROUP PLC</v>
      </c>
      <c r="L16" s="189"/>
      <c r="M16" s="190"/>
      <c r="N16" s="190"/>
      <c r="O16" s="190"/>
      <c r="P16" s="190"/>
      <c r="Q16" s="190"/>
      <c r="R16" s="190"/>
      <c r="S16" s="190"/>
      <c r="T16" s="190"/>
      <c r="U16" s="191"/>
    </row>
    <row r="17" spans="2:21" x14ac:dyDescent="0.45">
      <c r="B17" s="18" t="s">
        <v>118</v>
      </c>
      <c r="D17" s="100" t="str">
        <v>FIGI_BBG001SM9G12</v>
      </c>
      <c r="E17" s="99" t="str">
        <v>ISHARES EURO GOVT 7-10YR</v>
      </c>
      <c r="L17" s="183"/>
      <c r="M17" s="184"/>
      <c r="N17" s="184"/>
      <c r="O17" s="184"/>
      <c r="P17" s="184"/>
      <c r="Q17" s="184"/>
      <c r="R17" s="184"/>
      <c r="S17" s="184"/>
      <c r="T17" s="184"/>
      <c r="U17" s="185"/>
    </row>
    <row r="18" spans="2:21" x14ac:dyDescent="0.45">
      <c r="B18" s="18" t="s">
        <v>120</v>
      </c>
      <c r="D18" s="100" t="str">
        <v>FIGI_BBG001S5TD05</v>
      </c>
      <c r="E18" s="99" t="str">
        <v>MICROSOFT CORP</v>
      </c>
    </row>
    <row r="19" spans="2:21" x14ac:dyDescent="0.45">
      <c r="B19" s="18" t="s">
        <v>119</v>
      </c>
      <c r="D19" s="100" t="str">
        <v>FIGI_BBG001S61626</v>
      </c>
      <c r="E19" s="99" t="str">
        <v>BARCLAYS PLC</v>
      </c>
    </row>
    <row r="20" spans="2:21" x14ac:dyDescent="0.45">
      <c r="B20" s="18" t="s">
        <v>121</v>
      </c>
      <c r="D20" s="100" t="str">
        <v>FIGI_BBG001SP8SP4</v>
      </c>
      <c r="E20" s="99" t="str">
        <v>ISHARES EUR GOVT 1-3YR</v>
      </c>
      <c r="L20" s="180" t="s">
        <v>145</v>
      </c>
      <c r="M20" s="181"/>
      <c r="N20" s="181"/>
      <c r="O20" s="181"/>
      <c r="P20" s="181"/>
      <c r="Q20" s="181"/>
      <c r="R20" s="181"/>
      <c r="S20" s="181"/>
      <c r="T20" s="181"/>
      <c r="U20" s="182"/>
    </row>
    <row r="21" spans="2:21" x14ac:dyDescent="0.45">
      <c r="B21" s="18" t="s">
        <v>122</v>
      </c>
      <c r="D21" s="100" t="str">
        <v>FIGI_BBG001S80936</v>
      </c>
      <c r="E21" s="99" t="str">
        <v>ISHARES 7-10 YEAR TREASURY B</v>
      </c>
      <c r="L21" s="183"/>
      <c r="M21" s="184"/>
      <c r="N21" s="184"/>
      <c r="O21" s="184"/>
      <c r="P21" s="184"/>
      <c r="Q21" s="184"/>
      <c r="R21" s="184"/>
      <c r="S21" s="184"/>
      <c r="T21" s="184"/>
      <c r="U21" s="185"/>
    </row>
    <row r="22" spans="2:21" x14ac:dyDescent="0.45">
      <c r="B22" s="18"/>
      <c r="D22" s="100" t="e">
        <v>#N/A</v>
      </c>
      <c r="E22" s="99" t="e">
        <v>#N/A</v>
      </c>
    </row>
    <row r="23" spans="2:21" x14ac:dyDescent="0.45">
      <c r="B23" s="18"/>
      <c r="D23" s="100" t="e">
        <v>#N/A</v>
      </c>
      <c r="E23" s="99" t="e">
        <v>#N/A</v>
      </c>
      <c r="L23" s="179" t="s">
        <v>16</v>
      </c>
      <c r="M23" s="179"/>
      <c r="N23" s="179"/>
      <c r="O23" s="179"/>
    </row>
    <row r="24" spans="2:21" x14ac:dyDescent="0.45">
      <c r="B24" s="18"/>
      <c r="D24" s="100" t="e">
        <v>#N/A</v>
      </c>
      <c r="E24" s="99" t="e">
        <v>#N/A</v>
      </c>
      <c r="L24" s="192" t="s">
        <v>18</v>
      </c>
      <c r="M24" s="192"/>
      <c r="N24" s="192"/>
      <c r="O24" s="192"/>
    </row>
    <row r="25" spans="2:21" x14ac:dyDescent="0.45">
      <c r="B25" s="18"/>
      <c r="D25" s="100" t="e">
        <v>#N/A</v>
      </c>
      <c r="E25" s="99" t="e">
        <v>#N/A</v>
      </c>
      <c r="L25" s="193" t="s">
        <v>17</v>
      </c>
      <c r="M25" s="193"/>
      <c r="N25" s="193"/>
      <c r="O25" s="193"/>
    </row>
    <row r="26" spans="2:21" x14ac:dyDescent="0.45">
      <c r="B26" s="18"/>
      <c r="D26" s="100" t="e">
        <v>#N/A</v>
      </c>
      <c r="E26" s="99" t="e">
        <v>#N/A</v>
      </c>
      <c r="L26" s="194" t="s">
        <v>15</v>
      </c>
      <c r="M26" s="194"/>
      <c r="N26" s="194"/>
      <c r="O26" s="194"/>
    </row>
    <row r="27" spans="2:21" x14ac:dyDescent="0.45">
      <c r="B27" s="18"/>
      <c r="D27" s="100" t="e">
        <v>#N/A</v>
      </c>
      <c r="E27" s="99" t="e">
        <v>#N/A</v>
      </c>
      <c r="L27" s="178" t="s">
        <v>19</v>
      </c>
      <c r="M27" s="178"/>
      <c r="N27" s="178"/>
      <c r="O27" s="178"/>
    </row>
    <row r="28" spans="2:21" x14ac:dyDescent="0.45">
      <c r="B28" s="18"/>
      <c r="D28" s="100" t="e">
        <v>#N/A</v>
      </c>
      <c r="E28" s="99" t="e">
        <v>#N/A</v>
      </c>
      <c r="L28" s="7"/>
      <c r="M28" s="7"/>
      <c r="N28" s="7"/>
      <c r="O28" s="7"/>
    </row>
    <row r="29" spans="2:21" x14ac:dyDescent="0.45">
      <c r="B29" s="18"/>
      <c r="D29" s="100" t="e">
        <v>#N/A</v>
      </c>
      <c r="E29" s="99" t="e">
        <v>#N/A</v>
      </c>
      <c r="L29" s="7"/>
      <c r="M29" s="7"/>
      <c r="N29" s="7"/>
      <c r="O29" s="7"/>
    </row>
    <row r="30" spans="2:21" x14ac:dyDescent="0.45">
      <c r="B30" s="18"/>
      <c r="D30" s="100" t="e">
        <v>#N/A</v>
      </c>
      <c r="E30" s="99" t="e">
        <v>#N/A</v>
      </c>
      <c r="L30" s="7"/>
      <c r="M30" s="7"/>
      <c r="N30" s="7"/>
      <c r="O30" s="7"/>
    </row>
    <row r="31" spans="2:21" x14ac:dyDescent="0.45">
      <c r="B31" s="18"/>
      <c r="D31" s="100" t="e">
        <v>#N/A</v>
      </c>
      <c r="E31" s="99" t="e">
        <v>#N/A</v>
      </c>
      <c r="L31" t="s">
        <v>110</v>
      </c>
      <c r="N31" s="7"/>
      <c r="O31" s="7"/>
    </row>
    <row r="32" spans="2:21" x14ac:dyDescent="0.45">
      <c r="B32" s="18"/>
      <c r="D32" s="100" t="e">
        <v>#N/A</v>
      </c>
      <c r="E32" s="99" t="e">
        <v>#N/A</v>
      </c>
      <c r="L32" s="30" t="s">
        <v>23</v>
      </c>
      <c r="M32" s="87" t="s">
        <v>128</v>
      </c>
      <c r="N32" s="7"/>
      <c r="O32" s="7"/>
    </row>
    <row r="33" spans="2:15" x14ac:dyDescent="0.45">
      <c r="B33" s="18"/>
      <c r="D33" s="100" t="e">
        <v>#N/A</v>
      </c>
      <c r="E33" s="99" t="e">
        <v>#N/A</v>
      </c>
      <c r="L33" s="30" t="s">
        <v>111</v>
      </c>
      <c r="M33" s="88">
        <f ca="1">TODAY()</f>
        <v>43288</v>
      </c>
      <c r="N33" s="7"/>
      <c r="O33" s="7"/>
    </row>
    <row r="34" spans="2:15" x14ac:dyDescent="0.45">
      <c r="B34" s="18"/>
      <c r="D34" s="100" t="e">
        <v>#N/A</v>
      </c>
      <c r="E34" s="99" t="e">
        <v>#N/A</v>
      </c>
      <c r="L34" s="101"/>
      <c r="M34" s="101"/>
    </row>
    <row r="35" spans="2:15" x14ac:dyDescent="0.45">
      <c r="B35" s="18"/>
      <c r="D35" s="100" t="e">
        <v>#N/A</v>
      </c>
      <c r="E35" s="99" t="e">
        <v>#N/A</v>
      </c>
      <c r="L35" s="101"/>
      <c r="M35" s="101"/>
    </row>
    <row r="36" spans="2:15" x14ac:dyDescent="0.45">
      <c r="B36" s="19"/>
      <c r="C36" s="1"/>
      <c r="D36" s="100" t="e">
        <v>#N/A</v>
      </c>
      <c r="E36" s="99" t="e">
        <v>#N/A</v>
      </c>
      <c r="L36" s="101"/>
      <c r="M36" s="101"/>
    </row>
    <row r="37" spans="2:15" x14ac:dyDescent="0.45">
      <c r="B37" s="18"/>
      <c r="D37" s="100" t="e">
        <v>#N/A</v>
      </c>
      <c r="E37" s="99" t="e">
        <v>#N/A</v>
      </c>
    </row>
    <row r="38" spans="2:15" x14ac:dyDescent="0.45">
      <c r="B38" s="18"/>
      <c r="D38" s="100" t="e">
        <v>#N/A</v>
      </c>
      <c r="E38" s="99" t="e">
        <v>#N/A</v>
      </c>
    </row>
    <row r="39" spans="2:15" x14ac:dyDescent="0.45">
      <c r="B39" s="18"/>
      <c r="D39" s="100" t="e">
        <v>#N/A</v>
      </c>
      <c r="E39" s="99" t="e">
        <v>#N/A</v>
      </c>
    </row>
    <row r="40" spans="2:15" x14ac:dyDescent="0.45">
      <c r="B40" s="18"/>
      <c r="D40" s="100" t="e">
        <v>#N/A</v>
      </c>
      <c r="E40" s="99" t="e">
        <v>#N/A</v>
      </c>
    </row>
    <row r="41" spans="2:15" x14ac:dyDescent="0.45">
      <c r="B41" s="18"/>
      <c r="D41" s="100" t="e">
        <v>#N/A</v>
      </c>
      <c r="E41" s="99" t="e">
        <v>#N/A</v>
      </c>
    </row>
    <row r="42" spans="2:15" x14ac:dyDescent="0.45">
      <c r="B42" s="18"/>
      <c r="D42" s="100" t="e">
        <v>#N/A</v>
      </c>
      <c r="E42" s="99" t="e">
        <v>#N/A</v>
      </c>
    </row>
    <row r="43" spans="2:15" x14ac:dyDescent="0.45">
      <c r="B43" s="20"/>
      <c r="D43" s="98" t="e">
        <v>#N/A</v>
      </c>
      <c r="E43" s="97" t="e">
        <v>#N/A</v>
      </c>
    </row>
  </sheetData>
  <mergeCells count="8">
    <mergeCell ref="L27:O27"/>
    <mergeCell ref="L23:O23"/>
    <mergeCell ref="L20:U21"/>
    <mergeCell ref="B11:E11"/>
    <mergeCell ref="L15:U17"/>
    <mergeCell ref="L24:O24"/>
    <mergeCell ref="L25:O25"/>
    <mergeCell ref="L26:O26"/>
  </mergeCells>
  <hyperlinks>
    <hyperlink ref="B20" r:id="rId1" display="http://www.morningstar.co.uk/uk/etf/snapshot/snapshot.aspx?id=0P00002DB4" xr:uid="{1F185B63-1140-429A-96F0-722D2E2BE25C}"/>
    <hyperlink ref="B21" r:id="rId2" display="http://www.morningstar.co.uk/uk/etf/snapshot/snapshot.aspx?id=0P00002DB3" xr:uid="{1527BBB6-C7F8-47CF-A711-5375F0013B57}"/>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topLeftCell="A4" zoomScale="80" zoomScaleNormal="80" workbookViewId="0">
      <selection activeCell="C10" sqref="C10"/>
    </sheetView>
  </sheetViews>
  <sheetFormatPr defaultRowHeight="14.25" x14ac:dyDescent="0.45"/>
  <cols>
    <col min="1" max="1" width="6.265625" customWidth="1"/>
    <col min="2" max="2" width="7.59765625" customWidth="1"/>
    <col min="3" max="3" width="22" customWidth="1"/>
    <col min="4" max="4" width="31.73046875" customWidth="1"/>
    <col min="5" max="5" width="24.1328125" customWidth="1"/>
    <col min="6" max="6" width="11" customWidth="1"/>
    <col min="7" max="7" width="38.59765625" customWidth="1"/>
    <col min="8" max="8" width="19.1328125" customWidth="1"/>
  </cols>
  <sheetData>
    <row r="7" spans="3:8" ht="15" customHeight="1" x14ac:dyDescent="0.45">
      <c r="C7" s="199" t="s">
        <v>146</v>
      </c>
      <c r="D7" s="200"/>
      <c r="E7" s="201"/>
      <c r="F7" s="15"/>
    </row>
    <row r="8" spans="3:8" x14ac:dyDescent="0.45">
      <c r="C8" s="202"/>
      <c r="D8" s="203"/>
      <c r="E8" s="204"/>
      <c r="F8" s="15"/>
    </row>
    <row r="9" spans="3:8" x14ac:dyDescent="0.45">
      <c r="C9" s="205"/>
      <c r="D9" s="206"/>
      <c r="E9" s="207"/>
    </row>
    <row r="11" spans="3:8" ht="16.5" customHeight="1" x14ac:dyDescent="0.45">
      <c r="C11" s="195" t="s">
        <v>9</v>
      </c>
      <c r="D11" s="196"/>
      <c r="E11" s="197"/>
      <c r="G11" s="195" t="s">
        <v>4</v>
      </c>
      <c r="H11" s="197"/>
    </row>
    <row r="12" spans="3:8" x14ac:dyDescent="0.45">
      <c r="C12" t="str">
        <f>_xll.fbnSecuritiesAdd_Template()</f>
        <v>OK</v>
      </c>
    </row>
    <row r="13" spans="3:8" ht="14.65" thickBot="1" x14ac:dyDescent="0.5">
      <c r="C13" s="105" t="s">
        <v>0</v>
      </c>
      <c r="D13" s="106" t="s">
        <v>1</v>
      </c>
      <c r="E13" s="107" t="s">
        <v>2</v>
      </c>
      <c r="F13" s="1"/>
      <c r="G13" s="26" t="s">
        <v>4</v>
      </c>
      <c r="H13" s="27" t="s">
        <v>12</v>
      </c>
    </row>
    <row r="14" spans="3:8" ht="14.65" thickTop="1" x14ac:dyDescent="0.45">
      <c r="C14" s="108" t="s">
        <v>125</v>
      </c>
      <c r="D14" s="109" t="s">
        <v>99</v>
      </c>
      <c r="E14" s="110" t="str">
        <f>Scope &amp; ":" &amp; 'Define Portfolio'!C16</f>
        <v>MyNameSpace4:ABC</v>
      </c>
      <c r="F14" s="2"/>
      <c r="G14" s="28" t="s">
        <v>133</v>
      </c>
      <c r="H14" s="29" t="s">
        <v>134</v>
      </c>
    </row>
    <row r="15" spans="3:8" x14ac:dyDescent="0.45">
      <c r="C15" s="108" t="s">
        <v>126</v>
      </c>
      <c r="D15" s="109" t="s">
        <v>100</v>
      </c>
      <c r="E15" s="110" t="str">
        <f>Scope &amp; ":" &amp; 'Define Portfolio'!C17</f>
        <v>MyNameSpace4:DEF</v>
      </c>
      <c r="F15" s="3"/>
      <c r="G15" s="11" t="s">
        <v>135</v>
      </c>
      <c r="H15" s="12" t="s">
        <v>136</v>
      </c>
    </row>
    <row r="16" spans="3:8" x14ac:dyDescent="0.45">
      <c r="C16" s="108"/>
      <c r="D16" s="109"/>
      <c r="E16" s="110"/>
      <c r="F16" s="3"/>
      <c r="G16" s="11"/>
      <c r="H16" s="12"/>
    </row>
    <row r="17" spans="3:15" x14ac:dyDescent="0.45">
      <c r="C17" s="108"/>
      <c r="D17" s="109"/>
      <c r="E17" s="110"/>
      <c r="F17" s="3"/>
      <c r="G17" s="11"/>
      <c r="H17" s="12"/>
    </row>
    <row r="18" spans="3:15" x14ac:dyDescent="0.45">
      <c r="C18" s="108"/>
      <c r="D18" s="109"/>
      <c r="E18" s="110"/>
      <c r="F18" s="3"/>
      <c r="G18" s="11"/>
      <c r="H18" s="12"/>
    </row>
    <row r="19" spans="3:15" x14ac:dyDescent="0.45">
      <c r="C19" s="108"/>
      <c r="D19" s="109"/>
      <c r="E19" s="110"/>
      <c r="F19" s="3"/>
      <c r="G19" s="11"/>
      <c r="H19" s="12"/>
    </row>
    <row r="20" spans="3:15" x14ac:dyDescent="0.45">
      <c r="C20" s="108"/>
      <c r="D20" s="109"/>
      <c r="E20" s="110"/>
      <c r="F20" s="3"/>
      <c r="G20" s="11"/>
      <c r="H20" s="12"/>
      <c r="K20" s="198" t="s">
        <v>22</v>
      </c>
      <c r="L20" s="198"/>
      <c r="M20" s="198"/>
      <c r="N20" s="198"/>
      <c r="O20" s="198"/>
    </row>
    <row r="21" spans="3:15" x14ac:dyDescent="0.45">
      <c r="C21" s="108"/>
      <c r="D21" s="109"/>
      <c r="E21" s="110"/>
      <c r="F21" s="3"/>
      <c r="G21" s="11"/>
      <c r="H21" s="12"/>
      <c r="K21" s="198"/>
      <c r="L21" s="198"/>
      <c r="M21" s="198"/>
      <c r="N21" s="198"/>
      <c r="O21" s="198"/>
    </row>
    <row r="22" spans="3:15" x14ac:dyDescent="0.45">
      <c r="C22" s="108"/>
      <c r="D22" s="109"/>
      <c r="E22" s="110"/>
      <c r="F22" s="3"/>
      <c r="G22" s="11"/>
      <c r="H22" s="12"/>
      <c r="K22" s="198"/>
      <c r="L22" s="198"/>
      <c r="M22" s="198"/>
      <c r="N22" s="198"/>
      <c r="O22" s="198"/>
    </row>
    <row r="23" spans="3:15" x14ac:dyDescent="0.45">
      <c r="C23" s="108"/>
      <c r="D23" s="109"/>
      <c r="E23" s="110"/>
      <c r="F23" s="3"/>
      <c r="G23" s="11"/>
      <c r="H23" s="12"/>
      <c r="K23" s="198"/>
      <c r="L23" s="198"/>
      <c r="M23" s="198"/>
      <c r="N23" s="198"/>
      <c r="O23" s="198"/>
    </row>
    <row r="24" spans="3:15" x14ac:dyDescent="0.45">
      <c r="C24" s="108"/>
      <c r="D24" s="109"/>
      <c r="E24" s="110"/>
      <c r="F24" s="3"/>
      <c r="G24" s="11"/>
      <c r="H24" s="12"/>
      <c r="K24" s="198"/>
      <c r="L24" s="198"/>
      <c r="M24" s="198"/>
      <c r="N24" s="198"/>
      <c r="O24" s="198"/>
    </row>
    <row r="25" spans="3:15" x14ac:dyDescent="0.45">
      <c r="C25" s="108"/>
      <c r="D25" s="109"/>
      <c r="E25" s="110"/>
      <c r="F25" s="3"/>
      <c r="G25" s="11"/>
      <c r="H25" s="12"/>
    </row>
    <row r="26" spans="3:15" x14ac:dyDescent="0.45">
      <c r="C26" s="108"/>
      <c r="D26" s="109"/>
      <c r="E26" s="110"/>
      <c r="F26" s="3"/>
      <c r="G26" s="11"/>
      <c r="H26" s="12"/>
    </row>
    <row r="27" spans="3:15" x14ac:dyDescent="0.45">
      <c r="C27" s="108"/>
      <c r="D27" s="109"/>
      <c r="E27" s="110"/>
      <c r="F27" s="3"/>
      <c r="G27" s="11"/>
      <c r="H27" s="12"/>
    </row>
    <row r="28" spans="3:15" x14ac:dyDescent="0.45">
      <c r="C28" s="108"/>
      <c r="D28" s="109"/>
      <c r="E28" s="110"/>
      <c r="F28" s="3"/>
      <c r="G28" s="11"/>
      <c r="H28" s="12"/>
    </row>
    <row r="29" spans="3:15" x14ac:dyDescent="0.45">
      <c r="C29" s="108"/>
      <c r="D29" s="109"/>
      <c r="E29" s="110"/>
      <c r="F29" s="3"/>
      <c r="G29" s="11"/>
      <c r="H29" s="12"/>
    </row>
    <row r="30" spans="3:15" x14ac:dyDescent="0.45">
      <c r="C30" s="108"/>
      <c r="D30" s="109"/>
      <c r="E30" s="110"/>
      <c r="F30" s="3"/>
      <c r="G30" s="11"/>
      <c r="H30" s="12"/>
    </row>
    <row r="31" spans="3:15" x14ac:dyDescent="0.45">
      <c r="C31" s="108"/>
      <c r="D31" s="109"/>
      <c r="E31" s="110"/>
      <c r="F31" s="3"/>
      <c r="G31" s="11"/>
      <c r="H31" s="12"/>
    </row>
    <row r="32" spans="3:15" x14ac:dyDescent="0.45">
      <c r="C32" s="108"/>
      <c r="D32" s="109"/>
      <c r="E32" s="110"/>
      <c r="F32" s="3"/>
      <c r="G32" s="11"/>
      <c r="H32" s="12"/>
    </row>
    <row r="33" spans="3:8" x14ac:dyDescent="0.45">
      <c r="C33" s="108"/>
      <c r="D33" s="109"/>
      <c r="E33" s="110"/>
      <c r="F33" s="3"/>
      <c r="G33" s="11"/>
      <c r="H33" s="12"/>
    </row>
    <row r="34" spans="3:8" x14ac:dyDescent="0.45">
      <c r="C34" s="108"/>
      <c r="D34" s="109"/>
      <c r="E34" s="110"/>
      <c r="F34" s="3"/>
      <c r="G34" s="11"/>
      <c r="H34" s="12"/>
    </row>
    <row r="35" spans="3:8" x14ac:dyDescent="0.45">
      <c r="C35" s="108"/>
      <c r="D35" s="109"/>
      <c r="E35" s="110"/>
      <c r="F35" s="3"/>
      <c r="G35" s="11"/>
      <c r="H35" s="12"/>
    </row>
    <row r="36" spans="3:8" x14ac:dyDescent="0.45">
      <c r="C36" s="108"/>
      <c r="D36" s="109"/>
      <c r="E36" s="110"/>
      <c r="F36" s="3"/>
      <c r="G36" s="11"/>
      <c r="H36" s="12"/>
    </row>
    <row r="37" spans="3:8" x14ac:dyDescent="0.45">
      <c r="C37" s="108"/>
      <c r="D37" s="109"/>
      <c r="E37" s="110"/>
      <c r="F37" s="3"/>
      <c r="G37" s="11"/>
      <c r="H37" s="12"/>
    </row>
    <row r="38" spans="3:8" x14ac:dyDescent="0.45">
      <c r="C38" s="108"/>
      <c r="D38" s="109"/>
      <c r="E38" s="110"/>
      <c r="F38" s="3"/>
      <c r="G38" s="11"/>
      <c r="H38" s="12"/>
    </row>
    <row r="39" spans="3:8" x14ac:dyDescent="0.45">
      <c r="C39" s="108"/>
      <c r="D39" s="109"/>
      <c r="E39" s="110"/>
      <c r="F39" s="3"/>
      <c r="G39" s="11"/>
      <c r="H39" s="12"/>
    </row>
    <row r="40" spans="3:8" x14ac:dyDescent="0.45">
      <c r="C40" s="108"/>
      <c r="D40" s="109"/>
      <c r="E40" s="110"/>
      <c r="F40" s="3"/>
      <c r="G40" s="11"/>
      <c r="H40" s="12"/>
    </row>
    <row r="41" spans="3:8" x14ac:dyDescent="0.45">
      <c r="C41" s="111"/>
      <c r="D41" s="25"/>
      <c r="E41" s="112"/>
      <c r="F41" s="3"/>
      <c r="G41" s="13"/>
      <c r="H41" s="14"/>
    </row>
    <row r="44" spans="3:8" x14ac:dyDescent="0.45">
      <c r="C44" s="208" t="s">
        <v>87</v>
      </c>
      <c r="D44" s="209"/>
      <c r="E44" s="209"/>
      <c r="F44" s="210"/>
    </row>
    <row r="45" spans="3:8" x14ac:dyDescent="0.45">
      <c r="C45" s="211"/>
      <c r="D45" s="212"/>
      <c r="E45" s="212"/>
      <c r="F45" s="213"/>
    </row>
    <row r="46" spans="3:8" x14ac:dyDescent="0.45">
      <c r="C46" s="211"/>
      <c r="D46" s="212"/>
      <c r="E46" s="212"/>
      <c r="F46" s="213"/>
    </row>
    <row r="47" spans="3:8" x14ac:dyDescent="0.45">
      <c r="C47" s="211"/>
      <c r="D47" s="212"/>
      <c r="E47" s="212"/>
      <c r="F47" s="213"/>
    </row>
    <row r="48" spans="3:8" x14ac:dyDescent="0.45">
      <c r="C48" s="211"/>
      <c r="D48" s="212"/>
      <c r="E48" s="212"/>
      <c r="F48" s="213"/>
    </row>
    <row r="49" spans="3:6" x14ac:dyDescent="0.45">
      <c r="C49" s="211"/>
      <c r="D49" s="212"/>
      <c r="E49" s="212"/>
      <c r="F49" s="213"/>
    </row>
    <row r="50" spans="3:6" x14ac:dyDescent="0.45">
      <c r="C50" s="214"/>
      <c r="D50" s="215"/>
      <c r="E50" s="215"/>
      <c r="F50" s="216"/>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C10" sqref="C10"/>
    </sheetView>
  </sheetViews>
  <sheetFormatPr defaultRowHeight="14.25" x14ac:dyDescent="0.45"/>
  <cols>
    <col min="1" max="2" width="11.59765625" customWidth="1"/>
    <col min="3" max="3" width="14.86328125" customWidth="1"/>
    <col min="4" max="4" width="25.73046875" customWidth="1"/>
    <col min="5" max="5" width="19.265625" customWidth="1"/>
    <col min="6" max="7" width="14.86328125" customWidth="1"/>
    <col min="9" max="9" width="42.86328125" customWidth="1"/>
    <col min="10" max="10" width="36.265625" customWidth="1"/>
  </cols>
  <sheetData>
    <row r="8" spans="3:10" x14ac:dyDescent="0.45">
      <c r="C8" s="219" t="s">
        <v>147</v>
      </c>
      <c r="D8" s="220"/>
      <c r="E8" s="220"/>
      <c r="F8" s="220"/>
      <c r="G8" s="220"/>
      <c r="H8" s="220"/>
      <c r="I8" s="220"/>
      <c r="J8" s="221"/>
    </row>
    <row r="9" spans="3:10" x14ac:dyDescent="0.45">
      <c r="C9" s="222"/>
      <c r="D9" s="223"/>
      <c r="E9" s="223"/>
      <c r="F9" s="223"/>
      <c r="G9" s="223"/>
      <c r="H9" s="223"/>
      <c r="I9" s="223"/>
      <c r="J9" s="224"/>
    </row>
    <row r="12" spans="3:10" x14ac:dyDescent="0.45">
      <c r="C12" s="227" t="s">
        <v>25</v>
      </c>
      <c r="D12" s="228"/>
      <c r="E12" s="228"/>
      <c r="F12" s="228"/>
      <c r="G12" s="229"/>
      <c r="I12" s="217" t="s">
        <v>4</v>
      </c>
      <c r="J12" s="218"/>
    </row>
    <row r="13" spans="3:10" x14ac:dyDescent="0.45">
      <c r="C13" t="str">
        <f>_xll.fbnPortfoliosAdd_Template()</f>
        <v>OK</v>
      </c>
    </row>
    <row r="14" spans="3:10" ht="14.65" thickBot="1" x14ac:dyDescent="0.5">
      <c r="C14" s="8" t="s">
        <v>5</v>
      </c>
      <c r="D14" s="9" t="s">
        <v>24</v>
      </c>
      <c r="E14" s="9" t="s">
        <v>1</v>
      </c>
      <c r="F14" s="9" t="s">
        <v>6</v>
      </c>
      <c r="G14" s="10" t="s">
        <v>7</v>
      </c>
      <c r="I14" s="44" t="s">
        <v>4</v>
      </c>
      <c r="J14" s="45" t="s">
        <v>13</v>
      </c>
    </row>
    <row r="15" spans="3:10" ht="14.65" thickTop="1" x14ac:dyDescent="0.45">
      <c r="C15" s="33" t="s">
        <v>95</v>
      </c>
      <c r="D15" s="34"/>
      <c r="E15" s="35" t="s">
        <v>96</v>
      </c>
      <c r="F15" s="35">
        <f ca="1">TODAY()</f>
        <v>43288</v>
      </c>
      <c r="G15" s="36" t="s">
        <v>45</v>
      </c>
      <c r="I15" s="31" t="s">
        <v>141</v>
      </c>
      <c r="J15" s="12" t="s">
        <v>141</v>
      </c>
    </row>
    <row r="16" spans="3:10" x14ac:dyDescent="0.45">
      <c r="C16" s="33" t="s">
        <v>125</v>
      </c>
      <c r="D16" s="34"/>
      <c r="E16" s="35" t="s">
        <v>98</v>
      </c>
      <c r="F16" s="141">
        <f ca="1">TODAY()</f>
        <v>43288</v>
      </c>
      <c r="G16" s="142" t="s">
        <v>45</v>
      </c>
      <c r="I16" s="31" t="s">
        <v>142</v>
      </c>
      <c r="J16" s="12" t="s">
        <v>142</v>
      </c>
    </row>
    <row r="17" spans="3:15" x14ac:dyDescent="0.45">
      <c r="C17" s="33" t="s">
        <v>126</v>
      </c>
      <c r="D17" s="34"/>
      <c r="E17" s="35" t="s">
        <v>97</v>
      </c>
      <c r="F17" s="141">
        <f ca="1">TODAY()</f>
        <v>43288</v>
      </c>
      <c r="G17" s="142" t="s">
        <v>45</v>
      </c>
      <c r="I17" s="31" t="s">
        <v>143</v>
      </c>
      <c r="J17" s="12" t="s">
        <v>143</v>
      </c>
    </row>
    <row r="18" spans="3:15" x14ac:dyDescent="0.45">
      <c r="C18" s="33"/>
      <c r="D18" s="34"/>
      <c r="E18" s="37"/>
      <c r="F18" s="34"/>
      <c r="G18" s="36"/>
      <c r="I18" s="31"/>
      <c r="J18" s="12"/>
    </row>
    <row r="19" spans="3:15" x14ac:dyDescent="0.45">
      <c r="C19" s="33"/>
      <c r="D19" s="34"/>
      <c r="E19" s="37"/>
      <c r="F19" s="34"/>
      <c r="G19" s="36"/>
      <c r="I19" s="31"/>
      <c r="J19" s="12"/>
    </row>
    <row r="20" spans="3:15" x14ac:dyDescent="0.45">
      <c r="C20" s="33"/>
      <c r="D20" s="34"/>
      <c r="E20" s="37"/>
      <c r="F20" s="34"/>
      <c r="G20" s="36"/>
      <c r="I20" s="31"/>
      <c r="J20" s="12"/>
    </row>
    <row r="21" spans="3:15" x14ac:dyDescent="0.45">
      <c r="C21" s="33"/>
      <c r="D21" s="34"/>
      <c r="E21" s="37"/>
      <c r="F21" s="34"/>
      <c r="G21" s="36"/>
      <c r="I21" s="31"/>
      <c r="J21" s="12"/>
    </row>
    <row r="22" spans="3:15" x14ac:dyDescent="0.45">
      <c r="C22" s="33"/>
      <c r="D22" s="34"/>
      <c r="E22" s="37"/>
      <c r="F22" s="34"/>
      <c r="G22" s="36"/>
      <c r="I22" s="31"/>
      <c r="J22" s="12"/>
      <c r="L22" s="225" t="s">
        <v>26</v>
      </c>
      <c r="M22" s="226"/>
      <c r="N22" s="226"/>
      <c r="O22" s="226"/>
    </row>
    <row r="23" spans="3:15" x14ac:dyDescent="0.45">
      <c r="C23" s="33"/>
      <c r="D23" s="34"/>
      <c r="E23" s="37"/>
      <c r="F23" s="34"/>
      <c r="G23" s="36"/>
      <c r="I23" s="31"/>
      <c r="J23" s="12"/>
      <c r="L23" s="226"/>
      <c r="M23" s="226"/>
      <c r="N23" s="226"/>
      <c r="O23" s="226"/>
    </row>
    <row r="24" spans="3:15" x14ac:dyDescent="0.45">
      <c r="C24" s="33"/>
      <c r="D24" s="34"/>
      <c r="E24" s="37"/>
      <c r="F24" s="34"/>
      <c r="G24" s="36"/>
      <c r="I24" s="31"/>
      <c r="J24" s="12"/>
      <c r="L24" s="226"/>
      <c r="M24" s="226"/>
      <c r="N24" s="226"/>
      <c r="O24" s="226"/>
    </row>
    <row r="25" spans="3:15" x14ac:dyDescent="0.45">
      <c r="C25" s="33"/>
      <c r="D25" s="34"/>
      <c r="E25" s="37"/>
      <c r="F25" s="34"/>
      <c r="G25" s="36"/>
      <c r="I25" s="31"/>
      <c r="J25" s="12"/>
      <c r="L25" s="226"/>
      <c r="M25" s="226"/>
      <c r="N25" s="226"/>
      <c r="O25" s="226"/>
    </row>
    <row r="26" spans="3:15" x14ac:dyDescent="0.45">
      <c r="C26" s="33"/>
      <c r="D26" s="34"/>
      <c r="E26" s="37"/>
      <c r="F26" s="34"/>
      <c r="G26" s="36"/>
      <c r="I26" s="31"/>
      <c r="J26" s="12"/>
      <c r="L26" s="226"/>
      <c r="M26" s="226"/>
      <c r="N26" s="226"/>
      <c r="O26" s="226"/>
    </row>
    <row r="27" spans="3:15" x14ac:dyDescent="0.45">
      <c r="C27" s="33"/>
      <c r="D27" s="34"/>
      <c r="E27" s="37"/>
      <c r="F27" s="34"/>
      <c r="G27" s="36"/>
      <c r="I27" s="31"/>
      <c r="J27" s="12"/>
    </row>
    <row r="28" spans="3:15" x14ac:dyDescent="0.45">
      <c r="C28" s="33"/>
      <c r="D28" s="34"/>
      <c r="E28" s="37"/>
      <c r="F28" s="34"/>
      <c r="G28" s="36"/>
      <c r="I28" s="31"/>
      <c r="J28" s="12"/>
    </row>
    <row r="29" spans="3:15" x14ac:dyDescent="0.45">
      <c r="C29" s="38"/>
      <c r="D29" s="39"/>
      <c r="E29" s="39"/>
      <c r="F29" s="39"/>
      <c r="G29" s="40"/>
      <c r="I29" s="31"/>
      <c r="J29" s="12"/>
    </row>
    <row r="30" spans="3:15" x14ac:dyDescent="0.45">
      <c r="C30" s="38"/>
      <c r="D30" s="39"/>
      <c r="E30" s="39"/>
      <c r="F30" s="39"/>
      <c r="G30" s="40"/>
      <c r="I30" s="31"/>
      <c r="J30" s="12"/>
    </row>
    <row r="31" spans="3:15" x14ac:dyDescent="0.45">
      <c r="C31" s="38"/>
      <c r="D31" s="39"/>
      <c r="E31" s="39"/>
      <c r="F31" s="39"/>
      <c r="G31" s="40"/>
      <c r="I31" s="31"/>
      <c r="J31" s="12"/>
    </row>
    <row r="32" spans="3:15" x14ac:dyDescent="0.45">
      <c r="C32" s="38"/>
      <c r="D32" s="39"/>
      <c r="E32" s="39"/>
      <c r="F32" s="39"/>
      <c r="G32" s="40"/>
      <c r="I32" s="31"/>
      <c r="J32" s="12"/>
    </row>
    <row r="33" spans="3:15" x14ac:dyDescent="0.45">
      <c r="C33" s="38"/>
      <c r="D33" s="39"/>
      <c r="E33" s="39"/>
      <c r="F33" s="39"/>
      <c r="G33" s="40"/>
      <c r="I33" s="31"/>
      <c r="J33" s="12"/>
    </row>
    <row r="34" spans="3:15" x14ac:dyDescent="0.45">
      <c r="C34" s="38"/>
      <c r="D34" s="39"/>
      <c r="E34" s="39"/>
      <c r="F34" s="39"/>
      <c r="G34" s="40"/>
      <c r="I34" s="31"/>
      <c r="J34" s="12"/>
    </row>
    <row r="35" spans="3:15" x14ac:dyDescent="0.45">
      <c r="C35" s="38"/>
      <c r="D35" s="39"/>
      <c r="E35" s="39"/>
      <c r="F35" s="39"/>
      <c r="G35" s="40"/>
      <c r="I35" s="31"/>
      <c r="J35" s="12"/>
    </row>
    <row r="36" spans="3:15" x14ac:dyDescent="0.45">
      <c r="C36" s="38"/>
      <c r="D36" s="39"/>
      <c r="E36" s="39"/>
      <c r="F36" s="39"/>
      <c r="G36" s="40"/>
      <c r="I36" s="31"/>
      <c r="J36" s="12"/>
    </row>
    <row r="37" spans="3:15" x14ac:dyDescent="0.45">
      <c r="C37" s="38"/>
      <c r="D37" s="39"/>
      <c r="E37" s="39"/>
      <c r="F37" s="39"/>
      <c r="G37" s="40"/>
      <c r="I37" s="31"/>
      <c r="J37" s="12"/>
    </row>
    <row r="38" spans="3:15" x14ac:dyDescent="0.45">
      <c r="C38" s="38"/>
      <c r="D38" s="39"/>
      <c r="E38" s="39"/>
      <c r="F38" s="39"/>
      <c r="G38" s="40"/>
      <c r="I38" s="31"/>
      <c r="J38" s="12"/>
    </row>
    <row r="39" spans="3:15" x14ac:dyDescent="0.45">
      <c r="C39" s="38"/>
      <c r="D39" s="39"/>
      <c r="E39" s="39"/>
      <c r="F39" s="39"/>
      <c r="G39" s="40"/>
      <c r="I39" s="31"/>
      <c r="J39" s="12"/>
    </row>
    <row r="40" spans="3:15" x14ac:dyDescent="0.45">
      <c r="C40" s="38"/>
      <c r="D40" s="39"/>
      <c r="E40" s="39"/>
      <c r="F40" s="39"/>
      <c r="G40" s="40"/>
      <c r="I40" s="31"/>
      <c r="J40" s="12"/>
    </row>
    <row r="41" spans="3:15" x14ac:dyDescent="0.45">
      <c r="C41" s="41"/>
      <c r="D41" s="42"/>
      <c r="E41" s="42"/>
      <c r="F41" s="42"/>
      <c r="G41" s="43"/>
      <c r="I41" s="32"/>
      <c r="J41" s="14"/>
    </row>
    <row r="44" spans="3:15" ht="15" customHeight="1" x14ac:dyDescent="0.45">
      <c r="C44" s="180" t="s">
        <v>81</v>
      </c>
      <c r="D44" s="181"/>
      <c r="E44" s="181"/>
      <c r="F44" s="181"/>
      <c r="G44" s="181"/>
      <c r="H44" s="181"/>
      <c r="I44" s="181"/>
      <c r="J44" s="182"/>
      <c r="K44" s="6"/>
      <c r="L44" s="6"/>
      <c r="M44" s="6"/>
      <c r="N44" s="6"/>
      <c r="O44" s="6"/>
    </row>
    <row r="45" spans="3:15" x14ac:dyDescent="0.45">
      <c r="C45" s="189"/>
      <c r="D45" s="190"/>
      <c r="E45" s="190"/>
      <c r="F45" s="190"/>
      <c r="G45" s="190"/>
      <c r="H45" s="190"/>
      <c r="I45" s="190"/>
      <c r="J45" s="191"/>
      <c r="K45" s="6"/>
      <c r="L45" s="6"/>
      <c r="M45" s="6"/>
      <c r="N45" s="6"/>
      <c r="O45" s="6"/>
    </row>
    <row r="46" spans="3:15" x14ac:dyDescent="0.45">
      <c r="C46" s="189"/>
      <c r="D46" s="190"/>
      <c r="E46" s="190"/>
      <c r="F46" s="190"/>
      <c r="G46" s="190"/>
      <c r="H46" s="190"/>
      <c r="I46" s="190"/>
      <c r="J46" s="191"/>
      <c r="K46" s="6"/>
      <c r="L46" s="6"/>
      <c r="M46" s="6"/>
      <c r="N46" s="6"/>
      <c r="O46" s="6"/>
    </row>
    <row r="47" spans="3:15" x14ac:dyDescent="0.45">
      <c r="C47" s="189"/>
      <c r="D47" s="190"/>
      <c r="E47" s="190"/>
      <c r="F47" s="190"/>
      <c r="G47" s="190"/>
      <c r="H47" s="190"/>
      <c r="I47" s="190"/>
      <c r="J47" s="191"/>
      <c r="K47" s="6"/>
      <c r="L47" s="6"/>
      <c r="M47" s="6"/>
      <c r="N47" s="6"/>
      <c r="O47" s="6"/>
    </row>
    <row r="48" spans="3:15" x14ac:dyDescent="0.45">
      <c r="C48" s="183"/>
      <c r="D48" s="230"/>
      <c r="E48" s="230"/>
      <c r="F48" s="230"/>
      <c r="G48" s="230"/>
      <c r="H48" s="230"/>
      <c r="I48" s="230"/>
      <c r="J48" s="185"/>
      <c r="K48" s="6"/>
      <c r="L48" s="6"/>
      <c r="M48" s="6"/>
      <c r="N48" s="6"/>
      <c r="O48" s="6"/>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7:Y42"/>
  <sheetViews>
    <sheetView topLeftCell="A3" zoomScale="70" zoomScaleNormal="70" workbookViewId="0">
      <selection activeCell="C9" sqref="C9"/>
    </sheetView>
  </sheetViews>
  <sheetFormatPr defaultRowHeight="14.25" x14ac:dyDescent="0.45"/>
  <cols>
    <col min="3" max="3" width="16.1328125" customWidth="1"/>
    <col min="4" max="4" width="27.3984375" customWidth="1"/>
    <col min="5" max="5" width="6.59765625" customWidth="1"/>
    <col min="6" max="6" width="16.3984375" customWidth="1"/>
    <col min="7" max="7" width="27.73046875" customWidth="1"/>
    <col min="8" max="8" width="19.265625" customWidth="1"/>
    <col min="9" max="9" width="19.1328125" customWidth="1"/>
    <col min="10" max="10" width="16.265625" customWidth="1"/>
    <col min="11" max="11" width="20.73046875" customWidth="1"/>
    <col min="12" max="12" width="19.59765625" customWidth="1"/>
    <col min="13" max="13" width="15.265625" customWidth="1"/>
    <col min="14" max="14" width="13.86328125" customWidth="1"/>
    <col min="15" max="15" width="15.73046875" customWidth="1"/>
    <col min="16" max="16" width="18.86328125" customWidth="1"/>
    <col min="17" max="18" width="15.3984375" customWidth="1"/>
    <col min="19" max="19" width="18.3984375" customWidth="1"/>
    <col min="20" max="20" width="26.1328125" customWidth="1"/>
    <col min="21" max="21" width="18.3984375" customWidth="1"/>
    <col min="22" max="22" width="17" customWidth="1"/>
    <col min="23" max="23" width="14.265625" customWidth="1"/>
    <col min="24" max="24" width="13" customWidth="1"/>
  </cols>
  <sheetData>
    <row r="7" spans="2:25" x14ac:dyDescent="0.45">
      <c r="C7" s="219" t="s">
        <v>148</v>
      </c>
      <c r="D7" s="220"/>
      <c r="E7" s="220"/>
      <c r="F7" s="220"/>
      <c r="G7" s="220"/>
      <c r="H7" s="220"/>
      <c r="I7" s="221"/>
    </row>
    <row r="8" spans="2:25" x14ac:dyDescent="0.45">
      <c r="C8" s="222"/>
      <c r="D8" s="223"/>
      <c r="E8" s="223"/>
      <c r="F8" s="223"/>
      <c r="G8" s="223"/>
      <c r="H8" s="223"/>
      <c r="I8" s="224"/>
    </row>
    <row r="9" spans="2:25" ht="15.75" x14ac:dyDescent="0.45">
      <c r="C9" s="46"/>
      <c r="D9" s="46"/>
      <c r="E9" s="46"/>
      <c r="F9" s="46"/>
      <c r="G9" s="46"/>
      <c r="H9" s="46"/>
      <c r="I9" s="46"/>
    </row>
    <row r="10" spans="2:25" x14ac:dyDescent="0.45">
      <c r="C10" s="231" t="s">
        <v>94</v>
      </c>
      <c r="D10" s="232"/>
      <c r="E10" s="232"/>
      <c r="F10" s="233"/>
      <c r="G10" s="101"/>
    </row>
    <row r="11" spans="2:25" ht="15.75" x14ac:dyDescent="0.45">
      <c r="C11" s="234"/>
      <c r="D11" s="235"/>
      <c r="E11" s="235"/>
      <c r="F11" s="236"/>
      <c r="G11" s="101"/>
      <c r="H11" s="46"/>
      <c r="I11" s="101"/>
    </row>
    <row r="12" spans="2:25" x14ac:dyDescent="0.45">
      <c r="G12" s="4"/>
    </row>
    <row r="14" spans="2:25" ht="16.149999999999999" thickBot="1" x14ac:dyDescent="0.5">
      <c r="B14" s="101"/>
      <c r="C14" s="152" t="s">
        <v>109</v>
      </c>
      <c r="D14" s="153" t="s">
        <v>95</v>
      </c>
      <c r="F14" s="51" t="s">
        <v>27</v>
      </c>
      <c r="G14" s="52" t="s">
        <v>28</v>
      </c>
      <c r="H14" s="52" t="s">
        <v>29</v>
      </c>
      <c r="I14" s="52" t="s">
        <v>30</v>
      </c>
      <c r="J14" s="52" t="s">
        <v>31</v>
      </c>
      <c r="K14" s="52" t="s">
        <v>32</v>
      </c>
      <c r="L14" s="52" t="s">
        <v>33</v>
      </c>
      <c r="M14" s="52" t="s">
        <v>34</v>
      </c>
      <c r="N14" s="52" t="s">
        <v>35</v>
      </c>
      <c r="O14" s="52" t="s">
        <v>36</v>
      </c>
      <c r="P14" s="52" t="s">
        <v>37</v>
      </c>
      <c r="Q14" s="52" t="s">
        <v>38</v>
      </c>
      <c r="R14" s="52" t="s">
        <v>39</v>
      </c>
      <c r="S14" s="52" t="s">
        <v>40</v>
      </c>
      <c r="T14" s="52" t="s">
        <v>41</v>
      </c>
      <c r="U14" s="52" t="s">
        <v>42</v>
      </c>
      <c r="V14" s="52" t="s">
        <v>43</v>
      </c>
      <c r="W14" s="137"/>
      <c r="X14" s="138"/>
      <c r="Y14" s="50" t="s">
        <v>4</v>
      </c>
    </row>
    <row r="15" spans="2:25" ht="14.65" thickTop="1" x14ac:dyDescent="0.45">
      <c r="B15" s="101"/>
      <c r="C15" s="101"/>
      <c r="D15" s="101"/>
      <c r="E15" s="48">
        <v>1</v>
      </c>
      <c r="F15" s="126" t="s">
        <v>77</v>
      </c>
      <c r="G15" s="117" t="str">
        <f>'Define Fund Securities'!H14</f>
        <v>SECUID_18B1WXH</v>
      </c>
      <c r="H15" s="118">
        <f t="shared" ref="H15:I16" ca="1" si="0">TODAY()</f>
        <v>43288</v>
      </c>
      <c r="I15" s="118">
        <f t="shared" ca="1" si="0"/>
        <v>43288</v>
      </c>
      <c r="J15" s="123" t="s">
        <v>124</v>
      </c>
      <c r="K15" s="163">
        <v>35000</v>
      </c>
      <c r="L15" s="117" t="s">
        <v>45</v>
      </c>
      <c r="M15" s="117" t="s">
        <v>46</v>
      </c>
      <c r="N15" s="117" t="s">
        <v>47</v>
      </c>
      <c r="O15" s="117" t="s">
        <v>49</v>
      </c>
      <c r="P15" s="117" t="s">
        <v>44</v>
      </c>
      <c r="Q15" s="117" t="s">
        <v>50</v>
      </c>
      <c r="R15" s="165">
        <v>102.249849</v>
      </c>
      <c r="S15" s="154">
        <f>R15*K15</f>
        <v>3578744.7149999999</v>
      </c>
      <c r="T15" s="117">
        <v>1</v>
      </c>
      <c r="U15" s="117" t="s">
        <v>48</v>
      </c>
      <c r="V15" s="117" t="s">
        <v>47</v>
      </c>
      <c r="W15" s="123"/>
      <c r="X15" s="84"/>
      <c r="Y15" s="136" t="s">
        <v>101</v>
      </c>
    </row>
    <row r="16" spans="2:25" x14ac:dyDescent="0.45">
      <c r="B16" s="101"/>
      <c r="C16" s="237" t="s">
        <v>112</v>
      </c>
      <c r="D16" s="238"/>
      <c r="E16" s="49">
        <v>2</v>
      </c>
      <c r="F16" s="126" t="s">
        <v>78</v>
      </c>
      <c r="G16" s="117" t="str">
        <f>'Define Fund Securities'!H15</f>
        <v>SECUID_RQ73SA</v>
      </c>
      <c r="H16" s="118">
        <f t="shared" ca="1" si="0"/>
        <v>43288</v>
      </c>
      <c r="I16" s="118">
        <f t="shared" ca="1" si="0"/>
        <v>43288</v>
      </c>
      <c r="J16" s="123" t="s">
        <v>124</v>
      </c>
      <c r="K16" s="164">
        <v>120000</v>
      </c>
      <c r="L16" s="117" t="s">
        <v>45</v>
      </c>
      <c r="M16" s="117" t="s">
        <v>46</v>
      </c>
      <c r="N16" s="117" t="s">
        <v>47</v>
      </c>
      <c r="O16" s="117" t="s">
        <v>49</v>
      </c>
      <c r="P16" s="117" t="s">
        <v>44</v>
      </c>
      <c r="Q16" s="117" t="s">
        <v>50</v>
      </c>
      <c r="R16" s="167">
        <v>159.836433</v>
      </c>
      <c r="S16" s="154">
        <f>R16*K16</f>
        <v>19180371.960000001</v>
      </c>
      <c r="T16" s="117">
        <v>1</v>
      </c>
      <c r="U16" s="117" t="s">
        <v>48</v>
      </c>
      <c r="V16" s="117" t="s">
        <v>47</v>
      </c>
      <c r="W16" s="123"/>
      <c r="X16" s="84"/>
      <c r="Y16" s="89"/>
    </row>
    <row r="17" spans="2:25" x14ac:dyDescent="0.45">
      <c r="B17" s="101"/>
      <c r="C17" s="237"/>
      <c r="D17" s="238"/>
      <c r="E17" s="49">
        <v>3</v>
      </c>
      <c r="F17" s="126"/>
      <c r="G17" s="117"/>
      <c r="H17" s="118"/>
      <c r="I17" s="118"/>
      <c r="J17" s="123"/>
      <c r="K17" s="117"/>
      <c r="L17" s="117"/>
      <c r="M17" s="117"/>
      <c r="N17" s="117"/>
      <c r="O17" s="117"/>
      <c r="P17" s="117"/>
      <c r="Q17" s="117"/>
      <c r="R17" s="117"/>
      <c r="S17" s="117"/>
      <c r="T17" s="117"/>
      <c r="U17" s="117"/>
      <c r="V17" s="117"/>
      <c r="W17" s="123"/>
      <c r="X17" s="84"/>
      <c r="Y17" s="89"/>
    </row>
    <row r="18" spans="2:25" x14ac:dyDescent="0.45">
      <c r="B18" s="101"/>
      <c r="C18" s="237"/>
      <c r="D18" s="238"/>
      <c r="E18" s="49">
        <v>4</v>
      </c>
      <c r="F18" s="126"/>
      <c r="G18" s="117"/>
      <c r="H18" s="118"/>
      <c r="I18" s="118"/>
      <c r="J18" s="123"/>
      <c r="K18" s="117"/>
      <c r="L18" s="117"/>
      <c r="M18" s="117"/>
      <c r="N18" s="117"/>
      <c r="O18" s="117"/>
      <c r="P18" s="117"/>
      <c r="Q18" s="117"/>
      <c r="R18" s="117"/>
      <c r="S18" s="117"/>
      <c r="T18" s="117"/>
      <c r="U18" s="117"/>
      <c r="V18" s="117"/>
      <c r="W18" s="123"/>
      <c r="X18" s="84"/>
      <c r="Y18" s="89"/>
    </row>
    <row r="19" spans="2:25" x14ac:dyDescent="0.45">
      <c r="B19" s="101"/>
      <c r="C19" s="237"/>
      <c r="D19" s="238"/>
      <c r="E19" s="114">
        <v>5</v>
      </c>
      <c r="F19" s="91"/>
      <c r="G19" s="119"/>
      <c r="H19" s="92"/>
      <c r="I19" s="92"/>
      <c r="J19" s="93"/>
      <c r="K19" s="119"/>
      <c r="L19" s="119"/>
      <c r="M19" s="119"/>
      <c r="N19" s="119"/>
      <c r="O19" s="119"/>
      <c r="P19" s="119"/>
      <c r="Q19" s="119"/>
      <c r="R19" s="119"/>
      <c r="S19" s="119"/>
      <c r="T19" s="119"/>
      <c r="U19" s="119"/>
      <c r="V19" s="119"/>
      <c r="W19" s="93"/>
      <c r="X19" s="94"/>
      <c r="Y19" s="90"/>
    </row>
    <row r="21" spans="2:25" s="101" customFormat="1" ht="16.149999999999999" thickBot="1" x14ac:dyDescent="0.5">
      <c r="C21" s="152" t="s">
        <v>109</v>
      </c>
      <c r="D21" s="153" t="s">
        <v>125</v>
      </c>
      <c r="F21" s="51" t="s">
        <v>27</v>
      </c>
      <c r="G21" s="52" t="s">
        <v>28</v>
      </c>
      <c r="H21" s="52" t="s">
        <v>29</v>
      </c>
      <c r="I21" s="52" t="s">
        <v>30</v>
      </c>
      <c r="J21" s="52" t="s">
        <v>31</v>
      </c>
      <c r="K21" s="52" t="s">
        <v>32</v>
      </c>
      <c r="L21" s="52" t="s">
        <v>33</v>
      </c>
      <c r="M21" s="52" t="s">
        <v>34</v>
      </c>
      <c r="N21" s="52" t="s">
        <v>35</v>
      </c>
      <c r="O21" s="52" t="s">
        <v>36</v>
      </c>
      <c r="P21" s="52" t="s">
        <v>37</v>
      </c>
      <c r="Q21" s="52" t="s">
        <v>38</v>
      </c>
      <c r="R21" s="52" t="s">
        <v>39</v>
      </c>
      <c r="S21" s="52" t="s">
        <v>40</v>
      </c>
      <c r="T21" s="52" t="s">
        <v>41</v>
      </c>
      <c r="U21" s="52" t="s">
        <v>42</v>
      </c>
      <c r="V21" s="52" t="s">
        <v>43</v>
      </c>
      <c r="W21" s="137"/>
      <c r="X21" s="138"/>
      <c r="Y21" s="50" t="s">
        <v>4</v>
      </c>
    </row>
    <row r="22" spans="2:25" s="101" customFormat="1" ht="14.65" thickTop="1" x14ac:dyDescent="0.45">
      <c r="E22" s="115">
        <v>1</v>
      </c>
      <c r="F22" s="126" t="s">
        <v>77</v>
      </c>
      <c r="G22" s="123" t="s">
        <v>108</v>
      </c>
      <c r="H22" s="118">
        <f t="shared" ref="H22:I26" ca="1" si="1">TODAY()</f>
        <v>43288</v>
      </c>
      <c r="I22" s="118">
        <f t="shared" ca="1" si="1"/>
        <v>43288</v>
      </c>
      <c r="J22" s="123" t="s">
        <v>114</v>
      </c>
      <c r="K22" s="123">
        <v>10224984.859999999</v>
      </c>
      <c r="L22" s="123" t="s">
        <v>45</v>
      </c>
      <c r="M22" s="117" t="s">
        <v>46</v>
      </c>
      <c r="N22" s="117" t="s">
        <v>47</v>
      </c>
      <c r="O22" s="117" t="s">
        <v>49</v>
      </c>
      <c r="P22" s="117" t="s">
        <v>44</v>
      </c>
      <c r="Q22" s="117" t="s">
        <v>50</v>
      </c>
      <c r="R22" s="155">
        <v>1</v>
      </c>
      <c r="S22" s="154">
        <f>R22*K22</f>
        <v>10224984.859999999</v>
      </c>
      <c r="T22" s="117">
        <v>1</v>
      </c>
      <c r="U22" s="117" t="s">
        <v>48</v>
      </c>
      <c r="V22" s="117" t="s">
        <v>47</v>
      </c>
      <c r="W22" s="123"/>
      <c r="X22" s="84"/>
      <c r="Y22" s="136"/>
    </row>
    <row r="23" spans="2:25" s="101" customFormat="1" x14ac:dyDescent="0.45">
      <c r="C23" s="237" t="s">
        <v>53</v>
      </c>
      <c r="D23" s="238"/>
      <c r="E23" s="116">
        <v>2</v>
      </c>
      <c r="F23" s="126" t="s">
        <v>78</v>
      </c>
      <c r="G23" s="123" t="str">
        <f>Setup!D14</f>
        <v>FIGI_BBG009S39JY5</v>
      </c>
      <c r="H23" s="118">
        <f t="shared" ca="1" si="1"/>
        <v>43288</v>
      </c>
      <c r="I23" s="118">
        <f t="shared" ca="1" si="1"/>
        <v>43288</v>
      </c>
      <c r="J23" s="123" t="s">
        <v>70</v>
      </c>
      <c r="K23" s="123">
        <v>5680</v>
      </c>
      <c r="L23" s="123" t="s">
        <v>45</v>
      </c>
      <c r="M23" s="117" t="s">
        <v>46</v>
      </c>
      <c r="N23" s="117" t="s">
        <v>47</v>
      </c>
      <c r="O23" s="117" t="s">
        <v>49</v>
      </c>
      <c r="P23" s="117" t="s">
        <v>44</v>
      </c>
      <c r="Q23" s="117" t="s">
        <v>50</v>
      </c>
      <c r="R23" s="158">
        <v>2.1644999999999999</v>
      </c>
      <c r="S23" s="154">
        <f>R23*K23</f>
        <v>12294.359999999999</v>
      </c>
      <c r="T23" s="117">
        <v>1</v>
      </c>
      <c r="U23" s="117" t="s">
        <v>48</v>
      </c>
      <c r="V23" s="117" t="s">
        <v>47</v>
      </c>
      <c r="W23" s="123"/>
      <c r="X23" s="84"/>
      <c r="Y23" s="89"/>
    </row>
    <row r="24" spans="2:25" s="101" customFormat="1" x14ac:dyDescent="0.45">
      <c r="C24" s="237"/>
      <c r="D24" s="238"/>
      <c r="E24" s="116">
        <v>3</v>
      </c>
      <c r="F24" s="126" t="s">
        <v>79</v>
      </c>
      <c r="G24" s="123" t="str">
        <f>Setup!D15</f>
        <v>FIGI_BBG001SKXPR1</v>
      </c>
      <c r="H24" s="118">
        <f t="shared" ca="1" si="1"/>
        <v>43288</v>
      </c>
      <c r="I24" s="118">
        <f t="shared" ca="1" si="1"/>
        <v>43288</v>
      </c>
      <c r="J24" s="123" t="s">
        <v>70</v>
      </c>
      <c r="K24" s="123">
        <v>60500</v>
      </c>
      <c r="L24" s="117" t="s">
        <v>45</v>
      </c>
      <c r="M24" s="117" t="s">
        <v>46</v>
      </c>
      <c r="N24" s="117" t="s">
        <v>47</v>
      </c>
      <c r="O24" s="117" t="s">
        <v>49</v>
      </c>
      <c r="P24" s="117" t="s">
        <v>44</v>
      </c>
      <c r="Q24" s="117" t="s">
        <v>50</v>
      </c>
      <c r="R24" s="158">
        <v>77.12</v>
      </c>
      <c r="S24" s="154">
        <f t="shared" ref="S24:S26" si="2">R24*K24</f>
        <v>4665760</v>
      </c>
      <c r="T24" s="117">
        <v>1</v>
      </c>
      <c r="U24" s="117" t="s">
        <v>48</v>
      </c>
      <c r="V24" s="117" t="s">
        <v>47</v>
      </c>
      <c r="W24" s="123"/>
      <c r="X24" s="84"/>
      <c r="Y24" s="89"/>
    </row>
    <row r="25" spans="2:25" s="101" customFormat="1" x14ac:dyDescent="0.45">
      <c r="C25" s="237"/>
      <c r="D25" s="238"/>
      <c r="E25" s="116">
        <v>4</v>
      </c>
      <c r="F25" s="126" t="s">
        <v>123</v>
      </c>
      <c r="G25" s="123" t="str">
        <f>Setup!D16</f>
        <v>FIGI_BBG001S6PJ31</v>
      </c>
      <c r="H25" s="118">
        <f t="shared" ca="1" si="1"/>
        <v>43288</v>
      </c>
      <c r="I25" s="118">
        <f t="shared" ca="1" si="1"/>
        <v>43288</v>
      </c>
      <c r="J25" s="123" t="s">
        <v>70</v>
      </c>
      <c r="K25" s="123">
        <v>4650</v>
      </c>
      <c r="L25" s="117" t="s">
        <v>45</v>
      </c>
      <c r="M25" s="117" t="s">
        <v>46</v>
      </c>
      <c r="N25" s="117" t="s">
        <v>47</v>
      </c>
      <c r="O25" s="117" t="s">
        <v>49</v>
      </c>
      <c r="P25" s="117" t="s">
        <v>44</v>
      </c>
      <c r="Q25" s="117" t="s">
        <v>50</v>
      </c>
      <c r="R25" s="159">
        <v>1005.65</v>
      </c>
      <c r="S25" s="154">
        <f t="shared" si="2"/>
        <v>4676272.5</v>
      </c>
      <c r="T25" s="117">
        <v>1</v>
      </c>
      <c r="U25" s="117" t="s">
        <v>48</v>
      </c>
      <c r="V25" s="117" t="s">
        <v>47</v>
      </c>
      <c r="W25" s="123"/>
      <c r="X25" s="84"/>
      <c r="Y25" s="89"/>
    </row>
    <row r="26" spans="2:25" s="101" customFormat="1" x14ac:dyDescent="0.45">
      <c r="C26" s="237"/>
      <c r="D26" s="238"/>
      <c r="E26" s="114">
        <v>5</v>
      </c>
      <c r="F26" s="126" t="s">
        <v>127</v>
      </c>
      <c r="G26" s="123" t="str">
        <f>Setup!D17</f>
        <v>FIGI_BBG001SM9G12</v>
      </c>
      <c r="H26" s="92">
        <f t="shared" ca="1" si="1"/>
        <v>43288</v>
      </c>
      <c r="I26" s="92">
        <f t="shared" ca="1" si="1"/>
        <v>43288</v>
      </c>
      <c r="J26" s="93" t="s">
        <v>70</v>
      </c>
      <c r="K26" s="93">
        <v>4580</v>
      </c>
      <c r="L26" s="119" t="s">
        <v>45</v>
      </c>
      <c r="M26" s="119" t="s">
        <v>46</v>
      </c>
      <c r="N26" s="119" t="s">
        <v>47</v>
      </c>
      <c r="O26" s="119" t="s">
        <v>49</v>
      </c>
      <c r="P26" s="119" t="s">
        <v>44</v>
      </c>
      <c r="Q26" s="119" t="s">
        <v>50</v>
      </c>
      <c r="R26" s="156">
        <v>190.1</v>
      </c>
      <c r="S26" s="157">
        <f t="shared" si="2"/>
        <v>870658</v>
      </c>
      <c r="T26" s="119">
        <v>1</v>
      </c>
      <c r="U26" s="119" t="s">
        <v>48</v>
      </c>
      <c r="V26" s="119" t="s">
        <v>47</v>
      </c>
      <c r="W26" s="93"/>
      <c r="X26" s="94"/>
      <c r="Y26" s="90"/>
    </row>
    <row r="27" spans="2:25" s="101" customFormat="1" x14ac:dyDescent="0.45"/>
    <row r="28" spans="2:25" s="101" customFormat="1" ht="16.149999999999999" thickBot="1" x14ac:dyDescent="0.5">
      <c r="C28" s="152" t="s">
        <v>109</v>
      </c>
      <c r="D28" s="153" t="s">
        <v>126</v>
      </c>
      <c r="F28" s="51" t="s">
        <v>27</v>
      </c>
      <c r="G28" s="52" t="s">
        <v>28</v>
      </c>
      <c r="H28" s="52" t="s">
        <v>29</v>
      </c>
      <c r="I28" s="52" t="s">
        <v>30</v>
      </c>
      <c r="J28" s="52" t="s">
        <v>31</v>
      </c>
      <c r="K28" s="52" t="s">
        <v>32</v>
      </c>
      <c r="L28" s="52" t="s">
        <v>33</v>
      </c>
      <c r="M28" s="52" t="s">
        <v>34</v>
      </c>
      <c r="N28" s="52" t="s">
        <v>35</v>
      </c>
      <c r="O28" s="52" t="s">
        <v>36</v>
      </c>
      <c r="P28" s="52" t="s">
        <v>37</v>
      </c>
      <c r="Q28" s="52" t="s">
        <v>38</v>
      </c>
      <c r="R28" s="52" t="s">
        <v>39</v>
      </c>
      <c r="S28" s="52" t="s">
        <v>40</v>
      </c>
      <c r="T28" s="52" t="s">
        <v>41</v>
      </c>
      <c r="U28" s="52" t="s">
        <v>42</v>
      </c>
      <c r="V28" s="52" t="s">
        <v>43</v>
      </c>
      <c r="W28" s="137"/>
      <c r="X28" s="138"/>
      <c r="Y28" s="50" t="s">
        <v>4</v>
      </c>
    </row>
    <row r="29" spans="2:25" s="101" customFormat="1" ht="14.65" thickTop="1" x14ac:dyDescent="0.45">
      <c r="E29" s="115">
        <v>1</v>
      </c>
      <c r="F29" s="126" t="s">
        <v>77</v>
      </c>
      <c r="G29" s="123" t="s">
        <v>108</v>
      </c>
      <c r="H29" s="118">
        <f t="shared" ref="H29:I33" ca="1" si="3">TODAY()</f>
        <v>43288</v>
      </c>
      <c r="I29" s="118">
        <f t="shared" ca="1" si="3"/>
        <v>43288</v>
      </c>
      <c r="J29" s="117" t="s">
        <v>114</v>
      </c>
      <c r="K29" s="160">
        <v>23975465</v>
      </c>
      <c r="L29" s="117" t="s">
        <v>45</v>
      </c>
      <c r="M29" s="117" t="s">
        <v>46</v>
      </c>
      <c r="N29" s="117" t="s">
        <v>47</v>
      </c>
      <c r="O29" s="117" t="s">
        <v>49</v>
      </c>
      <c r="P29" s="117" t="s">
        <v>44</v>
      </c>
      <c r="Q29" s="117" t="s">
        <v>50</v>
      </c>
      <c r="R29" s="101">
        <v>1</v>
      </c>
      <c r="S29" s="157">
        <f t="shared" ref="S29" si="4">R29*K29</f>
        <v>23975465</v>
      </c>
      <c r="T29" s="117">
        <v>1</v>
      </c>
      <c r="U29" s="117" t="s">
        <v>48</v>
      </c>
      <c r="V29" s="117" t="s">
        <v>47</v>
      </c>
      <c r="W29" s="123"/>
      <c r="X29" s="84"/>
      <c r="Y29" s="136" t="s">
        <v>101</v>
      </c>
    </row>
    <row r="30" spans="2:25" s="101" customFormat="1" x14ac:dyDescent="0.45">
      <c r="C30" s="237" t="s">
        <v>113</v>
      </c>
      <c r="D30" s="238"/>
      <c r="E30" s="116">
        <v>2</v>
      </c>
      <c r="F30" s="126" t="s">
        <v>78</v>
      </c>
      <c r="G30" s="123" t="str">
        <f>Setup!D18</f>
        <v>FIGI_BBG001S5TD05</v>
      </c>
      <c r="H30" s="118">
        <f t="shared" ca="1" si="3"/>
        <v>43288</v>
      </c>
      <c r="I30" s="118">
        <f t="shared" ca="1" si="3"/>
        <v>43288</v>
      </c>
      <c r="J30" s="123" t="s">
        <v>70</v>
      </c>
      <c r="K30" s="123">
        <v>2000000</v>
      </c>
      <c r="L30" s="117" t="s">
        <v>45</v>
      </c>
      <c r="M30" s="117" t="s">
        <v>46</v>
      </c>
      <c r="N30" s="117" t="s">
        <v>47</v>
      </c>
      <c r="O30" s="117" t="s">
        <v>49</v>
      </c>
      <c r="P30" s="117" t="s">
        <v>44</v>
      </c>
      <c r="Q30" s="117" t="s">
        <v>50</v>
      </c>
      <c r="R30" s="158">
        <f>100.02/100</f>
        <v>1.0002</v>
      </c>
      <c r="S30" s="154">
        <f t="shared" ref="S30:S33" si="5">R30*K30</f>
        <v>2000400</v>
      </c>
      <c r="T30" s="117">
        <v>1</v>
      </c>
      <c r="U30" s="117" t="s">
        <v>48</v>
      </c>
      <c r="V30" s="117" t="s">
        <v>47</v>
      </c>
      <c r="W30" s="123"/>
      <c r="X30" s="84"/>
      <c r="Y30" s="89"/>
    </row>
    <row r="31" spans="2:25" s="101" customFormat="1" x14ac:dyDescent="0.45">
      <c r="C31" s="237"/>
      <c r="D31" s="238"/>
      <c r="E31" s="116">
        <v>3</v>
      </c>
      <c r="F31" s="126" t="s">
        <v>79</v>
      </c>
      <c r="G31" s="123" t="str">
        <f>Setup!D19</f>
        <v>FIGI_BBG001S61626</v>
      </c>
      <c r="H31" s="118">
        <f t="shared" ca="1" si="3"/>
        <v>43288</v>
      </c>
      <c r="I31" s="118">
        <f t="shared" ca="1" si="3"/>
        <v>43288</v>
      </c>
      <c r="J31" s="123" t="s">
        <v>70</v>
      </c>
      <c r="K31" s="123">
        <v>50000</v>
      </c>
      <c r="L31" s="117" t="s">
        <v>45</v>
      </c>
      <c r="M31" s="117" t="s">
        <v>46</v>
      </c>
      <c r="N31" s="117" t="s">
        <v>47</v>
      </c>
      <c r="O31" s="117" t="s">
        <v>49</v>
      </c>
      <c r="P31" s="117" t="s">
        <v>44</v>
      </c>
      <c r="Q31" s="117" t="s">
        <v>50</v>
      </c>
      <c r="R31" s="168">
        <f>100.53/100</f>
        <v>1.0053000000000001</v>
      </c>
      <c r="S31" s="154">
        <f t="shared" si="5"/>
        <v>50265.000000000007</v>
      </c>
      <c r="T31" s="117">
        <v>1</v>
      </c>
      <c r="U31" s="117" t="s">
        <v>48</v>
      </c>
      <c r="V31" s="117" t="s">
        <v>47</v>
      </c>
      <c r="W31" s="123"/>
      <c r="X31" s="84"/>
      <c r="Y31" s="89"/>
    </row>
    <row r="32" spans="2:25" s="101" customFormat="1" x14ac:dyDescent="0.45">
      <c r="C32" s="237"/>
      <c r="D32" s="238"/>
      <c r="E32" s="116">
        <v>4</v>
      </c>
      <c r="F32" s="126" t="s">
        <v>123</v>
      </c>
      <c r="G32" s="123" t="str">
        <f>Setup!D20</f>
        <v>FIGI_BBG001SP8SP4</v>
      </c>
      <c r="H32" s="118">
        <f t="shared" ca="1" si="3"/>
        <v>43288</v>
      </c>
      <c r="I32" s="118">
        <f t="shared" ca="1" si="3"/>
        <v>43288</v>
      </c>
      <c r="J32" s="123" t="s">
        <v>70</v>
      </c>
      <c r="K32" s="123">
        <v>1500000</v>
      </c>
      <c r="L32" s="117" t="s">
        <v>45</v>
      </c>
      <c r="M32" s="117" t="s">
        <v>46</v>
      </c>
      <c r="N32" s="117" t="s">
        <v>47</v>
      </c>
      <c r="O32" s="117" t="s">
        <v>49</v>
      </c>
      <c r="P32" s="117" t="s">
        <v>44</v>
      </c>
      <c r="Q32" s="117" t="s">
        <v>50</v>
      </c>
      <c r="R32" s="168">
        <f>101.52/100</f>
        <v>1.0151999999999999</v>
      </c>
      <c r="S32" s="154">
        <f t="shared" si="5"/>
        <v>1522799.9999999998</v>
      </c>
      <c r="T32" s="117">
        <v>1</v>
      </c>
      <c r="U32" s="117" t="s">
        <v>48</v>
      </c>
      <c r="V32" s="117" t="s">
        <v>47</v>
      </c>
      <c r="W32" s="123"/>
      <c r="X32" s="84"/>
      <c r="Y32" s="89"/>
    </row>
    <row r="33" spans="3:25" s="101" customFormat="1" x14ac:dyDescent="0.45">
      <c r="C33" s="237"/>
      <c r="D33" s="238"/>
      <c r="E33" s="114">
        <v>5</v>
      </c>
      <c r="F33" s="91" t="s">
        <v>127</v>
      </c>
      <c r="G33" s="123" t="str">
        <f>Setup!D21</f>
        <v>FIGI_BBG001S80936</v>
      </c>
      <c r="H33" s="118">
        <f t="shared" ca="1" si="3"/>
        <v>43288</v>
      </c>
      <c r="I33" s="118">
        <f t="shared" ca="1" si="3"/>
        <v>43288</v>
      </c>
      <c r="J33" s="123" t="s">
        <v>70</v>
      </c>
      <c r="K33" s="123">
        <v>20000000</v>
      </c>
      <c r="L33" s="117" t="s">
        <v>45</v>
      </c>
      <c r="M33" s="117" t="s">
        <v>46</v>
      </c>
      <c r="N33" s="117" t="s">
        <v>47</v>
      </c>
      <c r="O33" s="117" t="s">
        <v>49</v>
      </c>
      <c r="P33" s="117" t="s">
        <v>44</v>
      </c>
      <c r="Q33" s="117" t="s">
        <v>50</v>
      </c>
      <c r="R33" s="168">
        <f>102.01/100</f>
        <v>1.0201</v>
      </c>
      <c r="S33" s="154">
        <f t="shared" si="5"/>
        <v>20402000</v>
      </c>
      <c r="T33" s="117"/>
      <c r="U33" s="117"/>
      <c r="V33" s="117"/>
      <c r="W33" s="93"/>
      <c r="X33" s="94"/>
      <c r="Y33" s="90"/>
    </row>
    <row r="34" spans="3:25" s="101" customFormat="1" x14ac:dyDescent="0.45">
      <c r="G34" s="123"/>
    </row>
    <row r="35" spans="3:25" ht="15" customHeight="1" x14ac:dyDescent="0.45">
      <c r="C35" s="180" t="s">
        <v>51</v>
      </c>
      <c r="D35" s="181"/>
      <c r="E35" s="181"/>
      <c r="F35" s="181"/>
      <c r="G35" s="181"/>
      <c r="H35" s="181"/>
      <c r="I35" s="181"/>
      <c r="J35" s="181"/>
      <c r="K35" s="181"/>
      <c r="L35" s="181"/>
      <c r="M35" s="181"/>
      <c r="N35" s="181"/>
      <c r="O35" s="181"/>
      <c r="P35" s="181"/>
      <c r="Q35" s="181"/>
      <c r="R35" s="181"/>
      <c r="S35" s="181"/>
      <c r="T35" s="181"/>
      <c r="U35" s="182"/>
    </row>
    <row r="36" spans="3:25" x14ac:dyDescent="0.45">
      <c r="C36" s="189"/>
      <c r="D36" s="190"/>
      <c r="E36" s="190"/>
      <c r="F36" s="190"/>
      <c r="G36" s="190"/>
      <c r="H36" s="190"/>
      <c r="I36" s="190"/>
      <c r="J36" s="190"/>
      <c r="K36" s="190"/>
      <c r="L36" s="190"/>
      <c r="M36" s="190"/>
      <c r="N36" s="190"/>
      <c r="O36" s="190"/>
      <c r="P36" s="190"/>
      <c r="Q36" s="190"/>
      <c r="R36" s="190"/>
      <c r="S36" s="190"/>
      <c r="T36" s="190"/>
      <c r="U36" s="191"/>
    </row>
    <row r="37" spans="3:25" x14ac:dyDescent="0.45">
      <c r="C37" s="189"/>
      <c r="D37" s="190"/>
      <c r="E37" s="190"/>
      <c r="F37" s="190"/>
      <c r="G37" s="190"/>
      <c r="H37" s="190"/>
      <c r="I37" s="190"/>
      <c r="J37" s="190"/>
      <c r="K37" s="190"/>
      <c r="L37" s="190"/>
      <c r="M37" s="190"/>
      <c r="N37" s="190"/>
      <c r="O37" s="190"/>
      <c r="P37" s="190"/>
      <c r="Q37" s="190"/>
      <c r="R37" s="190"/>
      <c r="S37" s="190"/>
      <c r="T37" s="190"/>
      <c r="U37" s="191"/>
    </row>
    <row r="38" spans="3:25" x14ac:dyDescent="0.45">
      <c r="C38" s="189"/>
      <c r="D38" s="190"/>
      <c r="E38" s="190"/>
      <c r="F38" s="190"/>
      <c r="G38" s="190"/>
      <c r="H38" s="190"/>
      <c r="I38" s="190"/>
      <c r="J38" s="190"/>
      <c r="K38" s="190"/>
      <c r="L38" s="190"/>
      <c r="M38" s="190"/>
      <c r="N38" s="190"/>
      <c r="O38" s="190"/>
      <c r="P38" s="190"/>
      <c r="Q38" s="190"/>
      <c r="R38" s="190"/>
      <c r="S38" s="190"/>
      <c r="T38" s="190"/>
      <c r="U38" s="191"/>
    </row>
    <row r="39" spans="3:25" x14ac:dyDescent="0.45">
      <c r="C39" s="183"/>
      <c r="D39" s="230"/>
      <c r="E39" s="230"/>
      <c r="F39" s="230"/>
      <c r="G39" s="230"/>
      <c r="H39" s="230"/>
      <c r="I39" s="230"/>
      <c r="J39" s="230"/>
      <c r="K39" s="230"/>
      <c r="L39" s="230"/>
      <c r="M39" s="230"/>
      <c r="N39" s="230"/>
      <c r="O39" s="230"/>
      <c r="P39" s="230"/>
      <c r="Q39" s="230"/>
      <c r="R39" s="230"/>
      <c r="S39" s="230"/>
      <c r="T39" s="230"/>
      <c r="U39" s="185"/>
    </row>
    <row r="42" spans="3:25" x14ac:dyDescent="0.45">
      <c r="J42" s="6"/>
      <c r="K42" s="6"/>
      <c r="L42" s="6"/>
      <c r="M42" s="6"/>
      <c r="N42" s="6"/>
      <c r="O42" s="6"/>
    </row>
  </sheetData>
  <mergeCells count="6">
    <mergeCell ref="C35:U39"/>
    <mergeCell ref="C7:I8"/>
    <mergeCell ref="C10:F11"/>
    <mergeCell ref="C16:D19"/>
    <mergeCell ref="C23:D26"/>
    <mergeCell ref="C30:D3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TopLevel">
                <anchor moveWithCells="1">
                  <from>
                    <xdr:col>2</xdr:col>
                    <xdr:colOff>161925</xdr:colOff>
                    <xdr:row>16</xdr:row>
                    <xdr:rowOff>76200</xdr:rowOff>
                  </from>
                  <to>
                    <xdr:col>3</xdr:col>
                    <xdr:colOff>323850</xdr:colOff>
                    <xdr:row>18</xdr:row>
                    <xdr:rowOff>9525</xdr:rowOff>
                  </to>
                </anchor>
              </controlPr>
            </control>
          </mc:Choice>
        </mc:AlternateContent>
        <mc:AlternateContent xmlns:mc="http://schemas.openxmlformats.org/markup-compatibility/2006">
          <mc:Choice Requires="x14">
            <control shapeId="12291" r:id="rId4" name="Button 3">
              <controlPr defaultSize="0" print="0" autoFill="0" autoPict="0" macro="[0]!do_addTradesEq">
                <anchor moveWithCells="1">
                  <from>
                    <xdr:col>2</xdr:col>
                    <xdr:colOff>161925</xdr:colOff>
                    <xdr:row>23</xdr:row>
                    <xdr:rowOff>76200</xdr:rowOff>
                  </from>
                  <to>
                    <xdr:col>3</xdr:col>
                    <xdr:colOff>323850</xdr:colOff>
                    <xdr:row>25</xdr:row>
                    <xdr:rowOff>9525</xdr:rowOff>
                  </to>
                </anchor>
              </controlPr>
            </control>
          </mc:Choice>
        </mc:AlternateContent>
        <mc:AlternateContent xmlns:mc="http://schemas.openxmlformats.org/markup-compatibility/2006">
          <mc:Choice Requires="x14">
            <control shapeId="12292" r:id="rId5" name="Button 4">
              <controlPr defaultSize="0" print="0" autoFill="0" autoPict="0" macro="[0]!do_addTradesFI">
                <anchor moveWithCells="1">
                  <from>
                    <xdr:col>2</xdr:col>
                    <xdr:colOff>161925</xdr:colOff>
                    <xdr:row>30</xdr:row>
                    <xdr:rowOff>76200</xdr:rowOff>
                  </from>
                  <to>
                    <xdr:col>3</xdr:col>
                    <xdr:colOff>323850</xdr:colOff>
                    <xdr:row>32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8"/>
  <sheetViews>
    <sheetView zoomScale="80" zoomScaleNormal="80" workbookViewId="0">
      <selection activeCell="F13" sqref="F13"/>
    </sheetView>
  </sheetViews>
  <sheetFormatPr defaultRowHeight="14.25" x14ac:dyDescent="0.45"/>
  <cols>
    <col min="3" max="3" width="9.86328125" bestFit="1" customWidth="1"/>
    <col min="4" max="4" width="18.1328125" bestFit="1" customWidth="1"/>
    <col min="5" max="5" width="12" style="57" bestFit="1" customWidth="1"/>
    <col min="6" max="6" width="17.265625" style="57" bestFit="1" customWidth="1"/>
    <col min="7" max="7" width="17.86328125" bestFit="1" customWidth="1"/>
    <col min="8" max="8" width="22.1328125" bestFit="1" customWidth="1"/>
    <col min="9" max="9" width="20.86328125" bestFit="1" customWidth="1"/>
    <col min="10" max="10" width="15.59765625" bestFit="1" customWidth="1"/>
    <col min="11" max="11" width="15.73046875" bestFit="1" customWidth="1"/>
    <col min="12" max="12" width="17.1328125" bestFit="1" customWidth="1"/>
    <col min="13" max="13" width="10.265625" bestFit="1" customWidth="1"/>
    <col min="14" max="14" width="7.73046875" bestFit="1" customWidth="1"/>
    <col min="15" max="15" width="12" bestFit="1" customWidth="1"/>
    <col min="16" max="16" width="20.86328125" bestFit="1" customWidth="1"/>
    <col min="17" max="17" width="15.265625" bestFit="1" customWidth="1"/>
    <col min="18" max="18" width="16.3984375" bestFit="1" customWidth="1"/>
    <col min="19" max="19" width="12" bestFit="1" customWidth="1"/>
    <col min="20" max="20" width="33.3984375" style="55" bestFit="1" customWidth="1"/>
    <col min="21" max="21" width="37.265625" bestFit="1" customWidth="1"/>
    <col min="22" max="22" width="30.59765625" bestFit="1" customWidth="1"/>
  </cols>
  <sheetData>
    <row r="1" spans="1:22" x14ac:dyDescent="0.45">
      <c r="A1" s="59"/>
    </row>
    <row r="7" spans="1:22" ht="15" customHeight="1" x14ac:dyDescent="0.45">
      <c r="C7" s="219" t="s">
        <v>93</v>
      </c>
      <c r="D7" s="220"/>
      <c r="E7" s="220"/>
      <c r="F7" s="220"/>
      <c r="G7" s="220"/>
      <c r="H7" s="220"/>
      <c r="I7" s="220"/>
      <c r="J7" s="220"/>
      <c r="K7" s="220"/>
      <c r="L7" s="220"/>
      <c r="M7" s="220"/>
      <c r="N7" s="221"/>
      <c r="T7"/>
    </row>
    <row r="8" spans="1:22" ht="15" customHeight="1" x14ac:dyDescent="0.45">
      <c r="C8" s="222"/>
      <c r="D8" s="223"/>
      <c r="E8" s="223"/>
      <c r="F8" s="223"/>
      <c r="G8" s="223"/>
      <c r="H8" s="223"/>
      <c r="I8" s="223"/>
      <c r="J8" s="223"/>
      <c r="K8" s="223"/>
      <c r="L8" s="223"/>
      <c r="M8" s="223"/>
      <c r="N8" s="224"/>
      <c r="T8"/>
    </row>
    <row r="9" spans="1:22" ht="15.75" x14ac:dyDescent="0.45">
      <c r="C9" s="46"/>
      <c r="D9" s="46"/>
      <c r="E9" s="56"/>
      <c r="F9" s="56"/>
      <c r="G9" s="46"/>
      <c r="H9" s="46"/>
      <c r="I9" s="46"/>
      <c r="T9"/>
    </row>
    <row r="10" spans="1:22" ht="15.75" x14ac:dyDescent="0.45">
      <c r="C10" s="244" t="s">
        <v>137</v>
      </c>
      <c r="D10" s="245"/>
      <c r="E10" s="169"/>
      <c r="F10" s="250" t="s">
        <v>95</v>
      </c>
      <c r="G10" s="46"/>
      <c r="H10" s="121"/>
      <c r="I10" s="121"/>
      <c r="J10" s="121"/>
      <c r="K10" s="121"/>
      <c r="L10" s="121"/>
      <c r="M10" s="121"/>
      <c r="N10" s="121"/>
      <c r="T10"/>
    </row>
    <row r="11" spans="1:22" s="166" customFormat="1" ht="15.75" x14ac:dyDescent="0.45">
      <c r="C11" s="246"/>
      <c r="D11" s="247"/>
      <c r="E11" s="170"/>
      <c r="F11" s="251"/>
      <c r="G11" s="46"/>
      <c r="H11" s="121"/>
      <c r="I11" s="121"/>
      <c r="J11" s="121"/>
      <c r="K11" s="121"/>
      <c r="L11" s="121"/>
      <c r="M11" s="121"/>
      <c r="N11" s="121"/>
    </row>
    <row r="12" spans="1:22" s="166" customFormat="1" ht="15.75" x14ac:dyDescent="0.45">
      <c r="C12" s="248"/>
      <c r="D12" s="249"/>
      <c r="E12" s="171"/>
      <c r="F12" s="252"/>
      <c r="G12" s="46"/>
      <c r="H12" s="121"/>
      <c r="I12" s="121"/>
      <c r="J12" s="121"/>
      <c r="K12" s="121"/>
      <c r="L12" s="121"/>
      <c r="M12" s="121"/>
      <c r="N12" s="121"/>
    </row>
    <row r="13" spans="1:22" ht="15.75" x14ac:dyDescent="0.45">
      <c r="C13" s="46"/>
      <c r="D13" s="46"/>
      <c r="E13" s="56"/>
      <c r="F13" s="56"/>
      <c r="G13" s="46"/>
      <c r="H13" s="121"/>
      <c r="I13" s="121"/>
      <c r="J13" s="121"/>
      <c r="K13" s="121"/>
      <c r="L13" s="121"/>
      <c r="M13" s="121"/>
      <c r="N13" s="121"/>
      <c r="T13"/>
    </row>
    <row r="14" spans="1:22" ht="15" customHeight="1" x14ac:dyDescent="0.45">
      <c r="C14" s="231" t="s">
        <v>54</v>
      </c>
      <c r="D14" s="232"/>
      <c r="E14" s="232"/>
      <c r="F14" s="233"/>
      <c r="G14" s="239"/>
      <c r="H14" s="121"/>
      <c r="I14" s="121"/>
      <c r="J14" s="121"/>
      <c r="K14" s="121"/>
      <c r="L14" s="121"/>
      <c r="M14" s="121"/>
      <c r="N14" s="121"/>
      <c r="T14"/>
    </row>
    <row r="15" spans="1:22" ht="15" customHeight="1" x14ac:dyDescent="0.45">
      <c r="C15" s="240"/>
      <c r="D15" s="241"/>
      <c r="E15" s="241"/>
      <c r="F15" s="242"/>
      <c r="G15" s="239"/>
      <c r="H15" s="121"/>
      <c r="I15" s="121"/>
      <c r="J15" s="121"/>
      <c r="K15" s="121"/>
      <c r="L15" s="121"/>
      <c r="M15" s="121"/>
      <c r="N15" s="121"/>
      <c r="T15"/>
    </row>
    <row r="16" spans="1:22" ht="15" customHeight="1" x14ac:dyDescent="0.45">
      <c r="C16" s="234"/>
      <c r="D16" s="243"/>
      <c r="E16" s="243"/>
      <c r="F16" s="236"/>
      <c r="G16" s="95"/>
      <c r="H16" s="121"/>
      <c r="I16" s="121"/>
      <c r="J16" s="121"/>
      <c r="K16" s="121"/>
      <c r="L16" s="121"/>
      <c r="M16" s="121"/>
      <c r="N16" s="121"/>
      <c r="T16"/>
      <c r="V16" s="102"/>
    </row>
    <row r="17" spans="2:23" x14ac:dyDescent="0.45">
      <c r="G17" s="4"/>
      <c r="T17" s="103"/>
      <c r="U17" s="103"/>
      <c r="V17" s="102"/>
    </row>
    <row r="18" spans="2:23" x14ac:dyDescent="0.45">
      <c r="B18" s="103"/>
      <c r="C18" s="103"/>
      <c r="D18" s="103"/>
      <c r="E18" s="122"/>
      <c r="F18" s="122"/>
      <c r="G18" s="103"/>
      <c r="H18" s="103"/>
      <c r="I18" s="103"/>
      <c r="J18" s="103"/>
      <c r="K18" s="103"/>
      <c r="L18" s="103"/>
      <c r="M18" s="103"/>
      <c r="N18" s="103"/>
      <c r="O18" s="103"/>
      <c r="P18" s="103"/>
      <c r="Q18" s="103"/>
      <c r="R18" s="103"/>
      <c r="S18" s="103"/>
      <c r="T18" s="121"/>
      <c r="U18" s="103"/>
      <c r="V18" s="103"/>
    </row>
    <row r="19" spans="2:23" x14ac:dyDescent="0.45">
      <c r="B19" s="103"/>
      <c r="C19" s="143" t="s">
        <v>27</v>
      </c>
      <c r="D19" s="144" t="s">
        <v>28</v>
      </c>
      <c r="E19" s="144" t="s">
        <v>29</v>
      </c>
      <c r="F19" s="144" t="s">
        <v>30</v>
      </c>
      <c r="G19" s="144" t="s">
        <v>31</v>
      </c>
      <c r="H19" s="144" t="s">
        <v>32</v>
      </c>
      <c r="I19" s="144" t="s">
        <v>33</v>
      </c>
      <c r="J19" s="144" t="s">
        <v>34</v>
      </c>
      <c r="K19" s="144" t="s">
        <v>35</v>
      </c>
      <c r="L19" s="144" t="s">
        <v>36</v>
      </c>
      <c r="M19" s="144" t="s">
        <v>37</v>
      </c>
      <c r="N19" s="144" t="s">
        <v>38</v>
      </c>
      <c r="O19" s="144" t="s">
        <v>39</v>
      </c>
      <c r="P19" s="144" t="s">
        <v>40</v>
      </c>
      <c r="Q19" s="144" t="s">
        <v>41</v>
      </c>
      <c r="R19" s="144" t="s">
        <v>42</v>
      </c>
      <c r="S19" s="144" t="s">
        <v>43</v>
      </c>
      <c r="T19" s="173" t="s">
        <v>138</v>
      </c>
      <c r="U19" s="173" t="s">
        <v>139</v>
      </c>
      <c r="V19" s="174" t="s">
        <v>140</v>
      </c>
      <c r="W19" s="127"/>
    </row>
    <row r="20" spans="2:23" x14ac:dyDescent="0.45">
      <c r="B20" s="120"/>
      <c r="C20" s="126" t="s">
        <v>77</v>
      </c>
      <c r="D20" s="146" t="s">
        <v>134</v>
      </c>
      <c r="E20" s="146">
        <v>43269</v>
      </c>
      <c r="F20" s="146">
        <v>43269</v>
      </c>
      <c r="G20" s="146" t="s">
        <v>124</v>
      </c>
      <c r="H20" s="146">
        <v>35000</v>
      </c>
      <c r="I20" s="146" t="s">
        <v>45</v>
      </c>
      <c r="J20" s="146" t="s">
        <v>46</v>
      </c>
      <c r="K20" s="146" t="s">
        <v>47</v>
      </c>
      <c r="L20" s="146" t="s">
        <v>49</v>
      </c>
      <c r="M20" s="146" t="s">
        <v>44</v>
      </c>
      <c r="N20" s="146" t="s">
        <v>50</v>
      </c>
      <c r="O20" s="146">
        <v>102.249849</v>
      </c>
      <c r="P20" s="146">
        <v>3578744.7149999999</v>
      </c>
      <c r="Q20" s="146">
        <v>1</v>
      </c>
      <c r="R20" s="146" t="s">
        <v>48</v>
      </c>
      <c r="S20" s="146" t="s">
        <v>47</v>
      </c>
      <c r="T20" s="172" t="s">
        <v>95</v>
      </c>
      <c r="U20" s="172" t="s">
        <v>128</v>
      </c>
      <c r="V20" s="175">
        <v>43269.424418668983</v>
      </c>
      <c r="W20" s="127"/>
    </row>
    <row r="21" spans="2:23" x14ac:dyDescent="0.45">
      <c r="B21" s="120"/>
      <c r="C21" s="91" t="s">
        <v>78</v>
      </c>
      <c r="D21" s="148" t="s">
        <v>136</v>
      </c>
      <c r="E21" s="148">
        <v>43269</v>
      </c>
      <c r="F21" s="148">
        <v>43269</v>
      </c>
      <c r="G21" s="148" t="s">
        <v>124</v>
      </c>
      <c r="H21" s="148">
        <v>120000</v>
      </c>
      <c r="I21" s="148" t="s">
        <v>45</v>
      </c>
      <c r="J21" s="148" t="s">
        <v>46</v>
      </c>
      <c r="K21" s="148" t="s">
        <v>47</v>
      </c>
      <c r="L21" s="148" t="s">
        <v>49</v>
      </c>
      <c r="M21" s="148" t="s">
        <v>44</v>
      </c>
      <c r="N21" s="148" t="s">
        <v>50</v>
      </c>
      <c r="O21" s="148">
        <v>159.836433</v>
      </c>
      <c r="P21" s="148">
        <v>19180371.960000001</v>
      </c>
      <c r="Q21" s="148">
        <v>1</v>
      </c>
      <c r="R21" s="148" t="s">
        <v>48</v>
      </c>
      <c r="S21" s="148" t="s">
        <v>47</v>
      </c>
      <c r="T21" s="176" t="s">
        <v>95</v>
      </c>
      <c r="U21" s="176" t="s">
        <v>128</v>
      </c>
      <c r="V21" s="177">
        <v>43269.424418668983</v>
      </c>
      <c r="W21" s="127"/>
    </row>
    <row r="22" spans="2:23" x14ac:dyDescent="0.45">
      <c r="B22" s="120"/>
      <c r="E22"/>
      <c r="F22"/>
      <c r="T22" s="172" t="s">
        <v>125</v>
      </c>
      <c r="U22" s="172" t="s">
        <v>128</v>
      </c>
      <c r="V22" s="175">
        <v>43269.41535815972</v>
      </c>
      <c r="W22" s="127"/>
    </row>
    <row r="23" spans="2:23" x14ac:dyDescent="0.45">
      <c r="B23" s="120"/>
      <c r="E23"/>
      <c r="F23"/>
      <c r="T23" s="172" t="s">
        <v>125</v>
      </c>
      <c r="U23" s="172" t="s">
        <v>128</v>
      </c>
      <c r="V23" s="175">
        <v>43269.41535815972</v>
      </c>
      <c r="W23" s="127"/>
    </row>
    <row r="24" spans="2:23" x14ac:dyDescent="0.45">
      <c r="B24" s="120"/>
      <c r="E24"/>
      <c r="F24"/>
      <c r="T24" s="176" t="s">
        <v>125</v>
      </c>
      <c r="U24" s="176" t="s">
        <v>128</v>
      </c>
      <c r="V24" s="177">
        <v>43269.41535815972</v>
      </c>
      <c r="W24" s="127"/>
    </row>
    <row r="25" spans="2:23" x14ac:dyDescent="0.45">
      <c r="B25" s="120"/>
      <c r="E25"/>
      <c r="F25"/>
      <c r="T25" s="127"/>
      <c r="U25" s="127"/>
      <c r="V25" s="127"/>
      <c r="W25" s="127"/>
    </row>
    <row r="26" spans="2:23" x14ac:dyDescent="0.45">
      <c r="B26" s="120"/>
      <c r="E26"/>
      <c r="F26"/>
      <c r="T26" s="127"/>
      <c r="U26" s="127"/>
      <c r="V26" s="127"/>
      <c r="W26" s="127"/>
    </row>
    <row r="27" spans="2:23" x14ac:dyDescent="0.45">
      <c r="B27" s="120"/>
      <c r="E27"/>
      <c r="F27"/>
      <c r="T27" s="127"/>
      <c r="U27" s="127"/>
      <c r="V27" s="127"/>
      <c r="W27" s="127"/>
    </row>
    <row r="28" spans="2:23" x14ac:dyDescent="0.45">
      <c r="B28" s="120"/>
      <c r="E28"/>
      <c r="F28"/>
      <c r="T28" s="127"/>
      <c r="U28" s="127"/>
      <c r="V28" s="127"/>
      <c r="W28" s="127"/>
    </row>
    <row r="29" spans="2:23" x14ac:dyDescent="0.45">
      <c r="B29" s="120"/>
      <c r="E29"/>
      <c r="F29"/>
      <c r="T29" s="127"/>
      <c r="U29" s="127"/>
      <c r="V29" s="127"/>
      <c r="W29" s="127"/>
    </row>
    <row r="30" spans="2:23" x14ac:dyDescent="0.45">
      <c r="B30" s="120"/>
      <c r="E30"/>
      <c r="F30"/>
      <c r="T30" s="127"/>
      <c r="U30" s="127"/>
      <c r="V30" s="127"/>
      <c r="W30" s="127"/>
    </row>
    <row r="31" spans="2:23" x14ac:dyDescent="0.45">
      <c r="B31" s="120"/>
      <c r="E31"/>
      <c r="F31"/>
      <c r="T31" s="127"/>
      <c r="U31" s="127"/>
      <c r="V31" s="127"/>
      <c r="W31" s="127"/>
    </row>
    <row r="32" spans="2:23" x14ac:dyDescent="0.45">
      <c r="B32" s="120"/>
      <c r="E32"/>
      <c r="F32"/>
      <c r="T32" s="127"/>
      <c r="U32" s="127"/>
      <c r="V32" s="127"/>
      <c r="W32" s="127"/>
    </row>
    <row r="33" spans="2:23" x14ac:dyDescent="0.45">
      <c r="B33" s="120"/>
      <c r="E33"/>
      <c r="F33"/>
      <c r="T33" s="127"/>
      <c r="U33" s="127"/>
      <c r="V33" s="127"/>
      <c r="W33" s="127"/>
    </row>
    <row r="34" spans="2:23" x14ac:dyDescent="0.45">
      <c r="B34" s="120"/>
      <c r="E34"/>
      <c r="F34"/>
      <c r="T34" s="127"/>
      <c r="U34" s="127"/>
      <c r="V34" s="127"/>
      <c r="W34" s="127"/>
    </row>
    <row r="35" spans="2:23" x14ac:dyDescent="0.45">
      <c r="B35" s="120"/>
      <c r="E35"/>
      <c r="F35"/>
      <c r="T35" s="127"/>
      <c r="U35" s="127"/>
      <c r="V35" s="127"/>
      <c r="W35" s="127"/>
    </row>
    <row r="36" spans="2:23" x14ac:dyDescent="0.45">
      <c r="B36" s="120"/>
      <c r="E36"/>
      <c r="F36"/>
      <c r="T36" s="127"/>
      <c r="U36" s="127"/>
      <c r="V36" s="127"/>
      <c r="W36" s="127"/>
    </row>
    <row r="37" spans="2:23" x14ac:dyDescent="0.45">
      <c r="B37" s="120"/>
      <c r="E37"/>
      <c r="F37"/>
      <c r="T37" s="127"/>
      <c r="U37" s="127"/>
      <c r="V37" s="127"/>
      <c r="W37" s="127"/>
    </row>
    <row r="38" spans="2:23" x14ac:dyDescent="0.45">
      <c r="B38" s="54"/>
      <c r="E38"/>
      <c r="F38"/>
      <c r="T38" s="127"/>
      <c r="U38" s="127"/>
      <c r="V38" s="127"/>
      <c r="W38" s="127"/>
    </row>
    <row r="39" spans="2:23" x14ac:dyDescent="0.45">
      <c r="B39" s="54"/>
      <c r="E39"/>
      <c r="F39"/>
      <c r="T39" s="127"/>
      <c r="U39" s="127"/>
      <c r="V39" s="127"/>
      <c r="W39" s="127"/>
    </row>
    <row r="40" spans="2:23" x14ac:dyDescent="0.45">
      <c r="B40" s="54"/>
      <c r="E40"/>
      <c r="F40"/>
      <c r="T40" s="127"/>
      <c r="U40" s="127"/>
      <c r="V40" s="127"/>
      <c r="W40" s="127"/>
    </row>
    <row r="41" spans="2:23" x14ac:dyDescent="0.45">
      <c r="B41" s="54"/>
      <c r="E41"/>
      <c r="F41"/>
      <c r="T41" s="127"/>
      <c r="U41" s="127"/>
      <c r="V41" s="127"/>
      <c r="W41" s="127"/>
    </row>
    <row r="42" spans="2:23" x14ac:dyDescent="0.45">
      <c r="B42" s="54"/>
      <c r="E42"/>
      <c r="F42"/>
      <c r="T42" s="127"/>
      <c r="U42" s="127"/>
      <c r="V42" s="127"/>
      <c r="W42" s="127"/>
    </row>
    <row r="43" spans="2:23" x14ac:dyDescent="0.45">
      <c r="B43" s="54"/>
      <c r="E43"/>
      <c r="F43"/>
      <c r="T43" s="127"/>
      <c r="U43" s="127"/>
      <c r="V43" s="127"/>
      <c r="W43" s="127"/>
    </row>
    <row r="44" spans="2:23" x14ac:dyDescent="0.45">
      <c r="B44" s="54"/>
      <c r="E44"/>
      <c r="F44"/>
      <c r="T44" s="127"/>
      <c r="U44" s="127"/>
      <c r="V44" s="127"/>
      <c r="W44" s="127"/>
    </row>
    <row r="45" spans="2:23" x14ac:dyDescent="0.45">
      <c r="B45" s="54"/>
      <c r="E45"/>
      <c r="F45"/>
      <c r="T45" s="127"/>
      <c r="U45" s="127"/>
      <c r="V45" s="127"/>
      <c r="W45" s="127"/>
    </row>
    <row r="46" spans="2:23" x14ac:dyDescent="0.45">
      <c r="B46" s="54"/>
      <c r="E46"/>
      <c r="F46"/>
      <c r="T46" s="127"/>
      <c r="U46" s="127"/>
      <c r="V46" s="127"/>
      <c r="W46" s="127"/>
    </row>
    <row r="47" spans="2:23" x14ac:dyDescent="0.45">
      <c r="B47" s="54"/>
      <c r="E47"/>
      <c r="F47"/>
      <c r="T47" s="127"/>
      <c r="U47" s="127"/>
      <c r="V47" s="127"/>
      <c r="W47" s="127"/>
    </row>
    <row r="48" spans="2:23" x14ac:dyDescent="0.45">
      <c r="B48" s="54"/>
      <c r="E48"/>
      <c r="F48"/>
      <c r="T48" s="127"/>
      <c r="U48" s="127"/>
      <c r="V48" s="127"/>
      <c r="W48" s="127"/>
    </row>
    <row r="49" spans="2:23" x14ac:dyDescent="0.45">
      <c r="B49" s="54"/>
      <c r="E49"/>
      <c r="F49"/>
      <c r="T49" s="127"/>
      <c r="U49" s="127"/>
      <c r="V49" s="127"/>
      <c r="W49" s="127"/>
    </row>
    <row r="50" spans="2:23" x14ac:dyDescent="0.45">
      <c r="C50" s="58"/>
      <c r="D50" s="58"/>
      <c r="E50" s="86"/>
      <c r="F50" s="86"/>
      <c r="G50" s="58"/>
      <c r="H50" s="58"/>
      <c r="I50" s="58"/>
      <c r="J50" s="58"/>
      <c r="K50" s="58"/>
      <c r="L50" s="58"/>
      <c r="M50" s="58"/>
      <c r="N50" s="58"/>
      <c r="O50" s="58"/>
      <c r="P50" s="58"/>
      <c r="Q50" s="58"/>
      <c r="R50" s="58"/>
      <c r="S50" s="58"/>
      <c r="T50" s="58"/>
      <c r="U50" s="58"/>
      <c r="V50" s="1"/>
    </row>
    <row r="51" spans="2:23" x14ac:dyDescent="0.45">
      <c r="C51" s="58"/>
      <c r="D51" s="58"/>
      <c r="E51" s="86"/>
      <c r="F51" s="86"/>
      <c r="G51" s="58"/>
      <c r="H51" s="58"/>
      <c r="I51" s="58"/>
      <c r="J51" s="58"/>
      <c r="K51" s="58"/>
      <c r="L51" s="58"/>
      <c r="M51" s="58"/>
      <c r="N51" s="58"/>
      <c r="O51" s="58"/>
      <c r="P51" s="58"/>
      <c r="Q51" s="58"/>
      <c r="R51" s="58"/>
      <c r="S51" s="58"/>
      <c r="T51" s="58"/>
      <c r="U51" s="58"/>
      <c r="V51" s="1"/>
    </row>
    <row r="52" spans="2:23" x14ac:dyDescent="0.45">
      <c r="C52" s="58"/>
      <c r="D52" s="58"/>
      <c r="E52" s="86"/>
      <c r="F52" s="86"/>
      <c r="G52" s="58"/>
      <c r="H52" s="58"/>
      <c r="I52" s="58"/>
      <c r="J52" s="58"/>
      <c r="K52" s="58"/>
      <c r="L52" s="58"/>
      <c r="M52" s="58"/>
      <c r="N52" s="58"/>
      <c r="O52" s="58"/>
      <c r="P52" s="58"/>
      <c r="Q52" s="58"/>
      <c r="R52" s="58"/>
      <c r="S52" s="58"/>
      <c r="T52" s="58"/>
      <c r="U52" s="58"/>
    </row>
    <row r="53" spans="2:23" x14ac:dyDescent="0.45">
      <c r="C53" s="58"/>
      <c r="D53" s="58"/>
      <c r="E53" s="86"/>
      <c r="F53" s="86"/>
      <c r="G53" s="58"/>
      <c r="H53" s="58"/>
      <c r="I53" s="58"/>
      <c r="J53" s="58"/>
      <c r="K53" s="58"/>
      <c r="L53" s="58"/>
      <c r="M53" s="58"/>
      <c r="N53" s="58"/>
      <c r="O53" s="58"/>
      <c r="P53" s="58"/>
      <c r="Q53" s="58"/>
      <c r="R53" s="58"/>
      <c r="S53" s="58"/>
      <c r="T53" s="58"/>
      <c r="U53" s="58"/>
    </row>
    <row r="54" spans="2:23" x14ac:dyDescent="0.45">
      <c r="C54" s="6"/>
      <c r="D54" s="6"/>
      <c r="E54" s="6"/>
      <c r="F54" s="6"/>
      <c r="G54" s="6"/>
      <c r="H54" s="6"/>
      <c r="I54" s="6"/>
      <c r="J54" s="6"/>
      <c r="K54" s="6"/>
      <c r="L54" s="6"/>
      <c r="M54" s="6"/>
      <c r="N54" s="6"/>
      <c r="O54" s="6"/>
      <c r="P54" s="6"/>
      <c r="Q54" s="6"/>
      <c r="R54" s="6"/>
      <c r="S54" s="6"/>
      <c r="T54" s="58"/>
      <c r="U54" s="58"/>
    </row>
    <row r="55" spans="2:23" x14ac:dyDescent="0.45">
      <c r="C55" s="6"/>
      <c r="D55" s="6"/>
      <c r="E55" s="6"/>
      <c r="F55" s="6"/>
      <c r="G55" s="6"/>
      <c r="H55" s="6"/>
      <c r="I55" s="6"/>
      <c r="J55" s="6"/>
      <c r="K55" s="6"/>
      <c r="L55" s="6"/>
      <c r="M55" s="6"/>
      <c r="N55" s="6"/>
      <c r="O55" s="6"/>
      <c r="P55" s="6"/>
      <c r="Q55" s="6"/>
      <c r="R55" s="6"/>
      <c r="S55" s="6"/>
      <c r="T55" s="58"/>
      <c r="U55" s="7"/>
    </row>
    <row r="56" spans="2:23" x14ac:dyDescent="0.45">
      <c r="C56" s="6"/>
      <c r="D56" s="6"/>
      <c r="E56" s="6"/>
      <c r="F56" s="6"/>
      <c r="G56" s="6"/>
      <c r="H56" s="6"/>
      <c r="I56" s="6"/>
      <c r="J56" s="6"/>
      <c r="K56" s="6"/>
      <c r="L56" s="6"/>
      <c r="M56" s="6"/>
      <c r="N56" s="6"/>
      <c r="O56" s="6"/>
      <c r="P56" s="6"/>
      <c r="Q56" s="6"/>
      <c r="R56" s="6"/>
      <c r="S56" s="6"/>
      <c r="T56" s="58"/>
      <c r="U56" s="7"/>
    </row>
    <row r="57" spans="2:23" x14ac:dyDescent="0.45">
      <c r="C57" s="6"/>
      <c r="D57" s="6"/>
      <c r="E57" s="6"/>
      <c r="F57" s="6"/>
      <c r="G57" s="6"/>
      <c r="H57" s="6"/>
      <c r="I57" s="6"/>
      <c r="J57" s="6"/>
      <c r="K57" s="6"/>
      <c r="L57" s="6"/>
      <c r="M57" s="6"/>
      <c r="N57" s="6"/>
      <c r="O57" s="6"/>
      <c r="P57" s="6"/>
      <c r="Q57" s="6"/>
      <c r="R57" s="6"/>
      <c r="S57" s="6"/>
      <c r="T57" s="58"/>
      <c r="U57" s="7"/>
    </row>
    <row r="58" spans="2:23" x14ac:dyDescent="0.45">
      <c r="C58" s="6"/>
      <c r="D58" s="6"/>
      <c r="E58" s="6"/>
      <c r="F58" s="6"/>
      <c r="G58" s="6"/>
      <c r="H58" s="6"/>
      <c r="I58" s="6"/>
      <c r="J58" s="6"/>
      <c r="K58" s="6"/>
      <c r="L58" s="6"/>
      <c r="M58" s="6"/>
      <c r="N58" s="6"/>
      <c r="O58" s="6"/>
      <c r="P58" s="6"/>
      <c r="Q58" s="6"/>
      <c r="R58" s="6"/>
      <c r="S58" s="6"/>
      <c r="T58" s="58"/>
      <c r="U58" s="7"/>
    </row>
  </sheetData>
  <mergeCells count="5">
    <mergeCell ref="G14:G15"/>
    <mergeCell ref="C7:N8"/>
    <mergeCell ref="C14:F16"/>
    <mergeCell ref="C10:D12"/>
    <mergeCell ref="F10:F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13</xdr:row>
                    <xdr:rowOff>95250</xdr:rowOff>
                  </from>
                  <to>
                    <xdr:col>5</xdr:col>
                    <xdr:colOff>857250</xdr:colOff>
                    <xdr:row>15</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2"/>
  <sheetViews>
    <sheetView zoomScale="80" zoomScaleNormal="80" workbookViewId="0">
      <selection activeCell="H11" sqref="H11"/>
    </sheetView>
  </sheetViews>
  <sheetFormatPr defaultRowHeight="14.25" x14ac:dyDescent="0.45"/>
  <cols>
    <col min="2" max="2" width="20.59765625" bestFit="1" customWidth="1"/>
    <col min="3" max="3" width="13.86328125" bestFit="1" customWidth="1"/>
    <col min="4" max="4" width="6.59765625" bestFit="1" customWidth="1"/>
    <col min="5" max="5" width="13.3984375" bestFit="1" customWidth="1"/>
    <col min="6" max="6" width="10.86328125" bestFit="1" customWidth="1"/>
    <col min="7" max="7" width="16.73046875" bestFit="1" customWidth="1"/>
    <col min="8" max="8" width="20.86328125" bestFit="1" customWidth="1"/>
    <col min="9" max="9" width="15.59765625" bestFit="1" customWidth="1"/>
    <col min="10" max="10" width="15.73046875" bestFit="1" customWidth="1"/>
    <col min="11" max="11" width="17.1328125" bestFit="1" customWidth="1"/>
    <col min="12" max="12" width="10.265625" bestFit="1" customWidth="1"/>
    <col min="13" max="13" width="7.73046875" bestFit="1" customWidth="1"/>
    <col min="14" max="14" width="12" bestFit="1" customWidth="1"/>
    <col min="15" max="15" width="20.86328125" bestFit="1" customWidth="1"/>
    <col min="16" max="16" width="15.265625" bestFit="1" customWidth="1"/>
    <col min="17" max="17" width="16.3984375" bestFit="1" customWidth="1"/>
    <col min="18" max="18" width="12" bestFit="1" customWidth="1"/>
    <col min="19" max="19" width="51.265625" bestFit="1" customWidth="1"/>
    <col min="20" max="20" width="37.265625" bestFit="1" customWidth="1"/>
  </cols>
  <sheetData>
    <row r="2" spans="2:15" x14ac:dyDescent="0.45">
      <c r="D2" s="57"/>
      <c r="E2" s="57"/>
    </row>
    <row r="3" spans="2:15" x14ac:dyDescent="0.45">
      <c r="D3" s="57"/>
      <c r="E3" s="57"/>
    </row>
    <row r="4" spans="2:15" x14ac:dyDescent="0.45">
      <c r="D4" s="57"/>
      <c r="E4" s="57"/>
    </row>
    <row r="5" spans="2:15" x14ac:dyDescent="0.45">
      <c r="D5" s="57"/>
      <c r="E5" s="57"/>
    </row>
    <row r="6" spans="2:15" x14ac:dyDescent="0.45">
      <c r="D6" s="57"/>
      <c r="E6" s="57"/>
    </row>
    <row r="7" spans="2:15" x14ac:dyDescent="0.45">
      <c r="B7" s="219" t="s">
        <v>92</v>
      </c>
      <c r="C7" s="220"/>
      <c r="D7" s="220"/>
      <c r="E7" s="220"/>
      <c r="F7" s="220"/>
      <c r="G7" s="220"/>
      <c r="H7" s="220"/>
      <c r="I7" s="220"/>
      <c r="J7" s="220"/>
      <c r="K7" s="220"/>
      <c r="L7" s="220"/>
      <c r="M7" s="221"/>
    </row>
    <row r="8" spans="2:15" x14ac:dyDescent="0.45">
      <c r="B8" s="222"/>
      <c r="C8" s="223"/>
      <c r="D8" s="223"/>
      <c r="E8" s="223"/>
      <c r="F8" s="223"/>
      <c r="G8" s="223"/>
      <c r="H8" s="223"/>
      <c r="I8" s="223"/>
      <c r="J8" s="223"/>
      <c r="K8" s="223"/>
      <c r="L8" s="223"/>
      <c r="M8" s="224"/>
    </row>
    <row r="9" spans="2:15" ht="15.75" x14ac:dyDescent="0.45">
      <c r="B9" s="46"/>
      <c r="C9" s="46"/>
      <c r="D9" s="56"/>
      <c r="E9" s="56"/>
      <c r="F9" s="46"/>
      <c r="G9" s="46"/>
      <c r="H9" s="56"/>
    </row>
    <row r="10" spans="2:15" ht="15.75" x14ac:dyDescent="0.45">
      <c r="B10" s="256" t="s">
        <v>75</v>
      </c>
      <c r="C10" s="257"/>
      <c r="D10" s="257"/>
      <c r="E10" s="257"/>
      <c r="F10" s="258"/>
      <c r="G10" s="46" t="s">
        <v>109</v>
      </c>
      <c r="H10" s="61" t="s">
        <v>125</v>
      </c>
    </row>
    <row r="11" spans="2:15" s="101" customFormat="1" ht="15.75" x14ac:dyDescent="0.45">
      <c r="B11" s="46"/>
      <c r="C11" s="46"/>
      <c r="D11" s="46"/>
      <c r="E11" s="46"/>
      <c r="F11" s="46"/>
      <c r="G11" s="46" t="s">
        <v>76</v>
      </c>
      <c r="H11" s="61">
        <f ca="1">TODAY()</f>
        <v>43288</v>
      </c>
    </row>
    <row r="12" spans="2:15" ht="15.75" x14ac:dyDescent="0.45">
      <c r="B12" s="46"/>
      <c r="C12" s="46"/>
      <c r="D12" s="56"/>
      <c r="E12" s="56"/>
      <c r="F12" s="46"/>
      <c r="G12" s="60"/>
      <c r="H12" s="60"/>
    </row>
    <row r="13" spans="2:15" ht="15.75" customHeight="1" x14ac:dyDescent="0.45">
      <c r="B13" s="46"/>
      <c r="C13" s="46"/>
      <c r="D13" s="56"/>
      <c r="E13" s="56"/>
      <c r="F13" s="46"/>
      <c r="G13" s="60"/>
      <c r="H13" s="60"/>
      <c r="I13" s="208" t="s">
        <v>83</v>
      </c>
      <c r="J13" s="209"/>
      <c r="K13" s="209"/>
      <c r="L13" s="209"/>
      <c r="M13" s="210"/>
      <c r="N13" s="96"/>
      <c r="O13" s="96"/>
    </row>
    <row r="14" spans="2:15" ht="15" customHeight="1" x14ac:dyDescent="0.45">
      <c r="B14" s="231" t="s">
        <v>54</v>
      </c>
      <c r="C14" s="232"/>
      <c r="D14" s="232"/>
      <c r="E14" s="233"/>
      <c r="F14" s="253"/>
      <c r="G14" s="254"/>
      <c r="H14" s="60"/>
      <c r="I14" s="211"/>
      <c r="J14" s="212"/>
      <c r="K14" s="212"/>
      <c r="L14" s="212"/>
      <c r="M14" s="213"/>
      <c r="N14" s="96"/>
      <c r="O14" s="96"/>
    </row>
    <row r="15" spans="2:15" ht="15" customHeight="1" x14ac:dyDescent="0.45">
      <c r="B15" s="234"/>
      <c r="C15" s="235"/>
      <c r="D15" s="235"/>
      <c r="E15" s="236"/>
      <c r="F15" s="253"/>
      <c r="G15" s="255"/>
      <c r="H15" s="60"/>
      <c r="I15" s="211"/>
      <c r="J15" s="212"/>
      <c r="K15" s="212"/>
      <c r="L15" s="212"/>
      <c r="M15" s="213"/>
      <c r="N15" s="96"/>
      <c r="O15" s="96"/>
    </row>
    <row r="16" spans="2:15" ht="15" customHeight="1" x14ac:dyDescent="0.45">
      <c r="D16" s="57"/>
      <c r="E16" s="57"/>
      <c r="F16" s="4"/>
      <c r="I16" s="211"/>
      <c r="J16" s="212"/>
      <c r="K16" s="212"/>
      <c r="L16" s="212"/>
      <c r="M16" s="213"/>
      <c r="N16" s="96"/>
      <c r="O16" s="96"/>
    </row>
    <row r="17" spans="1:20" ht="15" customHeight="1" x14ac:dyDescent="0.45">
      <c r="A17" s="103"/>
      <c r="B17" s="103"/>
      <c r="C17" s="103"/>
      <c r="D17" s="103"/>
      <c r="E17" s="103"/>
      <c r="F17" s="103"/>
      <c r="G17" s="103"/>
      <c r="H17" s="103"/>
      <c r="I17" s="215"/>
      <c r="J17" s="215"/>
      <c r="K17" s="215"/>
      <c r="L17" s="215"/>
      <c r="M17" s="216"/>
      <c r="N17" s="96"/>
      <c r="O17" s="96"/>
      <c r="P17" s="7"/>
      <c r="Q17" s="7"/>
      <c r="R17" s="7"/>
      <c r="S17" s="7"/>
      <c r="T17" s="7"/>
    </row>
    <row r="18" spans="1:20" x14ac:dyDescent="0.45">
      <c r="A18" s="103"/>
      <c r="B18" s="143" t="s">
        <v>28</v>
      </c>
      <c r="C18" s="144" t="s">
        <v>102</v>
      </c>
      <c r="D18" s="144" t="s">
        <v>103</v>
      </c>
      <c r="E18" s="144" t="s">
        <v>104</v>
      </c>
      <c r="F18" s="144" t="s">
        <v>105</v>
      </c>
      <c r="G18" s="145" t="s">
        <v>106</v>
      </c>
      <c r="N18" s="58"/>
      <c r="O18" s="58"/>
      <c r="P18" s="58"/>
      <c r="Q18" s="58"/>
      <c r="R18" s="58"/>
      <c r="S18" s="58"/>
      <c r="T18" s="58"/>
    </row>
    <row r="19" spans="1:20" x14ac:dyDescent="0.45">
      <c r="A19" s="103"/>
      <c r="B19" s="126" t="s">
        <v>129</v>
      </c>
      <c r="C19" s="146" t="s">
        <v>107</v>
      </c>
      <c r="D19" s="146">
        <v>5680</v>
      </c>
      <c r="E19" s="146">
        <v>5680</v>
      </c>
      <c r="F19" s="146">
        <v>12294.36</v>
      </c>
      <c r="G19" s="147">
        <v>0</v>
      </c>
      <c r="N19" s="58"/>
      <c r="O19" s="58"/>
      <c r="P19" s="58"/>
      <c r="Q19" s="58"/>
      <c r="R19" s="58"/>
      <c r="S19" s="58"/>
      <c r="T19" s="58"/>
    </row>
    <row r="20" spans="1:20" x14ac:dyDescent="0.45">
      <c r="A20" s="103"/>
      <c r="B20" s="126" t="s">
        <v>130</v>
      </c>
      <c r="C20" s="146" t="s">
        <v>107</v>
      </c>
      <c r="D20" s="146">
        <v>60500</v>
      </c>
      <c r="E20" s="146">
        <v>60500</v>
      </c>
      <c r="F20" s="146">
        <v>4665760</v>
      </c>
      <c r="G20" s="147">
        <v>0</v>
      </c>
      <c r="N20" s="58"/>
      <c r="O20" s="58"/>
      <c r="P20" s="58"/>
      <c r="Q20" s="58"/>
      <c r="R20" s="58"/>
      <c r="S20" s="58"/>
      <c r="T20" s="58"/>
    </row>
    <row r="21" spans="1:20" x14ac:dyDescent="0.45">
      <c r="A21" s="103"/>
      <c r="B21" s="126" t="s">
        <v>131</v>
      </c>
      <c r="C21" s="146" t="s">
        <v>107</v>
      </c>
      <c r="D21" s="146">
        <v>4650</v>
      </c>
      <c r="E21" s="146">
        <v>4650</v>
      </c>
      <c r="F21" s="146">
        <v>4676272.5</v>
      </c>
      <c r="G21" s="147">
        <v>0</v>
      </c>
      <c r="N21" s="58"/>
      <c r="O21" s="58"/>
      <c r="P21" s="58"/>
      <c r="Q21" s="58"/>
      <c r="R21" s="58"/>
      <c r="S21" s="58"/>
      <c r="T21" s="58"/>
    </row>
    <row r="22" spans="1:20" x14ac:dyDescent="0.45">
      <c r="A22" s="103"/>
      <c r="B22" s="91" t="s">
        <v>132</v>
      </c>
      <c r="C22" s="148" t="s">
        <v>107</v>
      </c>
      <c r="D22" s="148">
        <v>4580</v>
      </c>
      <c r="E22" s="148">
        <v>4580</v>
      </c>
      <c r="F22" s="148">
        <v>870658</v>
      </c>
      <c r="G22" s="149">
        <v>0</v>
      </c>
      <c r="N22" s="58"/>
      <c r="O22" s="58"/>
      <c r="P22" s="58"/>
      <c r="Q22" s="58"/>
      <c r="R22" s="58"/>
      <c r="S22" s="58"/>
      <c r="T22" s="58"/>
    </row>
    <row r="23" spans="1:20" x14ac:dyDescent="0.45">
      <c r="A23" s="103"/>
      <c r="N23" s="58"/>
      <c r="O23" s="58"/>
      <c r="P23" s="58"/>
      <c r="Q23" s="58"/>
      <c r="R23" s="58"/>
      <c r="S23" s="58"/>
      <c r="T23" s="58"/>
    </row>
    <row r="24" spans="1:20" x14ac:dyDescent="0.45">
      <c r="A24" s="103"/>
      <c r="N24" s="58"/>
      <c r="O24" s="58"/>
      <c r="P24" s="58"/>
      <c r="Q24" s="58"/>
      <c r="R24" s="58"/>
      <c r="S24" s="58"/>
      <c r="T24" s="58"/>
    </row>
    <row r="25" spans="1:20" x14ac:dyDescent="0.45">
      <c r="A25" s="103"/>
      <c r="N25" s="58"/>
      <c r="O25" s="58"/>
      <c r="P25" s="58"/>
      <c r="Q25" s="58"/>
      <c r="R25" s="58"/>
      <c r="S25" s="58"/>
      <c r="T25" s="58"/>
    </row>
    <row r="26" spans="1:20" x14ac:dyDescent="0.45">
      <c r="A26" s="103"/>
      <c r="N26" s="58"/>
      <c r="O26" s="58"/>
      <c r="P26" s="58"/>
      <c r="Q26" s="58"/>
      <c r="R26" s="58"/>
      <c r="S26" s="58"/>
      <c r="T26" s="58"/>
    </row>
    <row r="27" spans="1:20" x14ac:dyDescent="0.45">
      <c r="A27" s="103"/>
      <c r="N27" s="58"/>
      <c r="O27" s="58"/>
      <c r="P27" s="58"/>
      <c r="Q27" s="58"/>
      <c r="R27" s="58"/>
      <c r="S27" s="58"/>
      <c r="T27" s="58"/>
    </row>
    <row r="28" spans="1:20" x14ac:dyDescent="0.45">
      <c r="A28" s="103"/>
      <c r="N28" s="58"/>
      <c r="O28" s="58"/>
      <c r="P28" s="58"/>
      <c r="Q28" s="58"/>
      <c r="R28" s="58"/>
      <c r="S28" s="58"/>
      <c r="T28" s="58"/>
    </row>
    <row r="29" spans="1:20" x14ac:dyDescent="0.45">
      <c r="A29" s="101"/>
      <c r="N29" s="58"/>
      <c r="O29" s="58"/>
      <c r="P29" s="58"/>
      <c r="Q29" s="58"/>
      <c r="R29" s="58"/>
      <c r="S29" s="58"/>
      <c r="T29" s="58"/>
    </row>
    <row r="30" spans="1:20" x14ac:dyDescent="0.45">
      <c r="A30" s="101"/>
      <c r="N30" s="58"/>
      <c r="O30" s="58"/>
      <c r="P30" s="58"/>
      <c r="Q30" s="58"/>
      <c r="R30" s="58"/>
      <c r="S30" s="58"/>
      <c r="T30" s="58"/>
    </row>
    <row r="31" spans="1:20" x14ac:dyDescent="0.45">
      <c r="A31" s="101"/>
      <c r="N31" s="58"/>
      <c r="O31" s="58"/>
      <c r="P31" s="58"/>
      <c r="Q31" s="58"/>
      <c r="R31" s="58"/>
      <c r="S31" s="58"/>
      <c r="T31" s="58"/>
    </row>
    <row r="32" spans="1:20" x14ac:dyDescent="0.45">
      <c r="A32" s="101"/>
      <c r="N32" s="58"/>
      <c r="O32" s="58"/>
      <c r="P32" s="58"/>
      <c r="Q32" s="58"/>
      <c r="R32" s="58"/>
      <c r="S32" s="58"/>
      <c r="T32" s="58"/>
    </row>
    <row r="33" spans="1:20" x14ac:dyDescent="0.45">
      <c r="A33" s="101"/>
      <c r="B33" s="101"/>
      <c r="C33" s="101"/>
      <c r="D33" s="101"/>
      <c r="E33" s="101"/>
      <c r="F33" s="101"/>
      <c r="G33" s="101"/>
      <c r="H33" s="101"/>
      <c r="I33" s="101"/>
      <c r="J33" s="58"/>
      <c r="K33" s="58"/>
      <c r="L33" s="58"/>
      <c r="M33" s="58"/>
      <c r="N33" s="58"/>
      <c r="O33" s="58"/>
      <c r="P33" s="58"/>
      <c r="Q33" s="58"/>
      <c r="R33" s="58"/>
      <c r="S33" s="58"/>
      <c r="T33" s="58"/>
    </row>
    <row r="34" spans="1:20" x14ac:dyDescent="0.45">
      <c r="A34" s="101"/>
      <c r="B34" s="101"/>
      <c r="C34" s="101"/>
      <c r="D34" s="101"/>
      <c r="E34" s="101"/>
      <c r="F34" s="101"/>
      <c r="G34" s="101"/>
      <c r="H34" s="101"/>
      <c r="I34" s="101"/>
      <c r="J34" s="58"/>
      <c r="K34" s="58"/>
      <c r="L34" s="58"/>
      <c r="M34" s="58"/>
      <c r="N34" s="58"/>
      <c r="O34" s="58"/>
      <c r="P34" s="58"/>
      <c r="Q34" s="58"/>
      <c r="R34" s="58"/>
      <c r="S34" s="58"/>
      <c r="T34" s="58"/>
    </row>
    <row r="35" spans="1:20" x14ac:dyDescent="0.45">
      <c r="A35" s="101"/>
      <c r="B35" s="101"/>
      <c r="C35" s="101"/>
      <c r="D35" s="101"/>
      <c r="E35" s="101"/>
      <c r="F35" s="101"/>
      <c r="G35" s="101"/>
      <c r="H35" s="101"/>
      <c r="I35" s="101"/>
      <c r="J35" s="58"/>
      <c r="K35" s="58"/>
      <c r="L35" s="58"/>
      <c r="M35" s="58"/>
      <c r="N35" s="58"/>
      <c r="O35" s="58"/>
      <c r="P35" s="58"/>
      <c r="Q35" s="58"/>
      <c r="R35" s="58"/>
      <c r="S35" s="58"/>
      <c r="T35" s="58"/>
    </row>
    <row r="36" spans="1:20" x14ac:dyDescent="0.45">
      <c r="A36" s="101"/>
      <c r="B36" s="101"/>
      <c r="C36" s="101"/>
      <c r="D36" s="101"/>
      <c r="E36" s="101"/>
      <c r="F36" s="101"/>
      <c r="G36" s="101"/>
      <c r="H36" s="101"/>
      <c r="I36" s="101"/>
      <c r="J36" s="58"/>
      <c r="K36" s="58"/>
      <c r="L36" s="58"/>
      <c r="M36" s="58"/>
      <c r="N36" s="58"/>
      <c r="O36" s="58"/>
      <c r="P36" s="58"/>
      <c r="Q36" s="58"/>
      <c r="R36" s="58"/>
      <c r="S36" s="58"/>
      <c r="T36" s="58"/>
    </row>
    <row r="37" spans="1:20" x14ac:dyDescent="0.45">
      <c r="A37" s="101"/>
      <c r="B37" s="101"/>
      <c r="C37" s="101"/>
      <c r="D37" s="101"/>
      <c r="E37" s="101"/>
      <c r="F37" s="101"/>
      <c r="G37" s="101"/>
      <c r="H37" s="101"/>
      <c r="I37" s="101"/>
      <c r="J37" s="58"/>
      <c r="K37" s="58"/>
      <c r="L37" s="58"/>
      <c r="M37" s="58"/>
      <c r="N37" s="58"/>
      <c r="O37" s="58"/>
      <c r="P37" s="58"/>
      <c r="Q37" s="58"/>
      <c r="R37" s="58"/>
      <c r="S37" s="58"/>
      <c r="T37" s="58"/>
    </row>
    <row r="38" spans="1:20" x14ac:dyDescent="0.45">
      <c r="A38" s="101"/>
      <c r="B38" s="101"/>
      <c r="C38" s="101"/>
      <c r="D38" s="101"/>
      <c r="E38" s="101"/>
      <c r="F38" s="101"/>
      <c r="G38" s="101"/>
      <c r="H38" s="101"/>
      <c r="I38" s="101"/>
      <c r="J38" s="58"/>
      <c r="K38" s="58"/>
      <c r="L38" s="58"/>
      <c r="M38" s="58"/>
      <c r="N38" s="58"/>
      <c r="O38" s="58"/>
      <c r="P38" s="58"/>
      <c r="Q38" s="58"/>
      <c r="R38" s="58"/>
      <c r="S38" s="58"/>
      <c r="T38" s="58"/>
    </row>
    <row r="39" spans="1:20" x14ac:dyDescent="0.45">
      <c r="A39" s="101"/>
      <c r="B39" s="101"/>
      <c r="C39" s="101"/>
      <c r="D39" s="101"/>
      <c r="E39" s="101"/>
      <c r="F39" s="101"/>
      <c r="G39" s="101"/>
      <c r="H39" s="101"/>
      <c r="I39" s="101"/>
      <c r="J39" s="58"/>
      <c r="K39" s="58"/>
      <c r="L39" s="58"/>
      <c r="M39" s="58"/>
      <c r="N39" s="58"/>
      <c r="O39" s="58"/>
      <c r="P39" s="58"/>
      <c r="Q39" s="58"/>
      <c r="R39" s="58"/>
      <c r="S39" s="58"/>
      <c r="T39" s="58"/>
    </row>
    <row r="40" spans="1:20" x14ac:dyDescent="0.45">
      <c r="A40" s="101"/>
      <c r="B40" s="101"/>
      <c r="C40" s="101"/>
      <c r="D40" s="101"/>
      <c r="E40" s="101"/>
      <c r="F40" s="101"/>
      <c r="G40" s="101"/>
      <c r="H40" s="101"/>
      <c r="I40" s="101"/>
      <c r="J40" s="58"/>
      <c r="K40" s="58"/>
      <c r="L40" s="58"/>
      <c r="M40" s="58"/>
      <c r="N40" s="58"/>
      <c r="O40" s="58"/>
      <c r="P40" s="58"/>
      <c r="Q40" s="58"/>
      <c r="R40" s="58"/>
      <c r="S40" s="58"/>
      <c r="T40" s="58"/>
    </row>
    <row r="41" spans="1:20" x14ac:dyDescent="0.45">
      <c r="A41" s="101"/>
      <c r="B41" s="101"/>
      <c r="C41" s="101"/>
      <c r="D41" s="101"/>
      <c r="E41" s="101"/>
      <c r="F41" s="101"/>
      <c r="G41" s="101"/>
      <c r="H41" s="101"/>
      <c r="I41" s="101"/>
      <c r="J41" s="58"/>
      <c r="K41" s="58"/>
      <c r="L41" s="58"/>
      <c r="M41" s="58"/>
      <c r="N41" s="58"/>
      <c r="O41" s="58"/>
      <c r="P41" s="58"/>
      <c r="Q41" s="58"/>
      <c r="R41" s="58"/>
      <c r="S41" s="58"/>
      <c r="T41" s="58"/>
    </row>
    <row r="42" spans="1:20" x14ac:dyDescent="0.45">
      <c r="A42" s="101"/>
      <c r="B42" s="101"/>
      <c r="C42" s="101"/>
      <c r="D42" s="101"/>
      <c r="E42" s="101"/>
      <c r="F42" s="101"/>
      <c r="G42" s="101"/>
      <c r="H42" s="101"/>
      <c r="I42" s="101"/>
      <c r="J42" s="58"/>
      <c r="K42" s="58"/>
      <c r="L42" s="58"/>
      <c r="M42" s="58"/>
      <c r="N42" s="58"/>
      <c r="O42" s="58"/>
      <c r="P42" s="58"/>
      <c r="Q42" s="58"/>
      <c r="R42" s="58"/>
      <c r="S42" s="58"/>
      <c r="T42" s="58"/>
    </row>
    <row r="43" spans="1:20" x14ac:dyDescent="0.45">
      <c r="A43" s="101"/>
      <c r="B43" s="101"/>
      <c r="C43" s="101"/>
      <c r="D43" s="101"/>
      <c r="E43" s="101"/>
      <c r="F43" s="101"/>
      <c r="G43" s="101"/>
      <c r="H43" s="101"/>
      <c r="I43" s="101"/>
      <c r="J43" s="58"/>
      <c r="K43" s="58"/>
      <c r="L43" s="58"/>
      <c r="M43" s="58"/>
      <c r="N43" s="58"/>
      <c r="O43" s="58"/>
      <c r="P43" s="58"/>
      <c r="Q43" s="58"/>
      <c r="R43" s="58"/>
      <c r="S43" s="58"/>
      <c r="T43" s="58"/>
    </row>
    <row r="44" spans="1:20" x14ac:dyDescent="0.45">
      <c r="A44" s="101"/>
      <c r="B44" s="101"/>
      <c r="C44" s="101"/>
      <c r="D44" s="101"/>
      <c r="E44" s="101"/>
      <c r="F44" s="101"/>
      <c r="G44" s="101"/>
      <c r="H44" s="101"/>
      <c r="I44" s="101"/>
      <c r="J44" s="58"/>
      <c r="K44" s="58"/>
      <c r="L44" s="58"/>
      <c r="M44" s="58"/>
      <c r="N44" s="58"/>
      <c r="O44" s="58"/>
      <c r="P44" s="58"/>
      <c r="Q44" s="58"/>
      <c r="R44" s="58"/>
      <c r="S44" s="58"/>
      <c r="T44" s="58"/>
    </row>
    <row r="45" spans="1:20" x14ac:dyDescent="0.45">
      <c r="A45" s="101"/>
      <c r="B45" s="101"/>
      <c r="C45" s="101"/>
      <c r="D45" s="101"/>
      <c r="E45" s="101"/>
      <c r="F45" s="101"/>
      <c r="G45" s="101"/>
      <c r="H45" s="101"/>
      <c r="I45" s="101"/>
      <c r="J45" s="58"/>
      <c r="K45" s="58"/>
      <c r="L45" s="58"/>
      <c r="M45" s="58"/>
      <c r="N45" s="58"/>
      <c r="O45" s="58"/>
      <c r="P45" s="58"/>
      <c r="Q45" s="58"/>
      <c r="R45" s="58"/>
      <c r="S45" s="58"/>
      <c r="T45" s="58"/>
    </row>
    <row r="46" spans="1:20" x14ac:dyDescent="0.45">
      <c r="A46" s="101"/>
      <c r="B46" s="101"/>
      <c r="C46" s="101"/>
      <c r="D46" s="101"/>
      <c r="E46" s="101"/>
      <c r="F46" s="101"/>
      <c r="G46" s="101"/>
      <c r="H46" s="101"/>
      <c r="I46" s="101"/>
      <c r="J46" s="58"/>
      <c r="K46" s="58"/>
      <c r="L46" s="58"/>
      <c r="M46" s="58"/>
      <c r="N46" s="58"/>
      <c r="O46" s="58"/>
      <c r="P46" s="58"/>
      <c r="Q46" s="58"/>
      <c r="R46" s="58"/>
      <c r="S46" s="58"/>
      <c r="T46" s="58"/>
    </row>
    <row r="47" spans="1:20" x14ac:dyDescent="0.45">
      <c r="A47" s="101"/>
      <c r="B47" s="101"/>
      <c r="C47" s="101"/>
      <c r="D47" s="101"/>
      <c r="E47" s="101"/>
      <c r="F47" s="101"/>
      <c r="G47" s="101"/>
      <c r="H47" s="101"/>
      <c r="I47" s="101"/>
      <c r="J47" s="58"/>
      <c r="K47" s="58"/>
      <c r="L47" s="58"/>
      <c r="M47" s="58"/>
      <c r="N47" s="58"/>
      <c r="O47" s="58"/>
      <c r="P47" s="58"/>
      <c r="Q47" s="58"/>
      <c r="R47" s="58"/>
      <c r="S47" s="58"/>
      <c r="T47" s="58"/>
    </row>
    <row r="48" spans="1:20" x14ac:dyDescent="0.45">
      <c r="B48" s="58"/>
      <c r="C48" s="58"/>
      <c r="D48" s="58"/>
      <c r="E48" s="58"/>
      <c r="F48" s="58"/>
      <c r="G48" s="58"/>
      <c r="H48" s="58"/>
      <c r="I48" s="58"/>
      <c r="J48" s="58"/>
      <c r="K48" s="58"/>
      <c r="L48" s="58"/>
      <c r="M48" s="58"/>
      <c r="N48" s="58"/>
      <c r="O48" s="58"/>
      <c r="P48" s="58"/>
      <c r="Q48" s="58"/>
      <c r="R48" s="58"/>
      <c r="S48" s="58"/>
      <c r="T48" s="58"/>
    </row>
    <row r="49" spans="2:20" x14ac:dyDescent="0.45">
      <c r="B49" s="58"/>
      <c r="C49" s="58"/>
      <c r="D49" s="58"/>
      <c r="E49" s="58"/>
      <c r="F49" s="58"/>
      <c r="G49" s="58"/>
      <c r="H49" s="58"/>
      <c r="I49" s="58"/>
      <c r="J49" s="58"/>
      <c r="K49" s="58"/>
      <c r="L49" s="58"/>
      <c r="M49" s="58"/>
      <c r="N49" s="58"/>
      <c r="O49" s="58"/>
      <c r="P49" s="58"/>
      <c r="Q49" s="58"/>
      <c r="R49" s="58"/>
      <c r="S49" s="58"/>
      <c r="T49" s="58"/>
    </row>
    <row r="50" spans="2:20" x14ac:dyDescent="0.45">
      <c r="B50" s="58"/>
      <c r="C50" s="58"/>
      <c r="D50" s="58"/>
      <c r="E50" s="58"/>
      <c r="F50" s="58"/>
      <c r="G50" s="58"/>
      <c r="H50" s="58"/>
      <c r="I50" s="58"/>
      <c r="J50" s="58"/>
      <c r="K50" s="58"/>
      <c r="L50" s="58"/>
      <c r="M50" s="58"/>
      <c r="N50" s="58"/>
      <c r="O50" s="58"/>
      <c r="P50" s="58"/>
      <c r="Q50" s="58"/>
      <c r="R50" s="58"/>
      <c r="S50" s="58"/>
      <c r="T50" s="58"/>
    </row>
    <row r="51" spans="2:20" x14ac:dyDescent="0.45">
      <c r="B51" s="58"/>
      <c r="C51" s="58"/>
      <c r="D51" s="58"/>
      <c r="E51" s="58"/>
      <c r="F51" s="58"/>
      <c r="G51" s="58"/>
      <c r="H51" s="58"/>
      <c r="I51" s="58"/>
      <c r="J51" s="58"/>
      <c r="K51" s="58"/>
      <c r="L51" s="58"/>
      <c r="M51" s="58"/>
      <c r="N51" s="58"/>
      <c r="O51" s="58"/>
      <c r="P51" s="58"/>
      <c r="Q51" s="58"/>
      <c r="R51" s="58"/>
      <c r="S51" s="58"/>
      <c r="T51" s="58"/>
    </row>
    <row r="52" spans="2:20" x14ac:dyDescent="0.45">
      <c r="B52" s="58"/>
      <c r="C52" s="58"/>
      <c r="D52" s="58"/>
      <c r="E52" s="58"/>
      <c r="F52" s="58"/>
      <c r="G52" s="58"/>
      <c r="H52" s="58"/>
      <c r="I52" s="58"/>
      <c r="J52" s="58"/>
      <c r="K52" s="58"/>
      <c r="L52" s="58"/>
      <c r="M52" s="58"/>
      <c r="N52" s="58"/>
      <c r="O52" s="58"/>
      <c r="P52" s="58"/>
      <c r="Q52" s="58"/>
      <c r="R52" s="58"/>
      <c r="S52" s="58"/>
      <c r="T52" s="58"/>
    </row>
  </sheetData>
  <mergeCells count="6">
    <mergeCell ref="B7:M8"/>
    <mergeCell ref="B14:E15"/>
    <mergeCell ref="F14:F15"/>
    <mergeCell ref="G14:G15"/>
    <mergeCell ref="B10:F10"/>
    <mergeCell ref="I13:M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13</xdr:row>
                    <xdr:rowOff>76200</xdr:rowOff>
                  </from>
                  <to>
                    <xdr:col>6</xdr:col>
                    <xdr:colOff>990600</xdr:colOff>
                    <xdr:row>14</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C9" sqref="C9"/>
    </sheetView>
  </sheetViews>
  <sheetFormatPr defaultRowHeight="14.25" x14ac:dyDescent="0.45"/>
  <cols>
    <col min="2" max="2" width="3.265625" customWidth="1"/>
    <col min="4" max="4" width="11.59765625" bestFit="1" customWidth="1"/>
    <col min="5" max="5" width="20.265625" customWidth="1"/>
  </cols>
  <sheetData>
    <row r="2" spans="3:15" x14ac:dyDescent="0.45">
      <c r="E2" s="62"/>
    </row>
    <row r="3" spans="3:15" x14ac:dyDescent="0.45">
      <c r="E3" s="62"/>
    </row>
    <row r="4" spans="3:15" x14ac:dyDescent="0.45">
      <c r="E4" s="62"/>
    </row>
    <row r="5" spans="3:15" x14ac:dyDescent="0.45">
      <c r="E5" s="62"/>
    </row>
    <row r="6" spans="3:15" x14ac:dyDescent="0.45">
      <c r="E6" s="62"/>
    </row>
    <row r="7" spans="3:15" ht="15" customHeight="1" x14ac:dyDescent="0.45">
      <c r="C7" s="208" t="s">
        <v>149</v>
      </c>
      <c r="D7" s="209"/>
      <c r="E7" s="209"/>
      <c r="F7" s="209"/>
      <c r="G7" s="209"/>
      <c r="H7" s="209"/>
      <c r="I7" s="209"/>
      <c r="J7" s="209"/>
      <c r="K7" s="209"/>
      <c r="L7" s="209"/>
      <c r="M7" s="209"/>
      <c r="N7" s="209"/>
      <c r="O7" s="210"/>
    </row>
    <row r="8" spans="3:15" ht="15" customHeight="1" x14ac:dyDescent="0.45">
      <c r="C8" s="214"/>
      <c r="D8" s="265"/>
      <c r="E8" s="265"/>
      <c r="F8" s="265"/>
      <c r="G8" s="265"/>
      <c r="H8" s="265"/>
      <c r="I8" s="265"/>
      <c r="J8" s="265"/>
      <c r="K8" s="265"/>
      <c r="L8" s="265"/>
      <c r="M8" s="265"/>
      <c r="N8" s="265"/>
      <c r="O8" s="216"/>
    </row>
    <row r="9" spans="3:15" ht="15.75" x14ac:dyDescent="0.45">
      <c r="C9" s="46"/>
      <c r="D9" s="46"/>
      <c r="E9" s="63"/>
    </row>
    <row r="10" spans="3:15" ht="15.75" x14ac:dyDescent="0.45">
      <c r="C10" s="266" t="s">
        <v>58</v>
      </c>
      <c r="D10" s="267"/>
      <c r="E10" s="267"/>
      <c r="F10" s="267"/>
      <c r="G10" s="267"/>
      <c r="H10" s="267"/>
      <c r="I10" s="267"/>
      <c r="J10" s="268"/>
    </row>
    <row r="11" spans="3:15" ht="15.75" x14ac:dyDescent="0.45">
      <c r="C11" s="46"/>
      <c r="D11" s="46"/>
      <c r="E11" s="63"/>
    </row>
    <row r="12" spans="3:15" x14ac:dyDescent="0.45">
      <c r="C12" s="259" t="s">
        <v>59</v>
      </c>
      <c r="D12" s="260"/>
      <c r="E12" s="260"/>
      <c r="F12" s="260"/>
      <c r="G12" s="260"/>
      <c r="H12" s="261"/>
      <c r="J12" s="208" t="s">
        <v>84</v>
      </c>
      <c r="K12" s="209"/>
      <c r="L12" s="209"/>
      <c r="M12" s="209"/>
      <c r="N12" s="210"/>
    </row>
    <row r="13" spans="3:15" x14ac:dyDescent="0.45">
      <c r="C13" s="262"/>
      <c r="D13" s="263"/>
      <c r="E13" s="263"/>
      <c r="F13" s="263"/>
      <c r="G13" s="263"/>
      <c r="H13" s="264"/>
      <c r="J13" s="211"/>
      <c r="K13" s="212"/>
      <c r="L13" s="212"/>
      <c r="M13" s="212"/>
      <c r="N13" s="213"/>
    </row>
    <row r="14" spans="3:15" x14ac:dyDescent="0.45">
      <c r="J14" s="211"/>
      <c r="K14" s="212"/>
      <c r="L14" s="212"/>
      <c r="M14" s="212"/>
      <c r="N14" s="213"/>
    </row>
    <row r="15" spans="3:15" x14ac:dyDescent="0.45">
      <c r="C15" t="str">
        <f>_xll.fbnAnalyticsStoreAdd_Template()</f>
        <v>OK</v>
      </c>
      <c r="J15" s="211"/>
      <c r="K15" s="212"/>
      <c r="L15" s="212"/>
      <c r="M15" s="212"/>
      <c r="N15" s="213"/>
    </row>
    <row r="16" spans="3:15" x14ac:dyDescent="0.45">
      <c r="C16" s="71" t="s">
        <v>3</v>
      </c>
      <c r="D16" s="72" t="s">
        <v>57</v>
      </c>
      <c r="E16" s="66" t="s">
        <v>4</v>
      </c>
      <c r="J16" s="214"/>
      <c r="K16" s="215"/>
      <c r="L16" s="215"/>
      <c r="M16" s="215"/>
      <c r="N16" s="216"/>
    </row>
    <row r="17" spans="2:12" x14ac:dyDescent="0.45">
      <c r="B17" s="48">
        <v>1</v>
      </c>
      <c r="C17" s="64" t="str">
        <f>Scope</f>
        <v>MyNameSpace4</v>
      </c>
      <c r="D17" s="68">
        <f ca="1">EffectiveDate</f>
        <v>43288</v>
      </c>
      <c r="E17" s="124" t="s">
        <v>144</v>
      </c>
    </row>
    <row r="18" spans="2:12" x14ac:dyDescent="0.45">
      <c r="B18" s="49">
        <v>2</v>
      </c>
      <c r="C18" s="64"/>
      <c r="D18" s="23"/>
      <c r="E18" s="67"/>
    </row>
    <row r="19" spans="2:12" x14ac:dyDescent="0.45">
      <c r="B19" s="49">
        <v>3</v>
      </c>
      <c r="C19" s="64"/>
      <c r="D19" s="23"/>
      <c r="E19" s="67"/>
    </row>
    <row r="20" spans="2:12" x14ac:dyDescent="0.45">
      <c r="B20" s="49">
        <v>4</v>
      </c>
      <c r="C20" s="64"/>
      <c r="D20" s="23"/>
      <c r="E20" s="67"/>
    </row>
    <row r="21" spans="2:12" x14ac:dyDescent="0.45">
      <c r="B21" s="49">
        <v>5</v>
      </c>
      <c r="C21" s="64"/>
      <c r="D21" s="23"/>
      <c r="E21" s="67"/>
    </row>
    <row r="22" spans="2:12" x14ac:dyDescent="0.45">
      <c r="B22" s="49">
        <v>6</v>
      </c>
      <c r="C22" s="64"/>
      <c r="D22" s="23"/>
      <c r="E22" s="67"/>
    </row>
    <row r="23" spans="2:12" x14ac:dyDescent="0.45">
      <c r="B23" s="49">
        <v>7</v>
      </c>
      <c r="C23" s="64"/>
      <c r="D23" s="23"/>
      <c r="E23" s="67"/>
      <c r="I23" s="226" t="s">
        <v>60</v>
      </c>
      <c r="J23" s="226"/>
      <c r="K23" s="226"/>
      <c r="L23" s="226"/>
    </row>
    <row r="24" spans="2:12" x14ac:dyDescent="0.45">
      <c r="B24" s="49">
        <v>8</v>
      </c>
      <c r="C24" s="64"/>
      <c r="D24" s="23"/>
      <c r="E24" s="67"/>
      <c r="I24" s="226"/>
      <c r="J24" s="226"/>
      <c r="K24" s="226"/>
      <c r="L24" s="226"/>
    </row>
    <row r="25" spans="2:12" x14ac:dyDescent="0.45">
      <c r="B25" s="49">
        <v>9</v>
      </c>
      <c r="C25" s="64"/>
      <c r="D25" s="23"/>
      <c r="E25" s="67"/>
      <c r="I25" s="226"/>
      <c r="J25" s="226"/>
      <c r="K25" s="226"/>
      <c r="L25" s="226"/>
    </row>
    <row r="26" spans="2:12" x14ac:dyDescent="0.45">
      <c r="B26" s="49">
        <v>10</v>
      </c>
      <c r="C26" s="64"/>
      <c r="D26" s="23"/>
      <c r="E26" s="67"/>
      <c r="I26" s="226"/>
      <c r="J26" s="226"/>
      <c r="K26" s="226"/>
      <c r="L26" s="226"/>
    </row>
    <row r="27" spans="2:12" x14ac:dyDescent="0.45">
      <c r="B27" s="49">
        <v>11</v>
      </c>
      <c r="C27" s="64"/>
      <c r="D27" s="23"/>
      <c r="E27" s="67"/>
      <c r="I27" s="226"/>
      <c r="J27" s="226"/>
      <c r="K27" s="226"/>
      <c r="L27" s="226"/>
    </row>
    <row r="28" spans="2:12" x14ac:dyDescent="0.45">
      <c r="B28" s="49">
        <v>12</v>
      </c>
      <c r="C28" s="64"/>
      <c r="D28" s="23"/>
      <c r="E28" s="67"/>
      <c r="I28" s="226"/>
      <c r="J28" s="226"/>
      <c r="K28" s="226"/>
      <c r="L28" s="226"/>
    </row>
    <row r="29" spans="2:12" x14ac:dyDescent="0.45">
      <c r="B29" s="49">
        <v>13</v>
      </c>
      <c r="C29" s="64"/>
      <c r="D29" s="23"/>
      <c r="E29" s="67"/>
      <c r="I29" s="226"/>
      <c r="J29" s="226"/>
      <c r="K29" s="226"/>
      <c r="L29" s="226"/>
    </row>
    <row r="30" spans="2:12" x14ac:dyDescent="0.45">
      <c r="B30" s="49">
        <v>14</v>
      </c>
      <c r="C30" s="64"/>
      <c r="D30" s="23"/>
      <c r="E30" s="67"/>
      <c r="I30" s="226"/>
      <c r="J30" s="226"/>
      <c r="K30" s="226"/>
      <c r="L30" s="226"/>
    </row>
    <row r="31" spans="2:12" x14ac:dyDescent="0.45">
      <c r="B31" s="49">
        <v>15</v>
      </c>
      <c r="C31" s="64"/>
      <c r="D31" s="23"/>
      <c r="E31" s="67"/>
      <c r="I31" s="226"/>
      <c r="J31" s="226"/>
      <c r="K31" s="226"/>
      <c r="L31" s="226"/>
    </row>
    <row r="32" spans="2:12" x14ac:dyDescent="0.45">
      <c r="B32" s="49">
        <v>16</v>
      </c>
      <c r="C32" s="64"/>
      <c r="D32" s="23"/>
      <c r="E32" s="67"/>
    </row>
    <row r="33" spans="2:5" x14ac:dyDescent="0.45">
      <c r="B33" s="49">
        <v>17</v>
      </c>
      <c r="C33" s="64"/>
      <c r="D33" s="23"/>
      <c r="E33" s="67"/>
    </row>
    <row r="34" spans="2:5" x14ac:dyDescent="0.45">
      <c r="B34" s="49">
        <v>18</v>
      </c>
      <c r="C34" s="64"/>
      <c r="D34" s="23"/>
      <c r="E34" s="67"/>
    </row>
    <row r="35" spans="2:5" x14ac:dyDescent="0.45">
      <c r="B35" s="49">
        <v>19</v>
      </c>
      <c r="C35" s="64"/>
      <c r="D35" s="23"/>
      <c r="E35" s="67"/>
    </row>
    <row r="36" spans="2:5" x14ac:dyDescent="0.45">
      <c r="B36" s="49">
        <v>20</v>
      </c>
      <c r="C36" s="64"/>
      <c r="D36" s="23"/>
      <c r="E36" s="67"/>
    </row>
    <row r="37" spans="2:5" x14ac:dyDescent="0.45">
      <c r="B37" s="49">
        <v>21</v>
      </c>
      <c r="C37" s="64"/>
      <c r="D37" s="23"/>
      <c r="E37" s="67"/>
    </row>
    <row r="38" spans="2:5" x14ac:dyDescent="0.45">
      <c r="B38" s="49">
        <v>22</v>
      </c>
      <c r="C38" s="64"/>
      <c r="D38" s="23"/>
      <c r="E38" s="67"/>
    </row>
    <row r="39" spans="2:5" x14ac:dyDescent="0.45">
      <c r="B39" s="49">
        <v>23</v>
      </c>
      <c r="C39" s="64"/>
      <c r="D39" s="23"/>
      <c r="E39" s="67"/>
    </row>
    <row r="40" spans="2:5" x14ac:dyDescent="0.45">
      <c r="B40" s="49">
        <v>24</v>
      </c>
      <c r="C40" s="64"/>
      <c r="D40" s="23"/>
      <c r="E40" s="67"/>
    </row>
    <row r="41" spans="2:5" x14ac:dyDescent="0.45">
      <c r="B41" s="49">
        <v>25</v>
      </c>
      <c r="C41" s="64"/>
      <c r="D41" s="23"/>
      <c r="E41" s="67"/>
    </row>
    <row r="42" spans="2:5" x14ac:dyDescent="0.45">
      <c r="B42" s="49">
        <v>26</v>
      </c>
      <c r="C42" s="64"/>
      <c r="D42" s="23"/>
      <c r="E42" s="69"/>
    </row>
    <row r="43" spans="2:5" x14ac:dyDescent="0.45">
      <c r="B43" s="49">
        <v>27</v>
      </c>
      <c r="C43" s="64"/>
      <c r="D43" s="23"/>
      <c r="E43" s="69"/>
    </row>
    <row r="44" spans="2:5" x14ac:dyDescent="0.45">
      <c r="B44" s="49">
        <v>28</v>
      </c>
      <c r="C44" s="64"/>
      <c r="D44" s="23"/>
      <c r="E44" s="69"/>
    </row>
    <row r="45" spans="2:5" x14ac:dyDescent="0.45">
      <c r="B45" s="49">
        <v>29</v>
      </c>
      <c r="C45" s="64"/>
      <c r="D45" s="23"/>
      <c r="E45" s="69"/>
    </row>
    <row r="46" spans="2:5" x14ac:dyDescent="0.45">
      <c r="B46" s="47">
        <v>30</v>
      </c>
      <c r="C46" s="65"/>
      <c r="D46" s="24"/>
      <c r="E46" s="70"/>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13" zoomScale="80" zoomScaleNormal="80" workbookViewId="0">
      <selection activeCell="C10" sqref="C10"/>
    </sheetView>
  </sheetViews>
  <sheetFormatPr defaultRowHeight="14.25" x14ac:dyDescent="0.45"/>
  <cols>
    <col min="2" max="2" width="4.1328125" customWidth="1"/>
    <col min="3" max="3" width="7.86328125" customWidth="1"/>
    <col min="4" max="4" width="5.73046875" customWidth="1"/>
    <col min="5" max="5" width="43.86328125" customWidth="1"/>
    <col min="6" max="6" width="21.265625" style="62" customWidth="1"/>
    <col min="7" max="7" width="9.1328125" style="55"/>
    <col min="8" max="8" width="11.59765625" bestFit="1" customWidth="1"/>
  </cols>
  <sheetData>
    <row r="8" spans="3:10" ht="15.75" customHeight="1" x14ac:dyDescent="0.45">
      <c r="C8" s="219" t="s">
        <v>150</v>
      </c>
      <c r="D8" s="220"/>
      <c r="E8" s="220"/>
      <c r="F8" s="220"/>
      <c r="G8" s="220"/>
      <c r="H8" s="220"/>
      <c r="I8" s="220"/>
      <c r="J8" s="221"/>
    </row>
    <row r="9" spans="3:10" ht="15" customHeight="1" x14ac:dyDescent="0.45">
      <c r="C9" s="222"/>
      <c r="D9" s="223"/>
      <c r="E9" s="223"/>
      <c r="F9" s="223"/>
      <c r="G9" s="223"/>
      <c r="H9" s="223"/>
      <c r="I9" s="223"/>
      <c r="J9" s="224"/>
    </row>
    <row r="10" spans="3:10" ht="15" customHeight="1" x14ac:dyDescent="0.45">
      <c r="C10" s="46"/>
      <c r="D10" s="46"/>
      <c r="E10" s="46"/>
      <c r="F10" s="63"/>
    </row>
    <row r="11" spans="3:10" ht="15.75" x14ac:dyDescent="0.45">
      <c r="C11" s="266" t="s">
        <v>52</v>
      </c>
      <c r="D11" s="267"/>
      <c r="E11" s="267"/>
      <c r="F11" s="268"/>
    </row>
    <row r="12" spans="3:10" ht="15.75" x14ac:dyDescent="0.45">
      <c r="C12" s="46"/>
      <c r="D12" s="46"/>
      <c r="E12" s="46"/>
      <c r="F12" s="63"/>
    </row>
    <row r="13" spans="3:10" ht="15" customHeight="1" x14ac:dyDescent="0.45">
      <c r="C13" s="272" t="s">
        <v>80</v>
      </c>
      <c r="D13" s="273"/>
      <c r="E13" s="273"/>
      <c r="F13" s="273"/>
      <c r="G13" s="274"/>
      <c r="H13" s="57"/>
      <c r="I13" s="278">
        <f ca="1">'Setup Analytics'!D17</f>
        <v>43288</v>
      </c>
      <c r="J13" s="279"/>
    </row>
    <row r="14" spans="3:10" x14ac:dyDescent="0.45">
      <c r="C14" s="275"/>
      <c r="D14" s="276"/>
      <c r="E14" s="276"/>
      <c r="F14" s="276"/>
      <c r="G14" s="277"/>
      <c r="I14" s="280"/>
      <c r="J14" s="281"/>
    </row>
    <row r="16" spans="3:10" ht="15" customHeight="1" x14ac:dyDescent="0.45">
      <c r="C16" s="269" t="s">
        <v>61</v>
      </c>
      <c r="D16" s="270"/>
      <c r="E16" s="270"/>
      <c r="F16" s="270"/>
      <c r="G16" s="271"/>
      <c r="H16" s="1"/>
      <c r="I16" s="1"/>
      <c r="J16" s="1"/>
    </row>
    <row r="17" spans="3:12" x14ac:dyDescent="0.45">
      <c r="E17" t="str">
        <f>_xll.fbnAnalyticsAdd_Template()</f>
        <v>OK</v>
      </c>
      <c r="H17" s="58"/>
      <c r="I17" s="58"/>
      <c r="J17" s="58"/>
    </row>
    <row r="18" spans="3:12" ht="14.65" thickBot="1" x14ac:dyDescent="0.5">
      <c r="C18" s="5"/>
      <c r="D18" s="5"/>
      <c r="E18" s="75" t="s">
        <v>8</v>
      </c>
      <c r="F18" s="76" t="s">
        <v>56</v>
      </c>
      <c r="G18" s="78" t="s">
        <v>11</v>
      </c>
      <c r="H18" s="58"/>
      <c r="I18" s="58"/>
      <c r="J18" s="58"/>
    </row>
    <row r="19" spans="3:12" ht="14.65" thickTop="1" x14ac:dyDescent="0.45">
      <c r="D19" s="21">
        <v>1</v>
      </c>
      <c r="E19" s="113" t="str">
        <f>'Define Fund Securities'!H14</f>
        <v>SECUID_18B1WXH</v>
      </c>
      <c r="F19" s="161">
        <v>102.249849</v>
      </c>
      <c r="G19" s="125" t="s">
        <v>14</v>
      </c>
    </row>
    <row r="20" spans="3:12" x14ac:dyDescent="0.45">
      <c r="D20" s="21">
        <v>2</v>
      </c>
      <c r="E20" s="113" t="str">
        <f>'Define Fund Securities'!H15</f>
        <v>SECUID_RQ73SA</v>
      </c>
      <c r="F20" s="162">
        <v>159.836433</v>
      </c>
      <c r="G20" s="73"/>
    </row>
    <row r="21" spans="3:12" x14ac:dyDescent="0.45">
      <c r="D21" s="21">
        <v>3</v>
      </c>
      <c r="E21" s="113" t="str">
        <f>Setup!D14</f>
        <v>FIGI_BBG009S39JY5</v>
      </c>
      <c r="F21" s="77">
        <v>2.1644999999999999</v>
      </c>
      <c r="G21" s="73"/>
    </row>
    <row r="22" spans="3:12" x14ac:dyDescent="0.45">
      <c r="D22" s="21">
        <v>4</v>
      </c>
      <c r="E22" s="113" t="str">
        <f>Setup!D15</f>
        <v>FIGI_BBG001SKXPR1</v>
      </c>
      <c r="F22" s="77">
        <v>77.12</v>
      </c>
      <c r="G22" s="73"/>
    </row>
    <row r="23" spans="3:12" x14ac:dyDescent="0.45">
      <c r="D23" s="21">
        <v>5</v>
      </c>
      <c r="E23" s="113" t="str">
        <f>Setup!D16</f>
        <v>FIGI_BBG001S6PJ31</v>
      </c>
      <c r="F23" s="77">
        <v>1005.65</v>
      </c>
      <c r="G23" s="73"/>
    </row>
    <row r="24" spans="3:12" x14ac:dyDescent="0.45">
      <c r="D24" s="21">
        <v>6</v>
      </c>
      <c r="E24" s="113" t="str">
        <f>Setup!D17</f>
        <v>FIGI_BBG001SM9G12</v>
      </c>
      <c r="F24" s="77">
        <v>190.1</v>
      </c>
      <c r="G24" s="73"/>
    </row>
    <row r="25" spans="3:12" x14ac:dyDescent="0.45">
      <c r="D25" s="21">
        <v>7</v>
      </c>
      <c r="E25" s="113" t="str">
        <f>Setup!D18</f>
        <v>FIGI_BBG001S5TD05</v>
      </c>
      <c r="F25" s="77">
        <v>100.02</v>
      </c>
      <c r="G25" s="73"/>
    </row>
    <row r="26" spans="3:12" x14ac:dyDescent="0.45">
      <c r="D26" s="21">
        <v>8</v>
      </c>
      <c r="E26" s="113" t="str">
        <f>Setup!D19</f>
        <v>FIGI_BBG001S61626</v>
      </c>
      <c r="F26" s="77">
        <v>100.53</v>
      </c>
      <c r="G26" s="73"/>
    </row>
    <row r="27" spans="3:12" x14ac:dyDescent="0.45">
      <c r="D27" s="21">
        <v>9</v>
      </c>
      <c r="E27" s="113" t="str">
        <f>Setup!D20</f>
        <v>FIGI_BBG001SP8SP4</v>
      </c>
      <c r="F27" s="77">
        <v>101.52</v>
      </c>
      <c r="G27" s="73"/>
    </row>
    <row r="28" spans="3:12" x14ac:dyDescent="0.45">
      <c r="D28" s="21">
        <v>10</v>
      </c>
      <c r="E28" s="113" t="str">
        <f>Setup!D21</f>
        <v>FIGI_BBG001S80936</v>
      </c>
      <c r="F28" s="77">
        <v>102.01</v>
      </c>
      <c r="G28" s="73"/>
    </row>
    <row r="29" spans="3:12" x14ac:dyDescent="0.45">
      <c r="D29" s="21">
        <v>11</v>
      </c>
      <c r="E29" s="113" t="e">
        <f>Setup!D22</f>
        <v>#N/A</v>
      </c>
      <c r="F29" s="77">
        <v>10</v>
      </c>
      <c r="G29" s="73"/>
      <c r="J29" s="226" t="s">
        <v>62</v>
      </c>
      <c r="K29" s="226"/>
      <c r="L29" s="226"/>
    </row>
    <row r="30" spans="3:12" x14ac:dyDescent="0.45">
      <c r="D30" s="21">
        <v>12</v>
      </c>
      <c r="E30" s="113" t="e">
        <f>Setup!D23</f>
        <v>#N/A</v>
      </c>
      <c r="F30" s="77">
        <v>10</v>
      </c>
      <c r="G30" s="73"/>
      <c r="J30" s="226"/>
      <c r="K30" s="226"/>
      <c r="L30" s="226"/>
    </row>
    <row r="31" spans="3:12" x14ac:dyDescent="0.45">
      <c r="D31" s="21">
        <v>13</v>
      </c>
      <c r="E31" s="113" t="e">
        <f>Setup!D24</f>
        <v>#N/A</v>
      </c>
      <c r="F31" s="77">
        <v>10</v>
      </c>
      <c r="G31" s="73"/>
      <c r="J31" s="226"/>
      <c r="K31" s="226"/>
      <c r="L31" s="226"/>
    </row>
    <row r="32" spans="3:12" x14ac:dyDescent="0.45">
      <c r="D32" s="21">
        <v>14</v>
      </c>
      <c r="E32" s="113" t="e">
        <f>Setup!D25</f>
        <v>#N/A</v>
      </c>
      <c r="F32" s="77">
        <v>10</v>
      </c>
      <c r="G32" s="73"/>
      <c r="J32" s="226"/>
      <c r="K32" s="226"/>
      <c r="L32" s="226"/>
    </row>
    <row r="33" spans="3:12" x14ac:dyDescent="0.45">
      <c r="D33" s="21">
        <v>15</v>
      </c>
      <c r="E33" s="113" t="e">
        <f>Setup!D26</f>
        <v>#N/A</v>
      </c>
      <c r="F33" s="77">
        <v>10</v>
      </c>
      <c r="G33" s="73"/>
      <c r="J33" s="226"/>
      <c r="K33" s="226"/>
      <c r="L33" s="226"/>
    </row>
    <row r="34" spans="3:12" x14ac:dyDescent="0.45">
      <c r="D34" s="21">
        <v>16</v>
      </c>
      <c r="E34" s="113" t="e">
        <f>Setup!D27</f>
        <v>#N/A</v>
      </c>
      <c r="F34" s="77">
        <v>10</v>
      </c>
      <c r="G34" s="73"/>
      <c r="J34" s="226"/>
      <c r="K34" s="226"/>
      <c r="L34" s="226"/>
    </row>
    <row r="35" spans="3:12" x14ac:dyDescent="0.45">
      <c r="D35" s="21">
        <v>17</v>
      </c>
      <c r="E35" s="113" t="e">
        <f>Setup!D28</f>
        <v>#N/A</v>
      </c>
      <c r="F35" s="77">
        <v>10</v>
      </c>
      <c r="G35" s="73"/>
      <c r="J35" s="226"/>
      <c r="K35" s="226"/>
      <c r="L35" s="226"/>
    </row>
    <row r="36" spans="3:12" x14ac:dyDescent="0.45">
      <c r="D36" s="21">
        <v>18</v>
      </c>
      <c r="E36" s="113" t="e">
        <f>Setup!D29</f>
        <v>#N/A</v>
      </c>
      <c r="F36" s="77">
        <v>10</v>
      </c>
      <c r="G36" s="73"/>
    </row>
    <row r="37" spans="3:12" x14ac:dyDescent="0.45">
      <c r="D37" s="21">
        <v>19</v>
      </c>
      <c r="E37" s="113" t="e">
        <f>Setup!D30</f>
        <v>#N/A</v>
      </c>
      <c r="F37" s="77">
        <v>10</v>
      </c>
      <c r="G37" s="73"/>
    </row>
    <row r="38" spans="3:12" x14ac:dyDescent="0.45">
      <c r="D38" s="21">
        <v>20</v>
      </c>
      <c r="E38" s="113" t="e">
        <f>Setup!D31</f>
        <v>#N/A</v>
      </c>
      <c r="F38" s="77">
        <v>10</v>
      </c>
      <c r="G38" s="73"/>
    </row>
    <row r="39" spans="3:12" x14ac:dyDescent="0.45">
      <c r="D39" s="21">
        <v>21</v>
      </c>
      <c r="E39" s="113" t="e">
        <f>Setup!D32</f>
        <v>#N/A</v>
      </c>
      <c r="F39" s="77">
        <v>10</v>
      </c>
      <c r="G39" s="73"/>
    </row>
    <row r="40" spans="3:12" x14ac:dyDescent="0.45">
      <c r="D40" s="21">
        <v>22</v>
      </c>
      <c r="E40" s="113" t="e">
        <f>Setup!D33</f>
        <v>#N/A</v>
      </c>
      <c r="F40" s="77">
        <v>10</v>
      </c>
      <c r="G40" s="73"/>
    </row>
    <row r="41" spans="3:12" x14ac:dyDescent="0.45">
      <c r="D41" s="21">
        <v>23</v>
      </c>
      <c r="E41" s="113" t="e">
        <f>Setup!D34</f>
        <v>#N/A</v>
      </c>
      <c r="F41" s="77">
        <v>10</v>
      </c>
      <c r="G41" s="73"/>
    </row>
    <row r="42" spans="3:12" x14ac:dyDescent="0.45">
      <c r="D42" s="21">
        <v>24</v>
      </c>
      <c r="E42" s="113" t="e">
        <f>Setup!D35</f>
        <v>#N/A</v>
      </c>
      <c r="F42" s="77">
        <v>10</v>
      </c>
      <c r="G42" s="73"/>
    </row>
    <row r="43" spans="3:12" x14ac:dyDescent="0.45">
      <c r="D43" s="21">
        <v>25</v>
      </c>
      <c r="E43" s="113" t="e">
        <f>Setup!D36</f>
        <v>#N/A</v>
      </c>
      <c r="F43" s="77">
        <v>10</v>
      </c>
      <c r="G43" s="73"/>
    </row>
    <row r="44" spans="3:12" x14ac:dyDescent="0.45">
      <c r="D44" s="21">
        <v>26</v>
      </c>
      <c r="E44" s="113" t="e">
        <f>Setup!D37</f>
        <v>#N/A</v>
      </c>
      <c r="F44" s="77">
        <v>10</v>
      </c>
      <c r="G44" s="73"/>
    </row>
    <row r="45" spans="3:12" x14ac:dyDescent="0.45">
      <c r="D45" s="21">
        <v>27</v>
      </c>
      <c r="E45" s="113" t="e">
        <f>Setup!D38</f>
        <v>#N/A</v>
      </c>
      <c r="F45" s="77">
        <v>10</v>
      </c>
      <c r="G45" s="73"/>
    </row>
    <row r="46" spans="3:12" x14ac:dyDescent="0.45">
      <c r="D46" s="21">
        <v>28</v>
      </c>
      <c r="E46" s="113" t="e">
        <f>Setup!D39</f>
        <v>#N/A</v>
      </c>
      <c r="F46" s="77">
        <v>10</v>
      </c>
      <c r="G46" s="73"/>
    </row>
    <row r="47" spans="3:12" x14ac:dyDescent="0.45">
      <c r="D47" s="21">
        <v>29</v>
      </c>
      <c r="E47" s="113"/>
      <c r="F47" s="77"/>
      <c r="G47" s="73"/>
    </row>
    <row r="48" spans="3:12" x14ac:dyDescent="0.45">
      <c r="C48" s="22"/>
      <c r="D48" s="21">
        <v>30</v>
      </c>
      <c r="E48" s="133"/>
      <c r="F48" s="134"/>
      <c r="G48" s="74"/>
    </row>
    <row r="52" spans="5:9" x14ac:dyDescent="0.45">
      <c r="E52" s="208" t="s">
        <v>85</v>
      </c>
      <c r="F52" s="209"/>
      <c r="G52" s="209"/>
      <c r="H52" s="209"/>
      <c r="I52" s="210"/>
    </row>
    <row r="53" spans="5:9" x14ac:dyDescent="0.45">
      <c r="E53" s="211"/>
      <c r="F53" s="212"/>
      <c r="G53" s="212"/>
      <c r="H53" s="212"/>
      <c r="I53" s="213"/>
    </row>
    <row r="54" spans="5:9" x14ac:dyDescent="0.45">
      <c r="E54" s="211"/>
      <c r="F54" s="212"/>
      <c r="G54" s="212"/>
      <c r="H54" s="212"/>
      <c r="I54" s="213"/>
    </row>
    <row r="55" spans="5:9" x14ac:dyDescent="0.45">
      <c r="E55" s="211"/>
      <c r="F55" s="212"/>
      <c r="G55" s="212"/>
      <c r="H55" s="212"/>
      <c r="I55" s="213"/>
    </row>
    <row r="56" spans="5:9" x14ac:dyDescent="0.45">
      <c r="E56" s="214"/>
      <c r="F56" s="215"/>
      <c r="G56" s="215"/>
      <c r="H56" s="215"/>
      <c r="I56" s="216"/>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6"/>
  <sheetViews>
    <sheetView tabSelected="1" topLeftCell="A15" zoomScale="80" zoomScaleNormal="80" workbookViewId="0">
      <selection activeCell="B28" sqref="B28:E36"/>
    </sheetView>
  </sheetViews>
  <sheetFormatPr defaultRowHeight="14.25" x14ac:dyDescent="0.45"/>
  <cols>
    <col min="2" max="2" width="34.59765625" bestFit="1" customWidth="1"/>
    <col min="3" max="3" width="85.73046875" customWidth="1"/>
    <col min="4" max="4" width="9.3984375" bestFit="1" customWidth="1"/>
    <col min="5" max="5" width="13.86328125" bestFit="1" customWidth="1"/>
    <col min="10" max="10" width="20.1328125" customWidth="1"/>
    <col min="11" max="11" width="83.86328125" customWidth="1"/>
  </cols>
  <sheetData>
    <row r="2" spans="2:14" x14ac:dyDescent="0.45">
      <c r="D2" s="62"/>
    </row>
    <row r="3" spans="2:14" x14ac:dyDescent="0.45">
      <c r="D3" s="62"/>
    </row>
    <row r="4" spans="2:14" x14ac:dyDescent="0.45">
      <c r="D4" s="62"/>
    </row>
    <row r="5" spans="2:14" x14ac:dyDescent="0.45">
      <c r="D5" s="62"/>
    </row>
    <row r="6" spans="2:14" ht="15" customHeight="1" x14ac:dyDescent="0.45">
      <c r="B6" s="208" t="s">
        <v>73</v>
      </c>
      <c r="C6" s="209"/>
      <c r="D6" s="209"/>
      <c r="E6" s="209"/>
      <c r="F6" s="209"/>
      <c r="G6" s="209"/>
      <c r="H6" s="210"/>
      <c r="I6" s="85"/>
      <c r="L6" s="85"/>
      <c r="M6" s="85"/>
      <c r="N6" s="85"/>
    </row>
    <row r="7" spans="2:14" ht="15" customHeight="1" x14ac:dyDescent="0.45">
      <c r="B7" s="211"/>
      <c r="C7" s="212"/>
      <c r="D7" s="212"/>
      <c r="E7" s="212"/>
      <c r="F7" s="212"/>
      <c r="G7" s="212"/>
      <c r="H7" s="213"/>
      <c r="I7" s="85"/>
      <c r="L7" s="85"/>
      <c r="M7" s="85"/>
      <c r="N7" s="85"/>
    </row>
    <row r="8" spans="2:14" ht="15.75" customHeight="1" x14ac:dyDescent="0.45">
      <c r="B8" s="214"/>
      <c r="C8" s="215"/>
      <c r="D8" s="215"/>
      <c r="E8" s="215"/>
      <c r="F8" s="215"/>
      <c r="G8" s="215"/>
      <c r="H8" s="216"/>
      <c r="I8" s="16"/>
    </row>
    <row r="10" spans="2:14" ht="15.75" customHeight="1" x14ac:dyDescent="0.45">
      <c r="B10" s="282" t="s">
        <v>72</v>
      </c>
      <c r="C10" s="283"/>
      <c r="D10" s="101"/>
      <c r="E10" s="46" t="s">
        <v>109</v>
      </c>
      <c r="F10" s="61" t="s">
        <v>95</v>
      </c>
      <c r="G10" s="101"/>
      <c r="H10" s="101"/>
      <c r="I10" s="46"/>
      <c r="K10" s="166"/>
      <c r="L10" s="166"/>
      <c r="M10" s="166"/>
    </row>
    <row r="11" spans="2:14" ht="15.75" x14ac:dyDescent="0.45">
      <c r="B11" s="284"/>
      <c r="C11" s="285"/>
      <c r="D11" s="101"/>
      <c r="E11" s="101"/>
      <c r="F11" s="101"/>
      <c r="G11" s="101"/>
      <c r="H11" s="101"/>
      <c r="I11" s="46"/>
      <c r="K11" s="166"/>
      <c r="L11" s="166"/>
      <c r="M11" s="166"/>
    </row>
    <row r="12" spans="2:14" ht="15.75" x14ac:dyDescent="0.45">
      <c r="D12" s="46"/>
      <c r="E12" s="46"/>
      <c r="F12" s="46"/>
      <c r="G12" s="46"/>
      <c r="H12" s="46"/>
      <c r="I12" s="46"/>
      <c r="K12" s="166"/>
      <c r="L12" s="166"/>
      <c r="M12" s="166"/>
    </row>
    <row r="13" spans="2:14" ht="16.5" customHeight="1" thickBot="1" x14ac:dyDescent="0.5">
      <c r="B13" s="81" t="s">
        <v>1</v>
      </c>
      <c r="C13" s="82" t="s">
        <v>56</v>
      </c>
      <c r="D13" s="46"/>
      <c r="E13" s="208" t="s">
        <v>86</v>
      </c>
      <c r="F13" s="209"/>
      <c r="G13" s="209"/>
      <c r="H13" s="210"/>
      <c r="I13" s="96"/>
      <c r="K13" s="166"/>
      <c r="L13" s="166"/>
      <c r="M13" s="166"/>
    </row>
    <row r="14" spans="2:14" ht="16.5" customHeight="1" thickTop="1" x14ac:dyDescent="0.45">
      <c r="B14" s="79" t="s">
        <v>63</v>
      </c>
      <c r="C14" s="53" t="str">
        <f>Scope</f>
        <v>MyNameSpace4</v>
      </c>
      <c r="D14" s="46"/>
      <c r="E14" s="211"/>
      <c r="F14" s="212"/>
      <c r="G14" s="212"/>
      <c r="H14" s="213"/>
      <c r="I14" s="96"/>
      <c r="K14" s="166"/>
      <c r="L14" s="166"/>
      <c r="M14" s="166"/>
    </row>
    <row r="15" spans="2:14" ht="15.75" customHeight="1" x14ac:dyDescent="0.45">
      <c r="B15" s="79" t="s">
        <v>64</v>
      </c>
      <c r="C15" s="53" t="str">
        <f>Scope</f>
        <v>MyNameSpace4</v>
      </c>
      <c r="D15" s="46"/>
      <c r="E15" s="211"/>
      <c r="F15" s="212"/>
      <c r="G15" s="212"/>
      <c r="H15" s="213"/>
      <c r="I15" s="96"/>
      <c r="K15" s="166"/>
      <c r="L15" s="166"/>
      <c r="M15" s="166"/>
    </row>
    <row r="16" spans="2:14" ht="15.75" customHeight="1" x14ac:dyDescent="0.45">
      <c r="B16" s="79" t="s">
        <v>65</v>
      </c>
      <c r="C16" s="53" t="s">
        <v>66</v>
      </c>
      <c r="D16" s="46"/>
      <c r="E16" s="211"/>
      <c r="F16" s="212"/>
      <c r="G16" s="212"/>
      <c r="H16" s="213"/>
      <c r="I16" s="96"/>
      <c r="K16" s="166"/>
      <c r="L16" s="166"/>
      <c r="M16" s="166"/>
    </row>
    <row r="17" spans="2:13" ht="15.75" customHeight="1" x14ac:dyDescent="0.45">
      <c r="B17" s="79" t="s">
        <v>67</v>
      </c>
      <c r="C17" s="132" t="s">
        <v>82</v>
      </c>
      <c r="D17" s="46"/>
      <c r="E17" s="211"/>
      <c r="F17" s="212"/>
      <c r="G17" s="212"/>
      <c r="H17" s="213"/>
      <c r="I17" s="96"/>
      <c r="J17" s="131"/>
      <c r="K17" s="166"/>
      <c r="L17" s="166"/>
      <c r="M17" s="166"/>
    </row>
    <row r="18" spans="2:13" ht="15.75" customHeight="1" x14ac:dyDescent="0.45">
      <c r="B18" s="79" t="s">
        <v>10</v>
      </c>
      <c r="C18" s="130" t="s">
        <v>68</v>
      </c>
      <c r="D18" s="46"/>
      <c r="E18" s="211"/>
      <c r="F18" s="212"/>
      <c r="G18" s="212"/>
      <c r="H18" s="213"/>
      <c r="I18" s="46"/>
      <c r="J18" s="104"/>
      <c r="K18" s="166"/>
      <c r="L18" s="166"/>
      <c r="M18" s="166"/>
    </row>
    <row r="19" spans="2:13" ht="15.75" customHeight="1" x14ac:dyDescent="0.45">
      <c r="B19" s="80" t="s">
        <v>69</v>
      </c>
      <c r="C19" s="83">
        <f ca="1">AnalyticsStoreDate</f>
        <v>43288</v>
      </c>
      <c r="D19" s="46"/>
      <c r="E19" s="214"/>
      <c r="F19" s="215"/>
      <c r="G19" s="215"/>
      <c r="H19" s="216"/>
      <c r="I19" s="46"/>
      <c r="J19" s="103"/>
      <c r="K19" s="166"/>
      <c r="L19" s="166"/>
      <c r="M19" s="166"/>
    </row>
    <row r="20" spans="2:13" ht="15.75" x14ac:dyDescent="0.45">
      <c r="D20" s="46"/>
      <c r="E20" s="46"/>
      <c r="F20" s="46"/>
      <c r="G20" s="46"/>
      <c r="H20" s="46"/>
      <c r="I20" s="46"/>
      <c r="K20" s="166"/>
      <c r="L20" s="166"/>
      <c r="M20" s="166"/>
    </row>
    <row r="21" spans="2:13" ht="15.75" x14ac:dyDescent="0.45">
      <c r="D21" s="46"/>
      <c r="E21" s="46"/>
      <c r="F21" s="46"/>
      <c r="G21" s="46"/>
      <c r="H21" s="46"/>
      <c r="I21" s="46"/>
      <c r="K21" s="166"/>
      <c r="L21" s="166"/>
      <c r="M21" s="166"/>
    </row>
    <row r="22" spans="2:13" ht="15.75" customHeight="1" x14ac:dyDescent="0.45">
      <c r="B22" s="231" t="s">
        <v>71</v>
      </c>
      <c r="C22" s="232"/>
      <c r="D22" s="232"/>
      <c r="E22" s="233"/>
      <c r="F22" s="60"/>
      <c r="G22" s="60"/>
      <c r="H22" s="46"/>
      <c r="I22" s="46"/>
      <c r="K22" s="166"/>
      <c r="L22" s="166"/>
      <c r="M22" s="166"/>
    </row>
    <row r="23" spans="2:13" ht="15.75" customHeight="1" x14ac:dyDescent="0.45">
      <c r="B23" s="240"/>
      <c r="C23" s="241"/>
      <c r="D23" s="241"/>
      <c r="E23" s="242"/>
      <c r="F23" s="60"/>
      <c r="G23" s="60"/>
      <c r="H23" s="46"/>
      <c r="I23" s="46"/>
      <c r="K23" s="166"/>
      <c r="L23" s="166"/>
      <c r="M23" s="166"/>
    </row>
    <row r="24" spans="2:13" ht="15.75" x14ac:dyDescent="0.45">
      <c r="B24" s="234"/>
      <c r="C24" s="243"/>
      <c r="D24" s="243"/>
      <c r="E24" s="236"/>
      <c r="F24" s="60"/>
      <c r="G24" s="60"/>
      <c r="H24" s="46"/>
      <c r="I24" s="46"/>
      <c r="K24" s="166"/>
    </row>
    <row r="25" spans="2:13" ht="15.75" x14ac:dyDescent="0.45">
      <c r="D25" s="46"/>
      <c r="E25" s="46"/>
      <c r="F25" s="46"/>
      <c r="G25" s="46"/>
      <c r="H25" s="46"/>
      <c r="I25" s="46"/>
      <c r="K25" s="166"/>
    </row>
    <row r="26" spans="2:13" ht="15.75" x14ac:dyDescent="0.45">
      <c r="B26" s="135" t="s">
        <v>74</v>
      </c>
      <c r="D26" s="46"/>
      <c r="E26" s="46"/>
      <c r="F26" s="46"/>
      <c r="G26" s="46"/>
      <c r="H26" s="46"/>
      <c r="I26" s="46"/>
      <c r="K26" s="166"/>
    </row>
    <row r="27" spans="2:13" ht="15.75" x14ac:dyDescent="0.45">
      <c r="B27" s="103"/>
      <c r="C27" s="103"/>
      <c r="D27" s="46"/>
      <c r="E27" s="46"/>
      <c r="F27" s="46"/>
      <c r="G27" s="46"/>
      <c r="H27" s="46"/>
      <c r="I27" s="46"/>
      <c r="K27" s="166"/>
    </row>
    <row r="28" spans="2:13" ht="15.75" x14ac:dyDescent="0.45">
      <c r="B28" s="150"/>
      <c r="C28" s="150"/>
      <c r="D28" s="150"/>
      <c r="E28" s="150"/>
      <c r="G28" s="46"/>
      <c r="H28" s="46"/>
      <c r="I28" s="46"/>
      <c r="K28" s="166"/>
    </row>
    <row r="29" spans="2:13" ht="15.75" x14ac:dyDescent="0.45">
      <c r="B29" s="150"/>
      <c r="C29" s="150"/>
      <c r="D29" s="150"/>
      <c r="E29" s="150"/>
      <c r="G29" s="46"/>
      <c r="H29" s="46"/>
      <c r="I29" s="46"/>
      <c r="K29" s="166"/>
    </row>
    <row r="30" spans="2:13" ht="15.75" x14ac:dyDescent="0.45">
      <c r="B30" s="150"/>
      <c r="C30" s="150"/>
      <c r="D30" s="150"/>
      <c r="E30" s="150"/>
      <c r="G30" s="46"/>
      <c r="H30" s="46"/>
      <c r="I30" s="46"/>
      <c r="K30" s="166"/>
    </row>
    <row r="31" spans="2:13" x14ac:dyDescent="0.45">
      <c r="B31" s="150"/>
      <c r="C31" s="150"/>
      <c r="D31" s="150"/>
      <c r="E31" s="150"/>
      <c r="K31" s="166"/>
    </row>
    <row r="32" spans="2:13" x14ac:dyDescent="0.45">
      <c r="B32" s="150"/>
      <c r="C32" s="150"/>
      <c r="D32" s="150"/>
      <c r="E32" s="150"/>
    </row>
    <row r="33" spans="2:5" x14ac:dyDescent="0.45">
      <c r="B33" s="150"/>
      <c r="C33" s="150"/>
      <c r="D33" s="150"/>
      <c r="E33" s="150"/>
    </row>
    <row r="34" spans="2:5" ht="15" customHeight="1" x14ac:dyDescent="0.45">
      <c r="B34" s="150"/>
      <c r="C34" s="150"/>
      <c r="D34" s="150"/>
      <c r="E34" s="150"/>
    </row>
    <row r="35" spans="2:5" x14ac:dyDescent="0.45">
      <c r="B35" s="150"/>
      <c r="C35" s="150"/>
      <c r="D35" s="150"/>
      <c r="E35" s="150"/>
    </row>
    <row r="36" spans="2:5" x14ac:dyDescent="0.45">
      <c r="B36" s="151"/>
      <c r="C36" s="151"/>
      <c r="D36" s="151"/>
      <c r="E36" s="151"/>
    </row>
  </sheetData>
  <mergeCells count="4">
    <mergeCell ref="B6:H8"/>
    <mergeCell ref="B22:E24"/>
    <mergeCell ref="E13:H19"/>
    <mergeCell ref="B10:C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39</vt:i4>
      </vt:variant>
    </vt:vector>
  </HeadingPairs>
  <TitlesOfParts>
    <vt:vector size="49" baseType="lpstr">
      <vt:lpstr>LICENSE</vt:lpstr>
      <vt:lpstr>Setup</vt:lpstr>
      <vt:lpstr>Define Fund Securities</vt:lpstr>
      <vt:lpstr>Define Portfolio</vt:lpstr>
      <vt:lpstr>Add Trades On Security</vt:lpstr>
      <vt:lpstr>Master Trades View</vt:lpstr>
      <vt:lpstr>Master Holdings View</vt:lpstr>
      <vt:lpstr>Setup Analytics</vt:lpstr>
      <vt:lpstr>Insert Analytics</vt:lpstr>
      <vt:lpstr>Aggregation</vt:lpstr>
      <vt:lpstr>AddTradesPortfolioId</vt:lpstr>
      <vt:lpstr>AddTradesPortfolioIdEq</vt:lpstr>
      <vt:lpstr>AddTradesPortfolioIdFI</vt:lpstr>
      <vt:lpstr>AddTradesResults</vt:lpstr>
      <vt:lpstr>AddTradesResultsEq</vt:lpstr>
      <vt:lpstr>AddTradesResultsFI</vt:lpstr>
      <vt:lpstr>AddTradesResultsTopLevel</vt:lpstr>
      <vt:lpstr>AddTradesSelection</vt:lpstr>
      <vt:lpstr>AddTradesSelectionEq</vt:lpstr>
      <vt:lpstr>AddTradesSelectionFI</vt:lpstr>
      <vt:lpstr>AddTradesSelectionTopLevel</vt:lpstr>
      <vt:lpstr>AggregationParameters</vt:lpstr>
      <vt:lpstr>AggregationPortfolioId</vt:lpstr>
      <vt:lpstr>AnalyticsStoreDate</vt:lpstr>
      <vt:lpstr>AnalyticsStoreUploadData</vt:lpstr>
      <vt:lpstr>AnalyticsStoreUploadDataResults</vt:lpstr>
      <vt:lpstr>ApplyAnalyticsUploadData</vt:lpstr>
      <vt:lpstr>ApplyAnalyticsUploadDataResult</vt:lpstr>
      <vt:lpstr>BluePortfoliosRange</vt:lpstr>
      <vt:lpstr>BlueSecuritiesRange</vt:lpstr>
      <vt:lpstr>EffectiveDate</vt:lpstr>
      <vt:lpstr>'Insert Analytics'!fbnAnalytics_Template_ref</vt:lpstr>
      <vt:lpstr>'Setup Analytics'!fbnAnalyticsStore_Template_ref</vt:lpstr>
      <vt:lpstr>'Define Fund Securities'!fbnClassifications_Template_ref</vt:lpstr>
      <vt:lpstr>'Insert Analytics'!fbnClassifications_Template_ref</vt:lpstr>
      <vt:lpstr>'Add Trades On Security'!fbnHoldings_Template_ref</vt:lpstr>
      <vt:lpstr>'Define Portfolio'!fbnPortfoliosAdd_Template_ref</vt:lpstr>
      <vt:lpstr>'Define Fund Securities'!fbnSecurities_Template_ref</vt:lpstr>
      <vt:lpstr>'Add Trades On Security'!fbnTradesAdd_Template_ref</vt:lpstr>
      <vt:lpstr>GetTradesPortfolioId</vt:lpstr>
      <vt:lpstr>HoldingsAsOfDate</vt:lpstr>
      <vt:lpstr>HoldingsPortfolioId</vt:lpstr>
      <vt:lpstr>MasterAggregationUpdateView</vt:lpstr>
      <vt:lpstr>MasterHoldingsUpdateView</vt:lpstr>
      <vt:lpstr>MasterTradesUpdateView</vt:lpstr>
      <vt:lpstr>PortfoliosCreatedResults</vt:lpstr>
      <vt:lpstr>RawSecuritiesRange</vt:lpstr>
      <vt:lpstr>Scope</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cp:lastModifiedBy>
  <dcterms:created xsi:type="dcterms:W3CDTF">2018-03-27T09:49:44Z</dcterms:created>
  <dcterms:modified xsi:type="dcterms:W3CDTF">2018-07-07T10:02:25Z</dcterms:modified>
</cp:coreProperties>
</file>