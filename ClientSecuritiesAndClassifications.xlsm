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codeName="ThisWorkbook" defaultThemeVersion="166925"/>
  <mc:AlternateContent xmlns:mc="http://schemas.openxmlformats.org/markup-compatibility/2006">
    <mc:Choice Requires="x15">
      <x15ac:absPath xmlns:x15ac="http://schemas.microsoft.com/office/spreadsheetml/2010/11/ac" url="C:\work\code\sample-excel\"/>
    </mc:Choice>
  </mc:AlternateContent>
  <xr:revisionPtr revIDLastSave="0" documentId="13_ncr:1_{C26E3CAC-0754-4699-BB7F-262D7225BA5F}" xr6:coauthVersionLast="32" xr6:coauthVersionMax="32" xr10:uidLastSave="{00000000-0000-0000-0000-000000000000}"/>
  <bookViews>
    <workbookView xWindow="0" yWindow="0" windowWidth="28800" windowHeight="12210" tabRatio="915" xr2:uid="{00000000-000D-0000-FFFF-FFFF00000000}"/>
  </bookViews>
  <sheets>
    <sheet name="LICENSE" sheetId="15" r:id="rId1"/>
    <sheet name="Setup" sheetId="1" r:id="rId2"/>
    <sheet name="Define Portfolio" sheetId="4" r:id="rId3"/>
    <sheet name="Define Classifications" sheetId="6" r:id="rId4"/>
    <sheet name="Apply classifications to Exist" sheetId="5" r:id="rId5"/>
    <sheet name="Master Securities View" sheetId="7" r:id="rId6"/>
    <sheet name="Add Trades On Security" sheetId="8" r:id="rId7"/>
    <sheet name="Master Trades View" sheetId="10" r:id="rId8"/>
    <sheet name="Master Holdings View" sheetId="11" r:id="rId9"/>
    <sheet name="Setup Analytics" sheetId="13" r:id="rId10"/>
    <sheet name="Insert Analytics" sheetId="12" r:id="rId11"/>
    <sheet name="Aggregation" sheetId="14" r:id="rId12"/>
    <sheet name="Define New Securities" sheetId="2" r:id="rId13"/>
  </sheets>
  <functionGroups builtInGroupCount="19"/>
  <definedNames>
    <definedName name="AddTradesResults">'Add Trades On Security'!$V$15:$V$45</definedName>
    <definedName name="AddTradesSelection">'Add Trades On Security'!$C$15:$U$45</definedName>
    <definedName name="AggregationParameters">Aggregation!$B$15:$C$21</definedName>
    <definedName name="AnalyticsStoreDate">Setup!$M$36</definedName>
    <definedName name="AnalyticsStoreUploadData">'Setup Analytics'!$C$16:$D$46</definedName>
    <definedName name="AnalyticsStoreUploadDataResults">'Setup Analytics'!$E$16:$E$46</definedName>
    <definedName name="ApplyAnalyticsUploadData">'Insert Analytics'!$E$18:$F$48</definedName>
    <definedName name="ApplyAnalyticsUploadDataResult">'Insert Analytics'!$G$18:$G$48</definedName>
    <definedName name="ApplyClassificationsResult">'Apply classifications to Exist'!$J$15:$J$44</definedName>
    <definedName name="ApplyClassificationUploadData">'Apply classifications to Exist'!$C$14:$J$44</definedName>
    <definedName name="BluePortfoliosRange">'Define Portfolio'!$C$14:$G$41</definedName>
    <definedName name="BlueSecuritiesRange">'Define New Securities'!$C$13:$E$41</definedName>
    <definedName name="ClassificationKeys">'Define Classifications'!$O$15:$O$43</definedName>
    <definedName name="CreateSecurityPropertiesUploadData">'Define Classifications'!$E$14:$L$43</definedName>
    <definedName name="CustomSecuritiesMasterViewUpdate">'Master Securities View'!$C$46:$I$50</definedName>
    <definedName name="DELETEME">'Apply classifications to Exist'!$C$15:$I$49</definedName>
    <definedName name="ExistingSecuritiesLookup">#REF!</definedName>
    <definedName name="ExistingSecuritiesLookupResults">#REF!</definedName>
    <definedName name="fbnAnalytics_Template_ref" localSheetId="10">'Insert Analytics'!$E$18:$F$18</definedName>
    <definedName name="fbnAnalyticsStore_Template_ref" localSheetId="9">'Setup Analytics'!$C$16:$D$16</definedName>
    <definedName name="fbnClassifications_Template_ref" localSheetId="4">'Apply classifications to Exist'!$C$14:$D$14</definedName>
    <definedName name="fbnClassifications_Template_ref" localSheetId="12">'Define New Securities'!$B$54:$B$54</definedName>
    <definedName name="fbnClassifications_Template_ref" localSheetId="10">'Insert Analytics'!$E$18:$F$18</definedName>
    <definedName name="fbnHoldings_Template_ref" localSheetId="6">'Add Trades On Security'!$P$49:$P$49</definedName>
    <definedName name="fbnPortfoliosAdd_Template_ref" localSheetId="6">'Add Trades On Security'!#REF!</definedName>
    <definedName name="fbnPortfoliosAdd_Template_ref" localSheetId="2">'Define Portfolio'!$C$14:$G$14</definedName>
    <definedName name="fbnPropertiesAdd_Template_ref" localSheetId="6">'Add Trades On Security'!#REF!</definedName>
    <definedName name="fbnPropertiesAdd_Template_ref" localSheetId="3">'Define Classifications'!$E$14:$L$14</definedName>
    <definedName name="fbnSecurities_Template_ref" localSheetId="12">'Define New Securities'!$C$13:$E$13</definedName>
    <definedName name="fbnSecurities_Template_ref" localSheetId="5">'Master Securities View'!$C$13:$E$13</definedName>
    <definedName name="fbnTradesAdd_Template_ref" localSheetId="6">'Add Trades On Security'!$C$15:$S$15</definedName>
    <definedName name="MasterAggregationUpdateView">Aggregation!$B$30:$F$45</definedName>
    <definedName name="MasterHoldingsUpdateView">'Master Holdings View'!$B$17:$M$31</definedName>
    <definedName name="MasterSecurityUpdateView">'Master Securities View'!$C$12:$I$42</definedName>
    <definedName name="MasterTradesUpdateView">'Master Trades View'!$C$17:$S$47</definedName>
    <definedName name="PortfolioCode">Setup!$M$34</definedName>
    <definedName name="PortfolioName">Setup!$M$33</definedName>
    <definedName name="PortfoliosCreatedResults">'Define Portfolio'!$I$15:$I$41</definedName>
    <definedName name="PropertyKeys">'Define Classifications'!#REF!</definedName>
    <definedName name="RawSecuritiesRange">Setup!$B$14:$B$43</definedName>
    <definedName name="Scope">Setup!$M$32</definedName>
    <definedName name="SecurityCreatedResult">'Define Classifications'!$N$15:$N$43</definedName>
    <definedName name="SecurityMasterUid">'Master Securities View'!$C$12:$C$42</definedName>
    <definedName name="SecurityPropertyNames">'Define Classifications'!$C$15:$C$43</definedName>
    <definedName name="UploadResults">'Define New Securities'!$G$14:$G$41</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5" i="4" l="1"/>
  <c r="C15" i="4"/>
  <c r="C17" i="13"/>
  <c r="E17" i="8"/>
  <c r="F17" i="8"/>
  <c r="E18" i="8"/>
  <c r="F18" i="8"/>
  <c r="E19" i="8"/>
  <c r="F19" i="8"/>
  <c r="E20" i="8"/>
  <c r="F20" i="8"/>
  <c r="F16" i="6"/>
  <c r="E18" i="6"/>
  <c r="E19" i="6"/>
  <c r="E20" i="6"/>
  <c r="E21" i="6"/>
  <c r="E22" i="6"/>
  <c r="E23" i="6"/>
  <c r="E24" i="6"/>
  <c r="E25" i="6"/>
  <c r="E26" i="6"/>
  <c r="E27" i="6"/>
  <c r="E28" i="6"/>
  <c r="E29" i="6"/>
  <c r="E30" i="6"/>
  <c r="E31" i="6"/>
  <c r="E32" i="6"/>
  <c r="E33" i="6"/>
  <c r="E34" i="6"/>
  <c r="E35" i="6"/>
  <c r="E36" i="6"/>
  <c r="E37" i="6"/>
  <c r="E38" i="6"/>
  <c r="E39" i="6"/>
  <c r="E40" i="6"/>
  <c r="E41" i="6"/>
  <c r="E42" i="6"/>
  <c r="E43" i="6"/>
  <c r="E16" i="6"/>
  <c r="E15" i="6"/>
  <c r="D13" i="1" a="1"/>
  <c r="C16" i="14" l="1"/>
  <c r="C17" i="14"/>
  <c r="E16" i="8"/>
  <c r="F16" i="8"/>
  <c r="M36" i="1"/>
  <c r="D17" i="13" s="1"/>
  <c r="I13" i="12" s="1"/>
  <c r="C15" i="13"/>
  <c r="E17" i="12"/>
  <c r="D43" i="1"/>
  <c r="D28" i="1"/>
  <c r="E30" i="1"/>
  <c r="E14" i="1"/>
  <c r="E37" i="1"/>
  <c r="D41" i="1"/>
  <c r="D20" i="1"/>
  <c r="E19" i="1"/>
  <c r="E43" i="1"/>
  <c r="D21" i="1"/>
  <c r="E27" i="1"/>
  <c r="D31" i="1"/>
  <c r="E20" i="1"/>
  <c r="E25" i="1"/>
  <c r="E13" i="1"/>
  <c r="D17" i="1"/>
  <c r="D24" i="1"/>
  <c r="D22" i="1"/>
  <c r="D27" i="1"/>
  <c r="D13" i="1"/>
  <c r="E31" i="1"/>
  <c r="D34" i="1"/>
  <c r="D16" i="1"/>
  <c r="E41" i="1"/>
  <c r="E24" i="1"/>
  <c r="D32" i="1"/>
  <c r="D39" i="1"/>
  <c r="D35" i="1"/>
  <c r="E29" i="1"/>
  <c r="E36" i="1"/>
  <c r="E28" i="1"/>
  <c r="D18" i="1"/>
  <c r="E26" i="1"/>
  <c r="D23" i="1"/>
  <c r="E23" i="1"/>
  <c r="E16" i="1"/>
  <c r="E35" i="1"/>
  <c r="E22" i="1"/>
  <c r="E32" i="1"/>
  <c r="D30" i="1"/>
  <c r="E38" i="1"/>
  <c r="D33" i="1"/>
  <c r="E34" i="1"/>
  <c r="D15" i="1"/>
  <c r="D14" i="1"/>
  <c r="D26" i="1"/>
  <c r="D29" i="1"/>
  <c r="E15" i="1"/>
  <c r="D36" i="1"/>
  <c r="E39" i="1"/>
  <c r="D38" i="1"/>
  <c r="D25" i="1"/>
  <c r="E21" i="1"/>
  <c r="E17" i="1"/>
  <c r="E33" i="1"/>
  <c r="D19" i="1"/>
  <c r="D40" i="1"/>
  <c r="E42" i="1"/>
  <c r="E40" i="1"/>
  <c r="D37" i="1"/>
  <c r="D42" i="1"/>
  <c r="E18" i="1"/>
  <c r="C21" i="5" l="1"/>
  <c r="E25" i="12"/>
  <c r="D18" i="8"/>
  <c r="C17" i="5"/>
  <c r="E21" i="12"/>
  <c r="C38" i="5"/>
  <c r="E42" i="12"/>
  <c r="E46" i="12"/>
  <c r="D43" i="8"/>
  <c r="C42" i="5"/>
  <c r="C33" i="5"/>
  <c r="E37" i="12"/>
  <c r="E22" i="12"/>
  <c r="D19" i="8"/>
  <c r="C18" i="5"/>
  <c r="D17" i="8"/>
  <c r="C16" i="5"/>
  <c r="E20" i="12"/>
  <c r="E30" i="12"/>
  <c r="C26" i="5"/>
  <c r="C22" i="5"/>
  <c r="E26" i="12"/>
  <c r="C25" i="5"/>
  <c r="E29" i="12"/>
  <c r="C40" i="5"/>
  <c r="E44" i="12"/>
  <c r="C24" i="5"/>
  <c r="E28" i="12"/>
  <c r="C23" i="5"/>
  <c r="E27" i="12"/>
  <c r="E39" i="12"/>
  <c r="C35" i="5"/>
  <c r="C31" i="5"/>
  <c r="E35" i="12"/>
  <c r="E31" i="12"/>
  <c r="C27" i="5"/>
  <c r="E23" i="12"/>
  <c r="D20" i="8"/>
  <c r="C19" i="5"/>
  <c r="C37" i="5"/>
  <c r="E41" i="12"/>
  <c r="E47" i="12"/>
  <c r="D44" i="8"/>
  <c r="C43" i="5"/>
  <c r="C29" i="5"/>
  <c r="E33" i="12"/>
  <c r="C32" i="5"/>
  <c r="E36" i="12"/>
  <c r="C28" i="5"/>
  <c r="E32" i="12"/>
  <c r="C20" i="5"/>
  <c r="E24" i="12"/>
  <c r="E38" i="12"/>
  <c r="C34" i="5"/>
  <c r="C30" i="5"/>
  <c r="E34" i="12"/>
  <c r="C39" i="5"/>
  <c r="E43" i="12"/>
  <c r="C36" i="5"/>
  <c r="E40" i="12"/>
  <c r="C15" i="5"/>
  <c r="E19" i="12"/>
  <c r="D16" i="8"/>
  <c r="C44" i="5"/>
  <c r="E48" i="12"/>
  <c r="D45" i="8"/>
  <c r="D42" i="8"/>
  <c r="C41" i="5"/>
  <c r="E45" i="12"/>
  <c r="C21" i="14"/>
  <c r="H10" i="11"/>
  <c r="L16" i="6" l="1"/>
  <c r="K16" i="6"/>
  <c r="J16" i="6"/>
  <c r="I16" i="6"/>
  <c r="H16" i="6"/>
  <c r="F15" i="4" l="1"/>
  <c r="G15" i="6" l="1"/>
  <c r="C13" i="4"/>
  <c r="C47" i="7" l="1"/>
  <c r="C48" i="7"/>
  <c r="C49" i="7"/>
  <c r="C50" i="7"/>
  <c r="C46" i="7"/>
  <c r="D44" i="5"/>
  <c r="D41" i="5" l="1"/>
  <c r="D28" i="5"/>
  <c r="D17" i="5"/>
  <c r="D40" i="5"/>
  <c r="D43" i="5"/>
  <c r="D42" i="5"/>
  <c r="G43" i="6" l="1"/>
  <c r="H43" i="6"/>
  <c r="I43" i="6"/>
  <c r="J43" i="6"/>
  <c r="K43" i="6"/>
  <c r="L43" i="6"/>
  <c r="G28" i="6"/>
  <c r="H28" i="6"/>
  <c r="I28" i="6"/>
  <c r="J28" i="6"/>
  <c r="K28" i="6"/>
  <c r="L28" i="6"/>
  <c r="G29" i="6"/>
  <c r="H29" i="6"/>
  <c r="I29" i="6"/>
  <c r="J29" i="6"/>
  <c r="K29" i="6"/>
  <c r="L29" i="6"/>
  <c r="G30" i="6"/>
  <c r="H30" i="6"/>
  <c r="I30" i="6"/>
  <c r="J30" i="6"/>
  <c r="K30" i="6"/>
  <c r="L30" i="6"/>
  <c r="G31" i="6"/>
  <c r="H31" i="6"/>
  <c r="I31" i="6"/>
  <c r="J31" i="6"/>
  <c r="K31" i="6"/>
  <c r="L31" i="6"/>
  <c r="G32" i="6"/>
  <c r="H32" i="6"/>
  <c r="I32" i="6"/>
  <c r="J32" i="6"/>
  <c r="K32" i="6"/>
  <c r="L32" i="6"/>
  <c r="G33" i="6"/>
  <c r="H33" i="6"/>
  <c r="I33" i="6"/>
  <c r="J33" i="6"/>
  <c r="K33" i="6"/>
  <c r="L33" i="6"/>
  <c r="G34" i="6"/>
  <c r="H34" i="6"/>
  <c r="I34" i="6"/>
  <c r="J34" i="6"/>
  <c r="K34" i="6"/>
  <c r="L34" i="6"/>
  <c r="G35" i="6"/>
  <c r="H35" i="6"/>
  <c r="I35" i="6"/>
  <c r="J35" i="6"/>
  <c r="K35" i="6"/>
  <c r="L35" i="6"/>
  <c r="G36" i="6"/>
  <c r="H36" i="6"/>
  <c r="I36" i="6"/>
  <c r="J36" i="6"/>
  <c r="K36" i="6"/>
  <c r="L36" i="6"/>
  <c r="G37" i="6"/>
  <c r="H37" i="6"/>
  <c r="I37" i="6"/>
  <c r="J37" i="6"/>
  <c r="K37" i="6"/>
  <c r="L37" i="6"/>
  <c r="G38" i="6"/>
  <c r="H38" i="6"/>
  <c r="I38" i="6"/>
  <c r="J38" i="6"/>
  <c r="K38" i="6"/>
  <c r="L38" i="6"/>
  <c r="G39" i="6"/>
  <c r="H39" i="6"/>
  <c r="I39" i="6"/>
  <c r="J39" i="6"/>
  <c r="K39" i="6"/>
  <c r="L39" i="6"/>
  <c r="G40" i="6"/>
  <c r="H40" i="6"/>
  <c r="I40" i="6"/>
  <c r="J40" i="6"/>
  <c r="K40" i="6"/>
  <c r="L40" i="6"/>
  <c r="G41" i="6"/>
  <c r="H41" i="6"/>
  <c r="I41" i="6"/>
  <c r="J41" i="6"/>
  <c r="K41" i="6"/>
  <c r="L41" i="6"/>
  <c r="G42" i="6"/>
  <c r="H42" i="6"/>
  <c r="I42" i="6"/>
  <c r="J42" i="6"/>
  <c r="K42" i="6"/>
  <c r="L42" i="6"/>
  <c r="F28" i="6"/>
  <c r="F29" i="6"/>
  <c r="F30" i="6"/>
  <c r="F31" i="6"/>
  <c r="F32" i="6"/>
  <c r="F33" i="6"/>
  <c r="F34" i="6"/>
  <c r="F35" i="6"/>
  <c r="F36" i="6"/>
  <c r="F37" i="6"/>
  <c r="F38" i="6"/>
  <c r="F39" i="6"/>
  <c r="F40" i="6"/>
  <c r="F41" i="6"/>
  <c r="F42" i="6"/>
  <c r="F43" i="6"/>
  <c r="J15" i="6"/>
  <c r="J18" i="6"/>
  <c r="F15" i="6"/>
  <c r="F18" i="6"/>
  <c r="F20" i="6"/>
  <c r="F21" i="6"/>
  <c r="F22" i="6"/>
  <c r="F23" i="6"/>
  <c r="F24" i="6"/>
  <c r="F25" i="6"/>
  <c r="F26" i="6"/>
  <c r="F27" i="6"/>
  <c r="G20" i="6"/>
  <c r="G21" i="6"/>
  <c r="G22" i="6"/>
  <c r="G23" i="6"/>
  <c r="G24" i="6"/>
  <c r="G25" i="6"/>
  <c r="G26" i="6"/>
  <c r="G27" i="6"/>
  <c r="G18" i="6"/>
  <c r="G19" i="6"/>
  <c r="H20" i="6"/>
  <c r="H21" i="6"/>
  <c r="H22" i="6"/>
  <c r="H23" i="6"/>
  <c r="H24" i="6"/>
  <c r="H25" i="6"/>
  <c r="H26" i="6"/>
  <c r="H27" i="6"/>
  <c r="H15" i="6"/>
  <c r="H18" i="6"/>
  <c r="I15" i="6"/>
  <c r="I18" i="6"/>
  <c r="I20" i="6"/>
  <c r="I21" i="6"/>
  <c r="I22" i="6"/>
  <c r="I23" i="6"/>
  <c r="I24" i="6"/>
  <c r="I25" i="6"/>
  <c r="I26" i="6"/>
  <c r="I27" i="6"/>
  <c r="I19" i="6"/>
  <c r="J20" i="6"/>
  <c r="J21" i="6"/>
  <c r="J22" i="6"/>
  <c r="J23" i="6"/>
  <c r="J24" i="6"/>
  <c r="J25" i="6"/>
  <c r="J26" i="6"/>
  <c r="J27" i="6"/>
  <c r="K18" i="6"/>
  <c r="K19" i="6"/>
  <c r="K20" i="6"/>
  <c r="K21" i="6"/>
  <c r="K22" i="6"/>
  <c r="K23" i="6"/>
  <c r="K24" i="6"/>
  <c r="K25" i="6"/>
  <c r="K26" i="6"/>
  <c r="K27" i="6"/>
  <c r="K15" i="6"/>
  <c r="L20" i="6"/>
  <c r="L21" i="6"/>
  <c r="L22" i="6"/>
  <c r="L23" i="6"/>
  <c r="L24" i="6"/>
  <c r="L25" i="6"/>
  <c r="L26" i="6"/>
  <c r="L27" i="6"/>
  <c r="L15" i="6"/>
  <c r="L18" i="6"/>
  <c r="L19" i="6"/>
  <c r="J19" i="6"/>
  <c r="H19" i="6"/>
  <c r="F19" i="6"/>
  <c r="E14" i="5" l="1" a="1"/>
  <c r="E14" i="5" s="1"/>
  <c r="J7" i="5" l="1"/>
  <c r="I14" i="5"/>
  <c r="H14" i="5"/>
  <c r="G14" i="5"/>
  <c r="F14" i="5"/>
  <c r="E13" i="6"/>
  <c r="C13" i="5" l="1"/>
  <c r="D19" i="5" l="1"/>
  <c r="D25" i="5"/>
  <c r="D20" i="5"/>
  <c r="D26" i="5"/>
  <c r="D35" i="5"/>
  <c r="D29" i="5"/>
  <c r="D33" i="5"/>
  <c r="D21" i="5"/>
  <c r="D16" i="5"/>
  <c r="D36" i="5"/>
  <c r="D31" i="5"/>
  <c r="D22" i="5"/>
  <c r="D30" i="5"/>
  <c r="D23" i="5"/>
  <c r="D24" i="5"/>
  <c r="D27" i="5"/>
  <c r="D32" i="5"/>
  <c r="D18" i="5"/>
  <c r="D34" i="5"/>
  <c r="D15" i="5"/>
  <c r="D38" i="5"/>
  <c r="D37" i="5"/>
  <c r="D39" i="5"/>
  <c r="M35" i="1"/>
  <c r="C12" i="2"/>
</calcChain>
</file>

<file path=xl/sharedStrings.xml><?xml version="1.0" encoding="utf-8"?>
<sst xmlns="http://schemas.openxmlformats.org/spreadsheetml/2006/main" count="278" uniqueCount="224">
  <si>
    <t>ClientSecurityId</t>
  </si>
  <si>
    <t>Name</t>
  </si>
  <si>
    <t>LookThroughPortfolioId</t>
  </si>
  <si>
    <t>Scope</t>
  </si>
  <si>
    <t>Feedback from Create</t>
  </si>
  <si>
    <t>Results</t>
  </si>
  <si>
    <t>Code</t>
  </si>
  <si>
    <t>Date Created</t>
  </si>
  <si>
    <t>Base Currency</t>
  </si>
  <si>
    <t>SecurityUid</t>
  </si>
  <si>
    <t>Effective From</t>
  </si>
  <si>
    <t>Upload new Securities to Lusid</t>
  </si>
  <si>
    <t>IE00BDR5J343</t>
  </si>
  <si>
    <t>IE00BD6FXL14</t>
  </si>
  <si>
    <t>IE00BD6FX770</t>
  </si>
  <si>
    <t>IE00BZ007R08</t>
  </si>
  <si>
    <t>IE00BD6FX663</t>
  </si>
  <si>
    <t>IE00BYX5XZ54</t>
  </si>
  <si>
    <t>LU1531595723</t>
  </si>
  <si>
    <t>LU1531595996</t>
  </si>
  <si>
    <t>USDLU1291088</t>
  </si>
  <si>
    <t>GB00B0CNGR59</t>
  </si>
  <si>
    <t>GB00B0CNGT73</t>
  </si>
  <si>
    <t>IE00BYWTYX35</t>
  </si>
  <si>
    <t>IE00BYWTYY42</t>
  </si>
  <si>
    <t>LU1143003736</t>
  </si>
  <si>
    <t>GB00B0CNGY27</t>
  </si>
  <si>
    <t>GB00B0CNH502</t>
  </si>
  <si>
    <t>GB00B0CNHD88</t>
  </si>
  <si>
    <t>GB00B1LBST30</t>
  </si>
  <si>
    <t>GBPGB00B28BG</t>
  </si>
  <si>
    <t>GB00B2Q6HW61</t>
  </si>
  <si>
    <t>GB00B3SW2T17</t>
  </si>
  <si>
    <t>YGB00B469J89</t>
  </si>
  <si>
    <t>GB00B4M01C47</t>
  </si>
  <si>
    <t>GB00B4QY6B60</t>
  </si>
  <si>
    <t>GB00B4Z1M213</t>
  </si>
  <si>
    <t>GB00B5V3ZY14</t>
  </si>
  <si>
    <t>EURGB00B644V</t>
  </si>
  <si>
    <t>GB00B7K3T226</t>
  </si>
  <si>
    <t>GB00B7KVX245</t>
  </si>
  <si>
    <t>GB00B88V3X40</t>
  </si>
  <si>
    <t>Property Name</t>
  </si>
  <si>
    <t>Domain</t>
  </si>
  <si>
    <t>ValueRequired</t>
  </si>
  <si>
    <t>DisplayName</t>
  </si>
  <si>
    <t>DataFormatId</t>
  </si>
  <si>
    <t>Sort</t>
  </si>
  <si>
    <t>LifeTime</t>
  </si>
  <si>
    <t>Result</t>
  </si>
  <si>
    <t>Unique Code</t>
  </si>
  <si>
    <t>Created Portfolio Unique Identifiers</t>
  </si>
  <si>
    <t>Keys</t>
  </si>
  <si>
    <t>FIGI_BBG00JVK5K09</t>
  </si>
  <si>
    <t>OK</t>
  </si>
  <si>
    <t>3) Create/Upload property definitions (in Blue) to Lusid</t>
  </si>
  <si>
    <r>
      <rPr>
        <b/>
        <sz val="11"/>
        <color rgb="FF9C5700"/>
        <rFont val="Calibri"/>
        <family val="2"/>
        <scheme val="minor"/>
      </rPr>
      <t>2)</t>
    </r>
    <r>
      <rPr>
        <sz val="11"/>
        <color rgb="FF9C5700"/>
        <rFont val="Calibri"/>
        <family val="2"/>
        <scheme val="minor"/>
      </rPr>
      <t xml:space="preserve"> Build/construct appropriate cell data create these Properties </t>
    </r>
  </si>
  <si>
    <r>
      <t xml:space="preserve">If you wanted to do this </t>
    </r>
    <r>
      <rPr>
        <u/>
        <sz val="11"/>
        <color theme="1"/>
        <rFont val="Calibri"/>
        <family val="2"/>
        <scheme val="minor"/>
      </rPr>
      <t>manually</t>
    </r>
    <r>
      <rPr>
        <sz val="11"/>
        <color theme="1"/>
        <rFont val="Calibri"/>
        <family val="2"/>
        <scheme val="minor"/>
      </rPr>
      <t xml:space="preserve">, instead of clicking button step 3 above, you can call this formula in excel: </t>
    </r>
    <r>
      <rPr>
        <b/>
        <sz val="11"/>
        <color theme="1"/>
        <rFont val="Calibri"/>
        <family val="2"/>
        <scheme val="minor"/>
      </rPr>
      <t>=fbnPropertiesAdd(BlueCells)</t>
    </r>
  </si>
  <si>
    <r>
      <rPr>
        <b/>
        <sz val="11"/>
        <color rgb="FF9C5700"/>
        <rFont val="Calibri"/>
        <family val="2"/>
        <scheme val="minor"/>
      </rPr>
      <t xml:space="preserve">4) </t>
    </r>
    <r>
      <rPr>
        <sz val="11"/>
        <color rgb="FF9C5700"/>
        <rFont val="Calibri"/>
        <family val="2"/>
        <scheme val="minor"/>
      </rPr>
      <t>Run Formula</t>
    </r>
  </si>
  <si>
    <r>
      <rPr>
        <b/>
        <sz val="11"/>
        <color rgb="FF9C5700"/>
        <rFont val="Calibri"/>
        <family val="2"/>
        <scheme val="minor"/>
      </rPr>
      <t>2)</t>
    </r>
    <r>
      <rPr>
        <sz val="11"/>
        <color rgb="FF9C5700"/>
        <rFont val="Calibri"/>
        <family val="2"/>
        <scheme val="minor"/>
      </rPr>
      <t xml:space="preserve"> Save these classifications in Lusid</t>
    </r>
  </si>
  <si>
    <t>A selection that will be sent to Lusid API</t>
  </si>
  <si>
    <t>Colour Legend</t>
  </si>
  <si>
    <t>Note to user</t>
  </si>
  <si>
    <t>Advice to user</t>
  </si>
  <si>
    <t>A automatically computed value</t>
  </si>
  <si>
    <r>
      <t xml:space="preserve">This template allows creating </t>
    </r>
    <r>
      <rPr>
        <u/>
        <sz val="11"/>
        <color theme="1"/>
        <rFont val="Calibri"/>
        <family val="2"/>
        <scheme val="minor"/>
      </rPr>
      <t>custom securities</t>
    </r>
    <r>
      <rPr>
        <sz val="11"/>
        <color theme="1"/>
        <rFont val="Calibri"/>
        <family val="2"/>
        <scheme val="minor"/>
      </rPr>
      <t xml:space="preserve">, creating </t>
    </r>
    <r>
      <rPr>
        <u/>
        <sz val="11"/>
        <color theme="1"/>
        <rFont val="Calibri"/>
        <family val="2"/>
        <scheme val="minor"/>
      </rPr>
      <t>classifications(properties)</t>
    </r>
    <r>
      <rPr>
        <sz val="11"/>
        <color theme="1"/>
        <rFont val="Calibri"/>
        <family val="2"/>
        <scheme val="minor"/>
      </rPr>
      <t xml:space="preserve"> and applying them to those securities.</t>
    </r>
  </si>
  <si>
    <t>Some colours apper in the template and have specific meanings to aid the user. See the colour legend below</t>
  </si>
  <si>
    <t>To add  new custom properties to securities, you first need to define what those properties are.</t>
  </si>
  <si>
    <t>1) Define your new property names</t>
  </si>
  <si>
    <t>RawSecuritiesRange</t>
  </si>
  <si>
    <t>Custom Securites:</t>
  </si>
  <si>
    <t>1) Fetch current state of securities</t>
  </si>
  <si>
    <t>1) Create specified custom securities</t>
  </si>
  <si>
    <t>Scope:</t>
  </si>
  <si>
    <t>(Currently not supported - cannot lookup LUSID securities via API!)</t>
  </si>
  <si>
    <t>Corporate Action Source</t>
  </si>
  <si>
    <t>To create a new portfolio, in which specific securities pertain to, define it below and press "Create Portfolio" button.</t>
  </si>
  <si>
    <t>1) Create a Portfolio(s) in Lusid</t>
  </si>
  <si>
    <r>
      <rPr>
        <b/>
        <sz val="11"/>
        <color rgb="FF9C5700"/>
        <rFont val="Calibri"/>
        <family val="2"/>
        <scheme val="minor"/>
      </rPr>
      <t>1)</t>
    </r>
    <r>
      <rPr>
        <sz val="11"/>
        <color rgb="FF9C5700"/>
        <rFont val="Calibri"/>
        <family val="2"/>
        <scheme val="minor"/>
      </rPr>
      <t xml:space="preserve">  You can now set the properties you previously defined (in yellow columns below )and apply them to specific securities - to "classify" those securities with those classifications/properties</t>
    </r>
  </si>
  <si>
    <t>You can now query/view the current state all your securities and see which classifications are applied to each security.</t>
  </si>
  <si>
    <t>To create custom securities (aka OTC) to which you can have positions on in lusid, specify the name and ID of the new security and press create. This will show up in the Securities Master View</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</si>
  <si>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=fbnClassificationsAdd(BlueCells)</t>
    </r>
  </si>
  <si>
    <t>2) Create portfolios in Lusid</t>
  </si>
  <si>
    <r>
      <t xml:space="preserve">Your defined properties are now available to you to </t>
    </r>
    <r>
      <rPr>
        <b/>
        <u/>
        <sz val="12"/>
        <color theme="1"/>
        <rFont val="Calibri"/>
        <family val="2"/>
        <scheme val="minor"/>
      </rPr>
      <t xml:space="preserve">apply </t>
    </r>
    <r>
      <rPr>
        <sz val="12"/>
        <color theme="1"/>
        <rFont val="Calibri"/>
        <family val="2"/>
        <scheme val="minor"/>
      </rPr>
      <t xml:space="preserve">against any </t>
    </r>
    <r>
      <rPr>
        <b/>
        <u/>
        <sz val="12"/>
        <color theme="1"/>
        <rFont val="Calibri"/>
        <family val="2"/>
        <scheme val="minor"/>
      </rPr>
      <t>existing</t>
    </r>
    <r>
      <rPr>
        <sz val="12"/>
        <color theme="1"/>
        <rFont val="Calibri"/>
        <family val="2"/>
        <scheme val="minor"/>
      </rPr>
      <t xml:space="preserve"> securities below. </t>
    </r>
  </si>
  <si>
    <t>Trade Id</t>
  </si>
  <si>
    <t>Security Uid</t>
  </si>
  <si>
    <t>Trade Date</t>
  </si>
  <si>
    <t>Settlement Date</t>
  </si>
  <si>
    <t>Transaction Type</t>
  </si>
  <si>
    <t>Security Units Traded</t>
  </si>
  <si>
    <t>Settlement Currency</t>
  </si>
  <si>
    <t>Trade Currency</t>
  </si>
  <si>
    <t>Dividend State</t>
  </si>
  <si>
    <t>Trade Price Type</t>
  </si>
  <si>
    <t>Unit Type</t>
  </si>
  <si>
    <t>Source</t>
  </si>
  <si>
    <t>Trade Price</t>
  </si>
  <si>
    <t>Total Consideration</t>
  </si>
  <si>
    <t>Exchange Rate</t>
  </si>
  <si>
    <t>Counterparty ID</t>
  </si>
  <si>
    <t>Netting Set</t>
  </si>
  <si>
    <t>Shares</t>
  </si>
  <si>
    <t>GBP</t>
  </si>
  <si>
    <t>£</t>
  </si>
  <si>
    <t>Default</t>
  </si>
  <si>
    <t>Any</t>
  </si>
  <si>
    <t>Yield</t>
  </si>
  <si>
    <t>Client</t>
  </si>
  <si>
    <t>You can create many 'Buy/Sell' trades against/for a specified security here.</t>
  </si>
  <si>
    <r>
      <rPr>
        <b/>
        <sz val="11"/>
        <color rgb="FF9C5700"/>
        <rFont val="Calibri"/>
        <family val="2"/>
        <scheme val="minor"/>
      </rPr>
      <t>2)</t>
    </r>
    <r>
      <rPr>
        <sz val="11"/>
        <color rgb="FF9C5700"/>
        <rFont val="Calibri"/>
        <family val="2"/>
        <scheme val="minor"/>
      </rPr>
      <t xml:space="preserve"> Build/construct single trades below. </t>
    </r>
  </si>
  <si>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=fbnTradesAdd(BlueCells)</t>
    </r>
  </si>
  <si>
    <t>These are your current securities in LUSID</t>
  </si>
  <si>
    <r>
      <rPr>
        <b/>
        <sz val="11"/>
        <color rgb="FF9C5700"/>
        <rFont val="Calibri"/>
        <family val="2"/>
        <scheme val="minor"/>
      </rPr>
      <t xml:space="preserve">3) </t>
    </r>
    <r>
      <rPr>
        <sz val="11"/>
        <color rgb="FF9C5700"/>
        <rFont val="Calibri"/>
        <family val="2"/>
        <scheme val="minor"/>
      </rPr>
      <t>Create these trades</t>
    </r>
  </si>
  <si>
    <t>You can now query/view the current state all your trades in your portfolio</t>
  </si>
  <si>
    <r>
      <rPr>
        <b/>
        <sz val="11"/>
        <color rgb="FF9C5700"/>
        <rFont val="Calibri"/>
        <family val="2"/>
        <scheme val="minor"/>
      </rPr>
      <t>1)</t>
    </r>
    <r>
      <rPr>
        <sz val="11"/>
        <color rgb="FF9C5700"/>
        <rFont val="Calibri"/>
        <family val="2"/>
        <scheme val="minor"/>
      </rPr>
      <t xml:space="preserve"> Press Refresh to get all your portfolio trades</t>
    </r>
  </si>
  <si>
    <t>This spreadsheet supports up to 30 securities.</t>
  </si>
  <si>
    <t>You can now query/view the current state all your Holdings in your portfolio</t>
  </si>
  <si>
    <t>You can Add analytiscs to your securities in your portfolio</t>
  </si>
  <si>
    <t>Value</t>
  </si>
  <si>
    <t>AnalyticsStoreDate</t>
  </si>
  <si>
    <t>Before you can add analytics against your securities, you need to define a store to put these analytics into.</t>
  </si>
  <si>
    <t>Date</t>
  </si>
  <si>
    <t>A store is simply defined as Scope and a Date but needs to be created first.</t>
  </si>
  <si>
    <t>1) Define one or more Analytics Stores</t>
  </si>
  <si>
    <t>2) Create provided analytics stores</t>
  </si>
  <si>
    <r>
      <rPr>
        <b/>
        <sz val="11"/>
        <color rgb="FF9C5700"/>
        <rFont val="Calibri"/>
        <family val="2"/>
        <scheme val="minor"/>
      </rPr>
      <t>1)</t>
    </r>
    <r>
      <rPr>
        <sz val="11"/>
        <color rgb="FF9C5700"/>
        <rFont val="Calibri"/>
        <family val="2"/>
        <scheme val="minor"/>
      </rPr>
      <t xml:space="preserve">  You can now apply analytics to your securities</t>
    </r>
  </si>
  <si>
    <t>2) Insert analytics</t>
  </si>
  <si>
    <t>RecipeScope</t>
  </si>
  <si>
    <t>RecipeKey</t>
  </si>
  <si>
    <t>Aggregation</t>
  </si>
  <si>
    <t>Holding/default/PV:Sum, Holding/default/Cost:Sum, Holding/default/PV:Proportion</t>
  </si>
  <si>
    <t>GroupBy</t>
  </si>
  <si>
    <t>Holding/default/PV</t>
  </si>
  <si>
    <t>EffectiveDate</t>
  </si>
  <si>
    <t>Buy</t>
  </si>
  <si>
    <t>First PortfolioName:</t>
  </si>
  <si>
    <t>First PortfolioCode:</t>
  </si>
  <si>
    <t>First PortfolioCreateDate:</t>
  </si>
  <si>
    <t>Uid</t>
  </si>
  <si>
    <t>CommonName</t>
  </si>
  <si>
    <t>LG EM MK GOV BOND US-KEURAUH</t>
  </si>
  <si>
    <t>FIGI_BBG00DL94N94</t>
  </si>
  <si>
    <t>LG EM MK GOV BOND-ZEURAUNH</t>
  </si>
  <si>
    <t>FIGI_BBG00DL98GH6</t>
  </si>
  <si>
    <t>LG EMERGING MARKET-NEURACC</t>
  </si>
  <si>
    <t>FIGI_BBG00FF56P88</t>
  </si>
  <si>
    <t>LG EMERGING MKTS EQ-ZEURACC</t>
  </si>
  <si>
    <t>FIGI_BBG00DL98GS4</t>
  </si>
  <si>
    <t>LG EMERGING MARKET-ZGBPACC</t>
  </si>
  <si>
    <t>FIGI_BBG00FB4V5K7</t>
  </si>
  <si>
    <t>LG EUR TREAS BD IN-N EUR ACC</t>
  </si>
  <si>
    <t>FIGI_BBG00FJ5T5T0</t>
  </si>
  <si>
    <t>M&amp;G LUX ABS RET BD-CH GBP AC</t>
  </si>
  <si>
    <t>FIGI_BBG00FJ5T5V7</t>
  </si>
  <si>
    <t>M&amp;G LUX ABS RET BD-CH GBP IN</t>
  </si>
  <si>
    <t>FIGI_BBG001STKP50</t>
  </si>
  <si>
    <t>LEGAL &amp; GENERAL EURO IND-I A</t>
  </si>
  <si>
    <t>FIGI_BBG001SRSD26</t>
  </si>
  <si>
    <t>LEGAL &amp; GENERAL US INDEX-I-A</t>
  </si>
  <si>
    <t>FIGI_BBG00H15BY93</t>
  </si>
  <si>
    <t>WINTON-DIVERSIFIED UC-USD I</t>
  </si>
  <si>
    <t>FIGI_BBG00H15BYQ4</t>
  </si>
  <si>
    <t>WINTON-DIVERSIFIED UC-GBP ID</t>
  </si>
  <si>
    <t>FIGI_BBG007V3VDV6</t>
  </si>
  <si>
    <t>DIVER GRW-FRANCK MULL-A EUR</t>
  </si>
  <si>
    <t>FIGI_BBG001T0SRJ5</t>
  </si>
  <si>
    <t>LEGAL &amp; GENERAL PAC IDX-I AC</t>
  </si>
  <si>
    <t>FIGI_BBG001T1P853</t>
  </si>
  <si>
    <t>LEGAL&amp;GENERAL UK 100 INDX-IA</t>
  </si>
  <si>
    <t>FIGI_BBG001T8ZB05</t>
  </si>
  <si>
    <t>LEGAL &amp; GENERAL FXD INT-IA</t>
  </si>
  <si>
    <t>FIGI_BBG001STMN80</t>
  </si>
  <si>
    <t>STANDARD LIFE UK EQ INC UN-A</t>
  </si>
  <si>
    <t>FIGI_BBG001T8ZB14</t>
  </si>
  <si>
    <t>LEGAL&amp;GENERAL INTL INX T-I A</t>
  </si>
  <si>
    <t>FIGI_BBG001V0BND5</t>
  </si>
  <si>
    <t>FIDELITY UK SMALLER COMP-AA</t>
  </si>
  <si>
    <t>FIGI_BBG0037S1FF3</t>
  </si>
  <si>
    <t>LEGAL &amp; GENERAL STERLING-I-A</t>
  </si>
  <si>
    <t>FIGI_BBG001TJMQW7</t>
  </si>
  <si>
    <t>L&amp;G GLB EMERG MKT INDEX-I IN</t>
  </si>
  <si>
    <t>FIGI_BBG0034YPJH7</t>
  </si>
  <si>
    <t>M&amp;G GBL HI YLD BOND GBP-I-A</t>
  </si>
  <si>
    <t>FIGI_BBG0034YQ817</t>
  </si>
  <si>
    <t>M&amp;G EPISODE GROWTH-GBP-I-A</t>
  </si>
  <si>
    <t>FIGI_BBG004733G08</t>
  </si>
  <si>
    <t>STNDRD LIFE-GL ABS RETS-P1GA</t>
  </si>
  <si>
    <t>FIGI_BBG004XQG9G3</t>
  </si>
  <si>
    <t>STANDARD LIFE GL SM COMP-P1A</t>
  </si>
  <si>
    <t>FIGI_BBG003BJ6K53</t>
  </si>
  <si>
    <t>FIDELITY SPECIAL SITS-W-ACC</t>
  </si>
  <si>
    <t>MyNewSecurityID</t>
  </si>
  <si>
    <t>MyNewSecurity</t>
  </si>
  <si>
    <r>
      <rPr>
        <b/>
        <sz val="11"/>
        <color rgb="FF9C5700"/>
        <rFont val="Calibri"/>
        <family val="2"/>
        <scheme val="minor"/>
      </rPr>
      <t xml:space="preserve">2) </t>
    </r>
    <r>
      <rPr>
        <sz val="11"/>
        <color rgb="FF9C5700"/>
        <rFont val="Calibri"/>
        <family val="2"/>
        <scheme val="minor"/>
      </rPr>
      <t>View your aggregation by getting it.</t>
    </r>
  </si>
  <si>
    <r>
      <rPr>
        <b/>
        <sz val="11"/>
        <color rgb="FF9C5700"/>
        <rFont val="Calibri"/>
        <family val="2"/>
        <scheme val="minor"/>
      </rPr>
      <t>1)</t>
    </r>
    <r>
      <rPr>
        <sz val="11"/>
        <color rgb="FF9C5700"/>
        <rFont val="Calibri"/>
        <family val="2"/>
        <scheme val="minor"/>
      </rPr>
      <t xml:space="preserve"> Setup how you want to aggregate your portfolio</t>
    </r>
  </si>
  <si>
    <t>Get an aggregated view of your portfolio</t>
  </si>
  <si>
    <t>Aggregation Results:</t>
  </si>
  <si>
    <t>Default portfolio details:</t>
  </si>
  <si>
    <t>These are your current holdings in Lusid</t>
  </si>
  <si>
    <t xml:space="preserve">As Of: </t>
  </si>
  <si>
    <t>TradeId1</t>
  </si>
  <si>
    <t>TradeId2</t>
  </si>
  <si>
    <t>TradeId3</t>
  </si>
  <si>
    <t>TradeId4</t>
  </si>
  <si>
    <t>TradeId5</t>
  </si>
  <si>
    <t>These analytics, for each security, will be inserted into the following the first analytics store(Date) you created:</t>
  </si>
  <si>
    <r>
      <rPr>
        <b/>
        <sz val="11"/>
        <color rgb="FF9C5700"/>
        <rFont val="Calibri"/>
        <family val="2"/>
        <scheme val="minor"/>
      </rPr>
      <t>1)</t>
    </r>
    <r>
      <rPr>
        <sz val="11"/>
        <color rgb="FF9C5700"/>
        <rFont val="Calibri"/>
        <family val="2"/>
        <scheme val="minor"/>
      </rPr>
      <t xml:space="preserve"> You can trade trades against spcific securities here:</t>
    </r>
  </si>
  <si>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=fbnPortfoliosAdd(BlueCells)</t>
    </r>
  </si>
  <si>
    <r>
      <t xml:space="preserve">If you wanted to do this </t>
    </r>
    <r>
      <rPr>
        <u/>
        <sz val="11"/>
        <color theme="1"/>
        <rFont val="Calibri"/>
        <family val="2"/>
        <scheme val="minor"/>
      </rPr>
      <t>manually</t>
    </r>
    <r>
      <rPr>
        <sz val="11"/>
        <color theme="1"/>
        <rFont val="Calibri"/>
        <family val="2"/>
        <scheme val="minor"/>
      </rPr>
      <t xml:space="preserve">, instead of clicking button step 1 above, you can call this formula in excel: </t>
    </r>
    <r>
      <rPr>
        <b/>
        <sz val="11"/>
        <color theme="1"/>
        <rFont val="Calibri"/>
        <family val="2"/>
        <scheme val="minor"/>
      </rPr>
      <t>=fbnSecuritiesLookup(BlueCells)</t>
    </r>
  </si>
  <si>
    <t>Security/default/CommonName</t>
  </si>
  <si>
    <t>MyNameSpace1</t>
  </si>
  <si>
    <r>
      <t>If you wanted to do this manually, instead of clicking button , you can call this formula in excel: =</t>
    </r>
    <r>
      <rPr>
        <b/>
        <sz val="12"/>
        <color theme="1"/>
        <rFont val="Calibri"/>
        <family val="2"/>
        <scheme val="minor"/>
      </rPr>
      <t>fbnHoldingsGet</t>
    </r>
    <r>
      <rPr>
        <sz val="12"/>
        <color theme="1"/>
        <rFont val="Calibri"/>
        <family val="2"/>
        <scheme val="minor"/>
      </rPr>
      <t>(AsOfDate)</t>
    </r>
  </si>
  <si>
    <r>
      <t>If you wanted to do this manually, instead of clicking button , you can call this formula in excel: =</t>
    </r>
    <r>
      <rPr>
        <b/>
        <sz val="12"/>
        <color theme="1"/>
        <rFont val="Calibri"/>
        <family val="2"/>
        <scheme val="minor"/>
      </rPr>
      <t>fbnAnalyticsStoresAdd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</si>
  <si>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fbnAnalyticsAdd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</si>
  <si>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fbnAggregatePortfolio</t>
    </r>
    <r>
      <rPr>
        <sz val="12"/>
        <color theme="1"/>
        <rFont val="Calibri"/>
        <family val="2"/>
        <scheme val="minor"/>
      </rPr>
      <t>(Parameters)</t>
    </r>
  </si>
  <si>
    <r>
      <t>If you wanted to do this manually, instead of clicking button , you can call this formula in excel: =</t>
    </r>
    <r>
      <rPr>
        <b/>
        <sz val="12"/>
        <color theme="1"/>
        <rFont val="Calibri"/>
        <family val="2"/>
        <scheme val="minor"/>
      </rPr>
      <t>fbnSecuritiesAdd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</si>
  <si>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fbnTradesGet</t>
    </r>
    <r>
      <rPr>
        <sz val="12"/>
        <color theme="1"/>
        <rFont val="Calibri"/>
        <family val="2"/>
        <scheme val="minor"/>
      </rPr>
      <t>(BlueCells)</t>
    </r>
  </si>
  <si>
    <t>MySecurityClassification1</t>
  </si>
  <si>
    <t>FirstPortfolio</t>
  </si>
  <si>
    <t>ID_FirstPortfolio123</t>
  </si>
  <si>
    <t>Copyright © 2018 FINBOURNE TECHNOLOGY LTD</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</si>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</sst>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theme="1"/>
      <name val="Calibri"/>
      <family val="2"/>
      <scheme val="minor"/>
    </font>
    <font>
      <sz val="11"/>
      <color rgb="FF9C5700"/>
      <name val="Calibri"/>
      <family val="2"/>
      <scheme val="minor"/>
    </font>
    <font>
      <sz val="11"/>
      <color rgb="FF008000"/>
      <name val="Calibri"/>
      <family val="2"/>
      <scheme val="minor"/>
    </font>
    <font>
      <sz val="11"/>
      <color rgb="FF000000"/>
      <name val="Calibri"/>
      <family val="2"/>
    </font>
    <font>
      <b/>
      <sz val="11"/>
      <color theme="1"/>
      <name val="Calibri"/>
      <family val="2"/>
      <scheme val="minor"/>
    </font>
    <font>
      <b/>
      <sz val="11"/>
      <color rgb="FF9C5700"/>
      <name val="Calibri"/>
      <family val="2"/>
      <scheme val="minor"/>
    </font>
    <font>
      <u/>
      <sz val="11"/>
      <color theme="1"/>
      <name val="Calibri"/>
      <family val="2"/>
      <scheme val="minor"/>
    </font>
    <font>
      <sz val="12"/>
      <color theme="1"/>
      <name val="Calibri"/>
      <family val="2"/>
      <scheme val="minor"/>
    </font>
    <font>
      <sz val="11"/>
      <color rgb="FF006100"/>
      <name val="Calibri"/>
      <family val="2"/>
      <scheme val="minor"/>
    </font>
    <font>
      <b/>
      <sz val="11"/>
      <color theme="3"/>
      <name val="Calibri"/>
      <family val="2"/>
      <scheme val="minor"/>
    </font>
    <font>
      <b/>
      <u/>
      <sz val="12"/>
      <color theme="1"/>
      <name val="Calibri"/>
      <family val="2"/>
      <scheme val="minor"/>
    </font>
    <font>
      <sz val="11"/>
      <color rgb="FF3F3F76"/>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s>
  <fills count="17">
    <fill>
      <patternFill patternType="none"/>
    </fill>
    <fill>
      <patternFill patternType="gray125"/>
    </fill>
    <fill>
      <patternFill patternType="solid">
        <fgColor rgb="FFFFEB9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8" tint="0.79998168889431442"/>
        <bgColor indexed="65"/>
      </patternFill>
    </fill>
    <fill>
      <patternFill patternType="solid">
        <fgColor theme="0" tint="-0.249977111117893"/>
        <bgColor indexed="64"/>
      </patternFill>
    </fill>
    <fill>
      <patternFill patternType="solid">
        <fgColor theme="6" tint="0.79998168889431442"/>
        <bgColor indexed="65"/>
      </patternFill>
    </fill>
    <fill>
      <patternFill patternType="solid">
        <fgColor theme="6" tint="0.59999389629810485"/>
        <bgColor indexed="65"/>
      </patternFill>
    </fill>
    <fill>
      <patternFill patternType="solid">
        <fgColor rgb="FFFFFFCC"/>
      </patternFill>
    </fill>
    <fill>
      <patternFill patternType="solid">
        <fgColor theme="4" tint="0.39997558519241921"/>
        <bgColor indexed="65"/>
      </patternFill>
    </fill>
    <fill>
      <patternFill patternType="solid">
        <fgColor theme="0"/>
        <bgColor indexed="64"/>
      </patternFill>
    </fill>
    <fill>
      <patternFill patternType="solid">
        <fgColor rgb="FFC6EFCE"/>
      </patternFill>
    </fill>
    <fill>
      <patternFill patternType="solid">
        <fgColor theme="0" tint="-0.14999847407452621"/>
        <bgColor indexed="64"/>
      </patternFill>
    </fill>
    <fill>
      <patternFill patternType="solid">
        <fgColor rgb="FFFFCC99"/>
      </patternFill>
    </fill>
    <fill>
      <patternFill patternType="solid">
        <fgColor rgb="FFB4C6E7"/>
        <bgColor indexed="64"/>
      </patternFill>
    </fill>
    <fill>
      <patternFill patternType="solid">
        <fgColor theme="6" tint="0.39997558519241921"/>
        <bgColor indexed="65"/>
      </patternFill>
    </fill>
  </fills>
  <borders count="38">
    <border>
      <left/>
      <right/>
      <top/>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top style="thin">
        <color rgb="FFB2B2B2"/>
      </top>
      <bottom/>
      <diagonal/>
    </border>
    <border>
      <left style="thin">
        <color rgb="FFB2B2B2"/>
      </left>
      <right/>
      <top style="thin">
        <color rgb="FFB2B2B2"/>
      </top>
      <bottom/>
      <diagonal/>
    </border>
    <border>
      <left/>
      <right style="thin">
        <color rgb="FFB2B2B2"/>
      </right>
      <top style="thin">
        <color rgb="FFB2B2B2"/>
      </top>
      <bottom/>
      <diagonal/>
    </border>
    <border>
      <left style="thin">
        <color rgb="FFB2B2B2"/>
      </left>
      <right/>
      <top/>
      <bottom style="thin">
        <color rgb="FFB2B2B2"/>
      </bottom>
      <diagonal/>
    </border>
    <border>
      <left/>
      <right/>
      <top/>
      <bottom style="thin">
        <color rgb="FFB2B2B2"/>
      </bottom>
      <diagonal/>
    </border>
    <border>
      <left/>
      <right style="thin">
        <color rgb="FFB2B2B2"/>
      </right>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double">
        <color theme="4"/>
      </bottom>
      <diagonal/>
    </border>
    <border>
      <left/>
      <right/>
      <top style="thin">
        <color indexed="64"/>
      </top>
      <bottom style="double">
        <color theme="4"/>
      </bottom>
      <diagonal/>
    </border>
    <border>
      <left/>
      <right style="thin">
        <color indexed="64"/>
      </right>
      <top style="thin">
        <color indexed="64"/>
      </top>
      <bottom style="double">
        <color theme="4"/>
      </bottom>
      <diagonal/>
    </border>
    <border>
      <left/>
      <right/>
      <top/>
      <bottom style="medium">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right/>
      <top/>
      <bottom style="thin">
        <color auto="1"/>
      </bottom>
      <diagonal/>
    </border>
    <border>
      <left style="thin">
        <color rgb="FFB2B2B2"/>
      </left>
      <right/>
      <top/>
      <bottom/>
      <diagonal/>
    </border>
    <border>
      <left/>
      <right style="thin">
        <color rgb="FFB2B2B2"/>
      </right>
      <top/>
      <bottom/>
      <diagonal/>
    </border>
    <border>
      <left style="thin">
        <color rgb="FFB2B2B2"/>
      </left>
      <right style="thin">
        <color rgb="FFB2B2B2"/>
      </right>
      <top style="thin">
        <color rgb="FFB2B2B2"/>
      </top>
      <bottom/>
      <diagonal/>
    </border>
    <border>
      <left style="thin">
        <color rgb="FFB2B2B2"/>
      </left>
      <right style="thin">
        <color rgb="FFB2B2B2"/>
      </right>
      <top style="thin">
        <color indexed="64"/>
      </top>
      <bottom style="thin">
        <color rgb="FFB2B2B2"/>
      </bottom>
      <diagonal/>
    </border>
    <border>
      <left style="thin">
        <color rgb="FFB2B2B2"/>
      </left>
      <right style="thin">
        <color indexed="64"/>
      </right>
      <top style="thin">
        <color indexed="64"/>
      </top>
      <bottom style="thin">
        <color rgb="FFB2B2B2"/>
      </bottom>
      <diagonal/>
    </border>
  </borders>
  <cellStyleXfs count="14">
    <xf numFmtId="0" fontId="0" fillId="0" borderId="0"/>
    <xf numFmtId="0" fontId="2"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5" fillId="0" borderId="1" applyNumberFormat="0" applyFill="0" applyAlignment="0" applyProtection="0"/>
    <xf numFmtId="0" fontId="1" fillId="9" borderId="8" applyNumberFormat="0" applyFont="0" applyAlignment="0" applyProtection="0"/>
    <xf numFmtId="0" fontId="1" fillId="10" borderId="0" applyNumberFormat="0" applyBorder="0" applyAlignment="0" applyProtection="0"/>
    <xf numFmtId="0" fontId="9" fillId="12" borderId="0" applyNumberFormat="0" applyBorder="0" applyAlignment="0" applyProtection="0"/>
    <xf numFmtId="0" fontId="10" fillId="0" borderId="24" applyNumberFormat="0" applyFill="0" applyAlignment="0" applyProtection="0"/>
    <xf numFmtId="0" fontId="12" fillId="14" borderId="28" applyNumberFormat="0" applyAlignment="0" applyProtection="0"/>
    <xf numFmtId="0" fontId="1" fillId="8" borderId="0" applyNumberFormat="0" applyBorder="0" applyAlignment="0" applyProtection="0"/>
    <xf numFmtId="0" fontId="1" fillId="16" borderId="0" applyNumberFormat="0" applyBorder="0" applyAlignment="0" applyProtection="0"/>
  </cellStyleXfs>
  <cellXfs count="339">
    <xf numFmtId="0" fontId="0" fillId="0" borderId="0" xfId="0"/>
    <xf numFmtId="0" fontId="0" fillId="0" borderId="0" xfId="0" applyFill="1"/>
    <xf numFmtId="0" fontId="3" fillId="0" borderId="0" xfId="0" applyFont="1" applyFill="1" applyAlignment="1">
      <alignment wrapText="1"/>
    </xf>
    <xf numFmtId="0" fontId="3" fillId="0" borderId="0" xfId="0" applyFont="1" applyFill="1"/>
    <xf numFmtId="0" fontId="2" fillId="0" borderId="0" xfId="1" applyFill="1"/>
    <xf numFmtId="0" fontId="5" fillId="8" borderId="1" xfId="6" applyFill="1"/>
    <xf numFmtId="0" fontId="0" fillId="0" borderId="0" xfId="0" applyFill="1" applyAlignment="1">
      <alignment horizontal="center" vertical="center" textRotation="255"/>
    </xf>
    <xf numFmtId="0" fontId="0" fillId="0" borderId="0" xfId="0" applyFill="1" applyAlignment="1">
      <alignment horizontal="center" vertical="center" textRotation="255" wrapText="1"/>
    </xf>
    <xf numFmtId="0" fontId="0" fillId="0" borderId="0" xfId="7" applyFont="1" applyFill="1" applyBorder="1" applyAlignment="1">
      <alignment vertical="center"/>
    </xf>
    <xf numFmtId="0" fontId="0" fillId="0" borderId="0" xfId="7" applyFont="1" applyFill="1" applyBorder="1" applyAlignment="1">
      <alignment horizontal="center" vertical="center"/>
    </xf>
    <xf numFmtId="0" fontId="0" fillId="0" borderId="0" xfId="0" applyFill="1" applyBorder="1"/>
    <xf numFmtId="0" fontId="5" fillId="3" borderId="21" xfId="6" applyFill="1" applyBorder="1"/>
    <xf numFmtId="0" fontId="5" fillId="3" borderId="22" xfId="6" applyFill="1" applyBorder="1"/>
    <xf numFmtId="0" fontId="5" fillId="3" borderId="23" xfId="6" applyFill="1" applyBorder="1"/>
    <xf numFmtId="0" fontId="1" fillId="4" borderId="4" xfId="3" applyBorder="1"/>
    <xf numFmtId="0" fontId="1" fillId="4" borderId="6" xfId="3" applyBorder="1"/>
    <xf numFmtId="0" fontId="5" fillId="8" borderId="21" xfId="6" applyFill="1" applyBorder="1" applyAlignment="1">
      <alignment vertical="center"/>
    </xf>
    <xf numFmtId="0" fontId="5" fillId="8" borderId="23" xfId="6" applyFill="1" applyBorder="1" applyAlignment="1">
      <alignment vertical="center"/>
    </xf>
    <xf numFmtId="0" fontId="1" fillId="7" borderId="4" xfId="5" applyBorder="1"/>
    <xf numFmtId="0" fontId="1" fillId="7" borderId="5" xfId="5" applyBorder="1"/>
    <xf numFmtId="0" fontId="1" fillId="7" borderId="6" xfId="5" applyBorder="1"/>
    <xf numFmtId="0" fontId="1" fillId="7" borderId="7" xfId="5" applyBorder="1"/>
    <xf numFmtId="0" fontId="9" fillId="0" borderId="0" xfId="9" applyFill="1"/>
    <xf numFmtId="0" fontId="0" fillId="0" borderId="0" xfId="0" applyAlignment="1">
      <alignment wrapText="1"/>
    </xf>
    <xf numFmtId="0" fontId="5" fillId="3" borderId="18" xfId="6" applyFill="1" applyBorder="1"/>
    <xf numFmtId="0" fontId="0" fillId="0" borderId="0" xfId="0" applyBorder="1"/>
    <xf numFmtId="0" fontId="6" fillId="2" borderId="0" xfId="1" applyFont="1" applyAlignment="1">
      <alignment horizontal="center" wrapText="1"/>
    </xf>
    <xf numFmtId="0" fontId="0" fillId="6" borderId="9" xfId="0" applyFill="1"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19" xfId="0" applyFill="1" applyBorder="1" applyAlignment="1">
      <alignment horizontal="center"/>
    </xf>
    <xf numFmtId="0" fontId="0" fillId="0" borderId="20" xfId="0" applyBorder="1" applyAlignment="1">
      <alignment horizontal="center"/>
    </xf>
    <xf numFmtId="0" fontId="1" fillId="0" borderId="0" xfId="4" applyFill="1" applyBorder="1"/>
    <xf numFmtId="14" fontId="1" fillId="0" borderId="0" xfId="4" applyNumberFormat="1" applyFill="1" applyBorder="1"/>
    <xf numFmtId="0" fontId="1" fillId="0" borderId="0" xfId="4" applyFill="1" applyBorder="1" applyAlignment="1">
      <alignment horizontal="center"/>
    </xf>
    <xf numFmtId="0" fontId="1" fillId="0" borderId="0" xfId="5" applyFill="1" applyBorder="1"/>
    <xf numFmtId="0" fontId="1" fillId="10" borderId="0" xfId="8" applyAlignment="1">
      <alignment horizontal="center" vertical="center"/>
    </xf>
    <xf numFmtId="0" fontId="1" fillId="4" borderId="2" xfId="3" applyBorder="1"/>
    <xf numFmtId="0" fontId="1" fillId="0" borderId="0" xfId="8" applyFill="1" applyAlignment="1">
      <alignment horizontal="center" vertical="center"/>
    </xf>
    <xf numFmtId="0" fontId="1" fillId="0" borderId="0" xfId="3" applyFill="1" applyBorder="1"/>
    <xf numFmtId="0" fontId="0" fillId="0" borderId="0" xfId="3" applyFont="1" applyFill="1" applyBorder="1"/>
    <xf numFmtId="0" fontId="1" fillId="3" borderId="0" xfId="2" applyBorder="1"/>
    <xf numFmtId="0" fontId="1" fillId="3" borderId="4" xfId="2" applyBorder="1" applyAlignment="1">
      <alignment horizontal="center"/>
    </xf>
    <xf numFmtId="0" fontId="1" fillId="3" borderId="5" xfId="2" applyBorder="1"/>
    <xf numFmtId="0" fontId="1" fillId="3" borderId="6" xfId="2" applyBorder="1" applyAlignment="1">
      <alignment horizontal="center"/>
    </xf>
    <xf numFmtId="0" fontId="1" fillId="3" borderId="11" xfId="2" applyBorder="1"/>
    <xf numFmtId="0" fontId="1" fillId="3" borderId="7" xfId="2" applyBorder="1"/>
    <xf numFmtId="0" fontId="10" fillId="0" borderId="0" xfId="7" applyFont="1" applyFill="1" applyBorder="1"/>
    <xf numFmtId="0" fontId="1" fillId="0" borderId="0" xfId="2" applyFill="1" applyBorder="1" applyAlignment="1">
      <alignment horizontal="center"/>
    </xf>
    <xf numFmtId="0" fontId="1" fillId="0" borderId="0" xfId="2" applyFill="1" applyBorder="1"/>
    <xf numFmtId="0" fontId="1" fillId="3" borderId="10" xfId="2" applyBorder="1"/>
    <xf numFmtId="0" fontId="1" fillId="3" borderId="3" xfId="2" applyBorder="1"/>
    <xf numFmtId="0" fontId="1" fillId="3" borderId="2" xfId="2" applyBorder="1" applyAlignment="1">
      <alignment horizontal="center"/>
    </xf>
    <xf numFmtId="0" fontId="1" fillId="5" borderId="11" xfId="4" applyFont="1" applyBorder="1"/>
    <xf numFmtId="0" fontId="1" fillId="7" borderId="21" xfId="5" applyBorder="1"/>
    <xf numFmtId="0" fontId="1" fillId="7" borderId="23" xfId="5" applyBorder="1"/>
    <xf numFmtId="0" fontId="1" fillId="7" borderId="4" xfId="5" applyBorder="1" applyAlignment="1">
      <alignment wrapText="1"/>
    </xf>
    <xf numFmtId="0" fontId="0" fillId="7" borderId="5" xfId="5" applyFont="1" applyBorder="1" applyAlignment="1">
      <alignment wrapText="1"/>
    </xf>
    <xf numFmtId="0" fontId="0" fillId="6" borderId="9" xfId="0" applyFill="1" applyBorder="1"/>
    <xf numFmtId="0" fontId="0" fillId="4" borderId="4" xfId="3" applyFont="1" applyBorder="1" applyProtection="1"/>
    <xf numFmtId="0" fontId="1" fillId="4" borderId="0" xfId="3" applyBorder="1" applyProtection="1"/>
    <xf numFmtId="0" fontId="0" fillId="4" borderId="0" xfId="3" applyFont="1" applyBorder="1" applyProtection="1"/>
    <xf numFmtId="0" fontId="1" fillId="4" borderId="5" xfId="3" applyBorder="1" applyProtection="1"/>
    <xf numFmtId="0" fontId="1" fillId="4" borderId="11" xfId="3" applyBorder="1" applyProtection="1"/>
    <xf numFmtId="0" fontId="0" fillId="4" borderId="11" xfId="3" applyFont="1" applyBorder="1" applyProtection="1"/>
    <xf numFmtId="0" fontId="1" fillId="4" borderId="7" xfId="3" applyBorder="1" applyProtection="1"/>
    <xf numFmtId="0" fontId="0" fillId="7" borderId="19" xfId="5" applyFont="1" applyBorder="1" applyProtection="1">
      <protection locked="0"/>
    </xf>
    <xf numFmtId="0" fontId="0" fillId="7" borderId="20" xfId="5" applyFont="1" applyBorder="1" applyProtection="1">
      <protection locked="0"/>
    </xf>
    <xf numFmtId="0" fontId="1" fillId="7" borderId="4" xfId="5" applyBorder="1" applyProtection="1">
      <protection locked="0"/>
    </xf>
    <xf numFmtId="0" fontId="1" fillId="7" borderId="5" xfId="5" applyBorder="1" applyProtection="1">
      <protection locked="0"/>
    </xf>
    <xf numFmtId="0" fontId="0" fillId="7" borderId="4" xfId="5" applyFont="1" applyBorder="1" applyProtection="1">
      <protection locked="0"/>
    </xf>
    <xf numFmtId="0" fontId="0" fillId="7" borderId="5" xfId="5" applyFont="1" applyBorder="1" applyProtection="1">
      <protection locked="0"/>
    </xf>
    <xf numFmtId="0" fontId="1" fillId="7" borderId="6" xfId="5" applyBorder="1" applyProtection="1">
      <protection locked="0"/>
    </xf>
    <xf numFmtId="0" fontId="1" fillId="7" borderId="7" xfId="5" applyBorder="1" applyProtection="1">
      <protection locked="0"/>
    </xf>
    <xf numFmtId="0" fontId="1" fillId="5" borderId="0" xfId="4" applyBorder="1" applyAlignment="1" applyProtection="1">
      <alignment horizontal="center"/>
      <protection locked="0"/>
    </xf>
    <xf numFmtId="0" fontId="1" fillId="5" borderId="5" xfId="4" applyBorder="1" applyAlignment="1" applyProtection="1">
      <alignment horizontal="center"/>
      <protection locked="0"/>
    </xf>
    <xf numFmtId="0" fontId="1" fillId="5" borderId="7" xfId="4" applyBorder="1" applyAlignment="1" applyProtection="1">
      <alignment horizontal="center"/>
      <protection locked="0"/>
    </xf>
    <xf numFmtId="14" fontId="1" fillId="5" borderId="0" xfId="4" applyNumberFormat="1" applyBorder="1" applyAlignment="1" applyProtection="1">
      <alignment horizontal="center"/>
      <protection locked="0"/>
    </xf>
    <xf numFmtId="0" fontId="0" fillId="3" borderId="4" xfId="2" applyFont="1" applyBorder="1" applyProtection="1">
      <protection locked="0"/>
    </xf>
    <xf numFmtId="0" fontId="0" fillId="3" borderId="0" xfId="2" applyFont="1" applyBorder="1" applyProtection="1">
      <protection locked="0"/>
    </xf>
    <xf numFmtId="14" fontId="0" fillId="3" borderId="0" xfId="2" applyNumberFormat="1" applyFont="1" applyBorder="1" applyProtection="1">
      <protection locked="0"/>
    </xf>
    <xf numFmtId="0" fontId="0" fillId="3" borderId="5" xfId="2" applyFont="1" applyBorder="1" applyProtection="1">
      <protection locked="0"/>
    </xf>
    <xf numFmtId="14" fontId="1" fillId="3" borderId="0" xfId="2" applyNumberFormat="1" applyBorder="1" applyProtection="1">
      <protection locked="0"/>
    </xf>
    <xf numFmtId="0" fontId="1" fillId="3" borderId="4" xfId="2" applyBorder="1" applyProtection="1">
      <protection locked="0"/>
    </xf>
    <xf numFmtId="0" fontId="1" fillId="3" borderId="0" xfId="2" applyBorder="1" applyProtection="1">
      <protection locked="0"/>
    </xf>
    <xf numFmtId="0" fontId="1" fillId="3" borderId="5" xfId="2" applyBorder="1" applyProtection="1">
      <protection locked="0"/>
    </xf>
    <xf numFmtId="0" fontId="1" fillId="3" borderId="6" xfId="2" applyBorder="1" applyProtection="1">
      <protection locked="0"/>
    </xf>
    <xf numFmtId="0" fontId="1" fillId="3" borderId="11" xfId="2" applyBorder="1" applyProtection="1">
      <protection locked="0"/>
    </xf>
    <xf numFmtId="0" fontId="1" fillId="3" borderId="7" xfId="2" applyBorder="1" applyProtection="1">
      <protection locked="0"/>
    </xf>
    <xf numFmtId="0" fontId="5" fillId="8" borderId="21" xfId="6" applyFill="1" applyBorder="1"/>
    <xf numFmtId="0" fontId="5" fillId="8" borderId="23" xfId="6" applyFill="1" applyBorder="1"/>
    <xf numFmtId="0" fontId="8" fillId="0" borderId="0" xfId="7" applyFont="1" applyFill="1" applyBorder="1" applyAlignment="1">
      <alignment horizontal="center" vertical="center"/>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5" fillId="13" borderId="23" xfId="6" applyFill="1" applyBorder="1"/>
    <xf numFmtId="0" fontId="1" fillId="4" borderId="21" xfId="3" applyBorder="1"/>
    <xf numFmtId="0" fontId="1" fillId="4" borderId="22" xfId="3" applyBorder="1"/>
    <xf numFmtId="0" fontId="1" fillId="4" borderId="5" xfId="3" applyBorder="1"/>
    <xf numFmtId="0" fontId="1" fillId="0" borderId="0" xfId="8" applyFill="1" applyBorder="1" applyAlignment="1">
      <alignment horizontal="center" vertical="center"/>
    </xf>
    <xf numFmtId="0" fontId="0" fillId="0" borderId="0" xfId="0" applyAlignment="1"/>
    <xf numFmtId="14" fontId="8" fillId="0" borderId="0" xfId="7" applyNumberFormat="1" applyFont="1" applyFill="1" applyBorder="1" applyAlignment="1">
      <alignment horizontal="center" vertical="center"/>
    </xf>
    <xf numFmtId="14" fontId="0" fillId="0" borderId="0" xfId="0" applyNumberFormat="1"/>
    <xf numFmtId="0" fontId="0" fillId="0" borderId="0" xfId="0" applyFill="1" applyBorder="1" applyAlignment="1"/>
    <xf numFmtId="0" fontId="1" fillId="4" borderId="0" xfId="3"/>
    <xf numFmtId="0" fontId="2" fillId="0" borderId="0" xfId="1" applyFill="1" applyBorder="1" applyAlignment="1">
      <alignment vertical="center" wrapText="1"/>
    </xf>
    <xf numFmtId="14" fontId="8" fillId="0" borderId="9" xfId="7" applyNumberFormat="1" applyFont="1" applyFill="1" applyBorder="1" applyAlignment="1">
      <alignment horizontal="center" vertical="center"/>
    </xf>
    <xf numFmtId="2" fontId="0" fillId="0" borderId="0" xfId="0" applyNumberFormat="1"/>
    <xf numFmtId="2" fontId="8" fillId="0" borderId="0" xfId="7" applyNumberFormat="1" applyFont="1" applyFill="1" applyBorder="1" applyAlignment="1">
      <alignment horizontal="center" vertical="center"/>
    </xf>
    <xf numFmtId="0" fontId="1" fillId="3" borderId="4" xfId="2" applyBorder="1"/>
    <xf numFmtId="0" fontId="1" fillId="3" borderId="6" xfId="2" applyBorder="1"/>
    <xf numFmtId="0" fontId="1" fillId="8" borderId="27" xfId="12" applyBorder="1" applyAlignment="1"/>
    <xf numFmtId="0" fontId="1" fillId="8" borderId="5" xfId="12" applyBorder="1" applyAlignment="1"/>
    <xf numFmtId="14" fontId="1" fillId="3" borderId="0" xfId="2" applyNumberFormat="1" applyBorder="1"/>
    <xf numFmtId="0" fontId="1" fillId="8" borderId="5" xfId="12" applyBorder="1"/>
    <xf numFmtId="0" fontId="1" fillId="8" borderId="7" xfId="12" applyBorder="1"/>
    <xf numFmtId="0" fontId="1" fillId="3" borderId="25" xfId="2" applyBorder="1"/>
    <xf numFmtId="0" fontId="1" fillId="3" borderId="26" xfId="2" applyBorder="1"/>
    <xf numFmtId="0" fontId="1" fillId="7" borderId="5" xfId="5" applyBorder="1" applyAlignment="1" applyProtection="1">
      <protection locked="0"/>
    </xf>
    <xf numFmtId="0" fontId="1" fillId="7" borderId="7" xfId="5" applyBorder="1" applyAlignment="1" applyProtection="1">
      <protection locked="0"/>
    </xf>
    <xf numFmtId="0" fontId="5" fillId="4" borderId="21" xfId="6" applyFill="1" applyBorder="1"/>
    <xf numFmtId="2" fontId="5" fillId="4" borderId="23" xfId="6" applyNumberFormat="1" applyFill="1" applyBorder="1"/>
    <xf numFmtId="2" fontId="1" fillId="5" borderId="5" xfId="4" applyNumberFormat="1" applyBorder="1" applyAlignment="1" applyProtection="1">
      <alignment horizontal="center"/>
      <protection locked="0"/>
    </xf>
    <xf numFmtId="0" fontId="5" fillId="8" borderId="9" xfId="6" applyFill="1" applyBorder="1" applyAlignment="1"/>
    <xf numFmtId="0" fontId="1" fillId="4" borderId="19" xfId="3" applyBorder="1"/>
    <xf numFmtId="0" fontId="1" fillId="4" borderId="20" xfId="3" applyBorder="1"/>
    <xf numFmtId="0" fontId="1" fillId="4" borderId="21" xfId="3" applyBorder="1" applyAlignment="1">
      <alignment horizontal="center" vertical="center"/>
    </xf>
    <xf numFmtId="0" fontId="1" fillId="4" borderId="23" xfId="3" applyBorder="1" applyAlignment="1">
      <alignment horizontal="center" vertical="center"/>
    </xf>
    <xf numFmtId="14" fontId="1" fillId="4" borderId="7" xfId="3" applyNumberFormat="1" applyBorder="1" applyAlignment="1">
      <alignment horizontal="left" vertical="top"/>
    </xf>
    <xf numFmtId="0" fontId="0" fillId="4" borderId="5" xfId="3" applyFont="1" applyBorder="1"/>
    <xf numFmtId="0" fontId="8" fillId="0" borderId="0" xfId="7" applyFont="1" applyFill="1" applyBorder="1" applyAlignment="1">
      <alignment vertical="center" wrapText="1"/>
    </xf>
    <xf numFmtId="14" fontId="0" fillId="0" borderId="0" xfId="0" applyNumberFormat="1" applyFill="1" applyBorder="1" applyAlignment="1"/>
    <xf numFmtId="0" fontId="0" fillId="0" borderId="9" xfId="0" applyBorder="1"/>
    <xf numFmtId="14" fontId="0" fillId="0" borderId="9" xfId="0" applyNumberFormat="1" applyBorder="1"/>
    <xf numFmtId="0" fontId="0" fillId="13" borderId="5" xfId="0" applyFill="1" applyBorder="1"/>
    <xf numFmtId="0" fontId="0" fillId="13" borderId="7" xfId="0" applyFill="1" applyBorder="1"/>
    <xf numFmtId="0" fontId="0" fillId="15" borderId="6" xfId="0" applyFill="1" applyBorder="1" applyAlignment="1"/>
    <xf numFmtId="14" fontId="1" fillId="4" borderId="32" xfId="3" applyNumberFormat="1" applyBorder="1"/>
    <xf numFmtId="0" fontId="0" fillId="4" borderId="32" xfId="3" applyFont="1" applyBorder="1"/>
    <xf numFmtId="0" fontId="0" fillId="4" borderId="7" xfId="3" applyFont="1" applyBorder="1"/>
    <xf numFmtId="0" fontId="0" fillId="0" borderId="0" xfId="0" applyBorder="1" applyAlignment="1">
      <alignment horizontal="center" vertical="center"/>
    </xf>
    <xf numFmtId="0" fontId="8" fillId="0" borderId="0" xfId="7" applyFont="1" applyFill="1" applyBorder="1" applyAlignment="1">
      <alignment vertical="center"/>
    </xf>
    <xf numFmtId="0" fontId="0" fillId="0" borderId="7" xfId="0" applyBorder="1"/>
    <xf numFmtId="0" fontId="0" fillId="0" borderId="6" xfId="0" applyBorder="1"/>
    <xf numFmtId="0" fontId="0" fillId="0" borderId="5" xfId="0" applyBorder="1"/>
    <xf numFmtId="0" fontId="0" fillId="0" borderId="4" xfId="0" applyBorder="1"/>
    <xf numFmtId="0" fontId="0" fillId="0" borderId="0" xfId="0"/>
    <xf numFmtId="0" fontId="0" fillId="0" borderId="0" xfId="0" applyFill="1"/>
    <xf numFmtId="0" fontId="0" fillId="0" borderId="0" xfId="0" applyFill="1" applyBorder="1"/>
    <xf numFmtId="0" fontId="0" fillId="0" borderId="0" xfId="3" applyFont="1" applyFill="1" applyBorder="1"/>
    <xf numFmtId="0" fontId="10" fillId="0" borderId="26" xfId="10" applyBorder="1"/>
    <xf numFmtId="0" fontId="5" fillId="4" borderId="21" xfId="6" applyFont="1" applyFill="1" applyBorder="1"/>
    <xf numFmtId="0" fontId="5" fillId="4" borderId="22" xfId="6" applyFont="1" applyFill="1" applyBorder="1"/>
    <xf numFmtId="0" fontId="5" fillId="4" borderId="23" xfId="6" applyFont="1" applyFill="1" applyBorder="1"/>
    <xf numFmtId="0" fontId="1" fillId="5" borderId="4" xfId="4" applyFont="1" applyBorder="1"/>
    <xf numFmtId="0" fontId="1" fillId="5" borderId="0" xfId="4" applyFont="1" applyBorder="1"/>
    <xf numFmtId="0" fontId="1" fillId="5" borderId="5" xfId="4" applyFont="1" applyBorder="1"/>
    <xf numFmtId="0" fontId="1" fillId="5" borderId="6" xfId="4" applyFont="1" applyBorder="1"/>
    <xf numFmtId="0" fontId="1" fillId="5" borderId="7" xfId="4" applyFont="1" applyBorder="1"/>
    <xf numFmtId="0" fontId="1" fillId="5" borderId="4" xfId="4" applyBorder="1" applyProtection="1"/>
    <xf numFmtId="0" fontId="0" fillId="5" borderId="0" xfId="4" applyFont="1" applyBorder="1" applyAlignment="1" applyProtection="1">
      <alignment horizontal="center"/>
      <protection locked="0"/>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1" fillId="4" borderId="0" xfId="3" applyBorder="1"/>
    <xf numFmtId="14" fontId="1" fillId="4" borderId="0" xfId="3" applyNumberFormat="1" applyBorder="1"/>
    <xf numFmtId="0" fontId="1" fillId="4" borderId="32" xfId="3" applyBorder="1"/>
    <xf numFmtId="0" fontId="1" fillId="4" borderId="4" xfId="3" applyBorder="1" applyAlignment="1">
      <alignment horizontal="center"/>
    </xf>
    <xf numFmtId="0" fontId="1" fillId="4" borderId="0" xfId="3" applyBorder="1" applyAlignment="1">
      <alignment horizontal="center"/>
    </xf>
    <xf numFmtId="0" fontId="1" fillId="4" borderId="5" xfId="3" applyBorder="1" applyAlignment="1">
      <alignment horizontal="center"/>
    </xf>
    <xf numFmtId="0" fontId="1" fillId="4" borderId="5" xfId="3" applyBorder="1"/>
    <xf numFmtId="0" fontId="1" fillId="4" borderId="6" xfId="3" applyBorder="1" applyAlignment="1">
      <alignment horizontal="center"/>
    </xf>
    <xf numFmtId="0" fontId="1" fillId="4" borderId="32" xfId="3" applyBorder="1" applyAlignment="1">
      <alignment horizontal="center"/>
    </xf>
    <xf numFmtId="0" fontId="1" fillId="4" borderId="7" xfId="3" applyBorder="1"/>
    <xf numFmtId="0" fontId="10" fillId="9" borderId="9" xfId="10" applyFill="1" applyBorder="1"/>
    <xf numFmtId="0" fontId="1" fillId="0" borderId="0" xfId="8" applyFill="1" applyBorder="1" applyAlignment="1">
      <alignment horizontal="center" vertical="center"/>
    </xf>
    <xf numFmtId="0" fontId="0" fillId="0" borderId="0" xfId="0" applyFill="1" applyBorder="1" applyAlignment="1"/>
    <xf numFmtId="14" fontId="0" fillId="0" borderId="0" xfId="0" applyNumberFormat="1" applyFill="1" applyBorder="1"/>
    <xf numFmtId="0" fontId="0" fillId="4" borderId="0" xfId="3" applyFont="1" applyBorder="1"/>
    <xf numFmtId="0" fontId="1" fillId="8" borderId="5" xfId="12" applyBorder="1" applyAlignment="1"/>
    <xf numFmtId="0" fontId="0" fillId="4" borderId="4" xfId="3" applyFont="1" applyBorder="1" applyAlignment="1">
      <alignment horizontal="center"/>
    </xf>
    <xf numFmtId="0" fontId="0" fillId="4" borderId="0" xfId="3" applyFont="1" applyBorder="1" applyAlignment="1">
      <alignment horizontal="center"/>
    </xf>
    <xf numFmtId="0" fontId="0" fillId="7" borderId="5" xfId="5" applyFont="1" applyBorder="1" applyAlignment="1" applyProtection="1">
      <protection locked="0"/>
    </xf>
    <xf numFmtId="0" fontId="10" fillId="0" borderId="25" xfId="10" applyBorder="1" applyAlignment="1"/>
    <xf numFmtId="0" fontId="0" fillId="15" borderId="4" xfId="0" applyFill="1" applyBorder="1" applyAlignment="1"/>
    <xf numFmtId="0" fontId="2" fillId="0" borderId="0" xfId="1" applyFill="1" applyBorder="1" applyAlignment="1">
      <alignment vertical="center"/>
    </xf>
    <xf numFmtId="0" fontId="1" fillId="16" borderId="25" xfId="13" applyBorder="1"/>
    <xf numFmtId="0" fontId="1" fillId="16" borderId="27" xfId="13" applyBorder="1"/>
    <xf numFmtId="0" fontId="0" fillId="4" borderId="5" xfId="3" quotePrefix="1" applyFont="1" applyBorder="1"/>
    <xf numFmtId="0" fontId="10" fillId="0" borderId="0" xfId="10" applyFill="1" applyBorder="1"/>
    <xf numFmtId="0" fontId="10" fillId="9" borderId="27" xfId="10" applyFill="1" applyBorder="1"/>
    <xf numFmtId="0" fontId="12" fillId="0" borderId="0" xfId="11" applyFill="1" applyBorder="1" applyAlignment="1">
      <alignment vertical="center"/>
    </xf>
    <xf numFmtId="0" fontId="10" fillId="9" borderId="26" xfId="10" applyFill="1" applyBorder="1"/>
    <xf numFmtId="49" fontId="1" fillId="4" borderId="0" xfId="3" applyNumberFormat="1" applyBorder="1" applyAlignment="1">
      <alignment horizontal="center"/>
    </xf>
    <xf numFmtId="49" fontId="1" fillId="4" borderId="0" xfId="3" applyNumberFormat="1" applyBorder="1"/>
    <xf numFmtId="49" fontId="1" fillId="4" borderId="32" xfId="3" applyNumberFormat="1" applyBorder="1"/>
    <xf numFmtId="49" fontId="0" fillId="4" borderId="0" xfId="3" applyNumberFormat="1" applyFont="1" applyBorder="1" applyAlignment="1">
      <alignment horizontal="center"/>
    </xf>
    <xf numFmtId="0" fontId="0" fillId="5" borderId="0" xfId="4" applyNumberFormat="1" applyFont="1" applyBorder="1" applyAlignment="1" applyProtection="1">
      <alignment horizontal="center"/>
      <protection locked="0"/>
    </xf>
    <xf numFmtId="0" fontId="1" fillId="5" borderId="6" xfId="4" applyBorder="1" applyProtection="1"/>
    <xf numFmtId="2" fontId="1" fillId="5" borderId="7" xfId="4" applyNumberFormat="1" applyBorder="1" applyAlignment="1" applyProtection="1">
      <alignment horizontal="center"/>
      <protection locked="0"/>
    </xf>
    <xf numFmtId="0" fontId="0" fillId="0" borderId="0" xfId="0" applyFill="1" applyBorder="1" applyAlignment="1">
      <alignment wrapText="1"/>
    </xf>
    <xf numFmtId="0" fontId="0" fillId="9" borderId="35" xfId="7" applyFont="1" applyBorder="1"/>
    <xf numFmtId="0" fontId="5" fillId="13" borderId="5" xfId="0" applyFont="1" applyFill="1" applyBorder="1" applyAlignment="1"/>
    <xf numFmtId="0" fontId="5" fillId="4" borderId="22" xfId="6" applyFill="1" applyBorder="1"/>
    <xf numFmtId="0" fontId="5" fillId="9" borderId="22" xfId="6" applyFill="1" applyBorder="1"/>
    <xf numFmtId="0" fontId="5" fillId="9" borderId="23" xfId="6" applyFill="1" applyBorder="1"/>
    <xf numFmtId="0" fontId="0" fillId="5" borderId="5" xfId="4" applyFont="1" applyBorder="1" applyAlignment="1" applyProtection="1">
      <alignment horizontal="center"/>
      <protection locked="0"/>
    </xf>
    <xf numFmtId="14" fontId="1" fillId="5" borderId="32" xfId="4" applyNumberFormat="1" applyBorder="1" applyAlignment="1" applyProtection="1">
      <alignment horizontal="center"/>
      <protection locked="0"/>
    </xf>
    <xf numFmtId="0" fontId="0" fillId="5" borderId="32" xfId="4" applyNumberFormat="1" applyFont="1" applyBorder="1" applyAlignment="1" applyProtection="1">
      <alignment horizontal="center"/>
      <protection locked="0"/>
    </xf>
    <xf numFmtId="0" fontId="0" fillId="5" borderId="32" xfId="4" applyFont="1" applyBorder="1" applyAlignment="1" applyProtection="1">
      <alignment horizontal="center"/>
      <protection locked="0"/>
    </xf>
    <xf numFmtId="0" fontId="1" fillId="5" borderId="32" xfId="4" applyBorder="1" applyAlignment="1" applyProtection="1">
      <alignment horizontal="center"/>
      <protection locked="0"/>
    </xf>
    <xf numFmtId="0" fontId="1" fillId="9" borderId="36" xfId="7" applyBorder="1" applyProtection="1">
      <protection locked="0"/>
    </xf>
    <xf numFmtId="0" fontId="0" fillId="9" borderId="37" xfId="7" applyFont="1" applyBorder="1" applyAlignment="1"/>
    <xf numFmtId="0" fontId="1" fillId="7" borderId="9" xfId="5" applyBorder="1" applyAlignment="1">
      <alignment horizontal="center"/>
    </xf>
    <xf numFmtId="0" fontId="5" fillId="11" borderId="9" xfId="0" applyFont="1" applyFill="1" applyBorder="1" applyAlignment="1">
      <alignment horizontal="center"/>
    </xf>
    <xf numFmtId="0" fontId="0" fillId="9" borderId="2" xfId="7" applyFont="1" applyBorder="1" applyAlignment="1">
      <alignment horizontal="center" vertical="center" wrapText="1"/>
    </xf>
    <xf numFmtId="0" fontId="0" fillId="9" borderId="10" xfId="7" applyFont="1" applyBorder="1" applyAlignment="1">
      <alignment horizontal="center" vertical="center" wrapText="1"/>
    </xf>
    <xf numFmtId="0" fontId="0" fillId="9" borderId="3" xfId="7" applyFont="1" applyBorder="1" applyAlignment="1">
      <alignment horizontal="center" vertical="center" wrapText="1"/>
    </xf>
    <xf numFmtId="0" fontId="0" fillId="9" borderId="6" xfId="7" applyFont="1" applyBorder="1" applyAlignment="1">
      <alignment horizontal="center" vertical="center" wrapText="1"/>
    </xf>
    <xf numFmtId="0" fontId="0" fillId="9" borderId="11" xfId="7" applyFont="1" applyBorder="1" applyAlignment="1">
      <alignment horizontal="center" vertical="center" wrapText="1"/>
    </xf>
    <xf numFmtId="0" fontId="0" fillId="9" borderId="7" xfId="7" applyFont="1" applyBorder="1" applyAlignment="1">
      <alignment horizontal="center" vertical="center" wrapText="1"/>
    </xf>
    <xf numFmtId="0" fontId="0" fillId="9" borderId="29" xfId="7" applyFont="1" applyBorder="1" applyAlignment="1">
      <alignment horizontal="center"/>
    </xf>
    <xf numFmtId="0" fontId="0" fillId="9" borderId="30" xfId="7" applyFont="1" applyBorder="1" applyAlignment="1">
      <alignment horizontal="center"/>
    </xf>
    <xf numFmtId="0" fontId="0" fillId="9" borderId="31" xfId="7" applyFont="1" applyBorder="1" applyAlignment="1">
      <alignment horizontal="center"/>
    </xf>
    <xf numFmtId="0" fontId="0" fillId="9" borderId="4" xfId="7" applyFont="1" applyBorder="1" applyAlignment="1">
      <alignment horizontal="center" vertical="center" wrapText="1"/>
    </xf>
    <xf numFmtId="0" fontId="0" fillId="9" borderId="0" xfId="7" applyFont="1" applyBorder="1" applyAlignment="1">
      <alignment horizontal="center" vertical="center" wrapText="1"/>
    </xf>
    <xf numFmtId="0" fontId="0" fillId="9" borderId="5" xfId="7" applyFont="1" applyBorder="1" applyAlignment="1">
      <alignment horizontal="center" vertical="center" wrapText="1"/>
    </xf>
    <xf numFmtId="0" fontId="2" fillId="2" borderId="9" xfId="1" applyBorder="1" applyAlignment="1">
      <alignment horizontal="center"/>
    </xf>
    <xf numFmtId="0" fontId="0" fillId="9" borderId="9" xfId="7" applyFont="1" applyBorder="1" applyAlignment="1">
      <alignment horizontal="center" wrapText="1"/>
    </xf>
    <xf numFmtId="0" fontId="1" fillId="3" borderId="9" xfId="2" applyBorder="1" applyAlignment="1">
      <alignment horizontal="center"/>
    </xf>
    <xf numFmtId="0" fontId="2" fillId="2" borderId="25" xfId="1" applyBorder="1" applyAlignment="1">
      <alignment horizontal="center"/>
    </xf>
    <xf numFmtId="0" fontId="2" fillId="2" borderId="27" xfId="1" applyBorder="1" applyAlignment="1">
      <alignment horizontal="center"/>
    </xf>
    <xf numFmtId="0" fontId="8" fillId="9" borderId="2" xfId="7" applyFont="1" applyBorder="1" applyAlignment="1">
      <alignment horizontal="center" vertical="center"/>
    </xf>
    <xf numFmtId="0" fontId="8" fillId="9" borderId="10" xfId="7" applyFont="1" applyBorder="1" applyAlignment="1">
      <alignment horizontal="center" vertical="center"/>
    </xf>
    <xf numFmtId="0" fontId="8" fillId="9" borderId="3" xfId="7" applyFont="1" applyBorder="1" applyAlignment="1">
      <alignment horizontal="center" vertical="center"/>
    </xf>
    <xf numFmtId="0" fontId="8" fillId="9" borderId="6" xfId="7" applyFont="1" applyBorder="1" applyAlignment="1">
      <alignment horizontal="center" vertical="center"/>
    </xf>
    <xf numFmtId="0" fontId="8" fillId="9" borderId="11" xfId="7" applyFont="1" applyBorder="1" applyAlignment="1">
      <alignment horizontal="center" vertical="center"/>
    </xf>
    <xf numFmtId="0" fontId="8" fillId="9" borderId="7" xfId="7" applyFont="1" applyBorder="1" applyAlignment="1">
      <alignment horizontal="center" vertical="center"/>
    </xf>
    <xf numFmtId="0" fontId="6" fillId="2" borderId="0" xfId="1" applyFont="1" applyAlignment="1">
      <alignment horizontal="center" vertical="top" wrapText="1"/>
    </xf>
    <xf numFmtId="0" fontId="2" fillId="2" borderId="0" xfId="1" applyAlignment="1">
      <alignment horizontal="center" vertical="top" wrapText="1"/>
    </xf>
    <xf numFmtId="0" fontId="6" fillId="2" borderId="25" xfId="1" applyFont="1" applyBorder="1" applyAlignment="1">
      <alignment horizontal="center"/>
    </xf>
    <xf numFmtId="0" fontId="6" fillId="2" borderId="26" xfId="1" applyFont="1" applyBorder="1" applyAlignment="1">
      <alignment horizontal="center"/>
    </xf>
    <xf numFmtId="0" fontId="6" fillId="2" borderId="27" xfId="1" applyFont="1" applyBorder="1" applyAlignment="1">
      <alignment horizontal="center"/>
    </xf>
    <xf numFmtId="0" fontId="0" fillId="9" borderId="32" xfId="7" applyFont="1" applyBorder="1" applyAlignment="1">
      <alignment horizontal="center" vertical="center" wrapText="1"/>
    </xf>
    <xf numFmtId="0" fontId="2" fillId="2" borderId="0" xfId="1" applyAlignment="1">
      <alignment horizontal="center"/>
    </xf>
    <xf numFmtId="0" fontId="2" fillId="2" borderId="0" xfId="1" applyAlignment="1">
      <alignment horizontal="center" vertical="center" wrapText="1"/>
    </xf>
    <xf numFmtId="0" fontId="8" fillId="9" borderId="13" xfId="7" applyFont="1" applyBorder="1" applyAlignment="1">
      <alignment horizontal="center" vertical="center"/>
    </xf>
    <xf numFmtId="0" fontId="8" fillId="9" borderId="12" xfId="7" applyFont="1" applyBorder="1" applyAlignment="1">
      <alignment horizontal="center" vertical="center"/>
    </xf>
    <xf numFmtId="0" fontId="8" fillId="9" borderId="14" xfId="7" applyFont="1" applyBorder="1" applyAlignment="1">
      <alignment horizontal="center" vertical="center"/>
    </xf>
    <xf numFmtId="0" fontId="8" fillId="9" borderId="15" xfId="7" applyFont="1" applyBorder="1" applyAlignment="1">
      <alignment horizontal="center" vertical="center"/>
    </xf>
    <xf numFmtId="0" fontId="8" fillId="9" borderId="16" xfId="7" applyFont="1" applyBorder="1" applyAlignment="1">
      <alignment horizontal="center" vertical="center"/>
    </xf>
    <xf numFmtId="0" fontId="8" fillId="9" borderId="17" xfId="7" applyFont="1" applyBorder="1" applyAlignment="1">
      <alignment horizontal="center" vertical="center"/>
    </xf>
    <xf numFmtId="0" fontId="2" fillId="2" borderId="25" xfId="1" applyBorder="1" applyAlignment="1">
      <alignment horizontal="center" vertical="center"/>
    </xf>
    <xf numFmtId="0" fontId="2" fillId="2" borderId="26" xfId="1" applyBorder="1" applyAlignment="1">
      <alignment horizontal="center" vertical="center"/>
    </xf>
    <xf numFmtId="0" fontId="2" fillId="2" borderId="27" xfId="1" applyBorder="1" applyAlignment="1">
      <alignment horizontal="center" vertical="center"/>
    </xf>
    <xf numFmtId="0" fontId="2" fillId="2" borderId="4" xfId="1" applyBorder="1" applyAlignment="1">
      <alignment horizontal="center" vertical="top" wrapText="1"/>
    </xf>
    <xf numFmtId="0" fontId="2" fillId="2" borderId="28" xfId="1" applyBorder="1" applyAlignment="1">
      <alignment horizontal="center" vertical="center"/>
    </xf>
    <xf numFmtId="0" fontId="2" fillId="2" borderId="0" xfId="1" applyAlignment="1">
      <alignment horizontal="center" vertical="top"/>
    </xf>
    <xf numFmtId="0" fontId="2" fillId="2" borderId="2" xfId="1" applyBorder="1" applyAlignment="1">
      <alignment horizontal="left" vertical="center"/>
    </xf>
    <xf numFmtId="0" fontId="2" fillId="2" borderId="10" xfId="1" applyBorder="1" applyAlignment="1">
      <alignment horizontal="left" vertical="center"/>
    </xf>
    <xf numFmtId="0" fontId="2" fillId="2" borderId="3" xfId="1" applyBorder="1" applyAlignment="1">
      <alignment horizontal="left" vertical="center"/>
    </xf>
    <xf numFmtId="0" fontId="2" fillId="2" borderId="6" xfId="1" applyBorder="1" applyAlignment="1">
      <alignment horizontal="left" vertical="center"/>
    </xf>
    <xf numFmtId="0" fontId="2" fillId="2" borderId="11" xfId="1" applyBorder="1" applyAlignment="1">
      <alignment horizontal="left" vertical="center"/>
    </xf>
    <xf numFmtId="0" fontId="2" fillId="2" borderId="7" xfId="1" applyBorder="1" applyAlignment="1">
      <alignment horizontal="left" vertical="center"/>
    </xf>
    <xf numFmtId="0" fontId="0" fillId="0" borderId="4" xfId="0" applyFill="1" applyBorder="1" applyAlignment="1">
      <alignment horizontal="center" vertical="center"/>
    </xf>
    <xf numFmtId="0" fontId="2" fillId="2" borderId="25" xfId="1" applyBorder="1" applyAlignment="1">
      <alignment horizontal="left" vertical="center"/>
    </xf>
    <xf numFmtId="0" fontId="2" fillId="2" borderId="26" xfId="1" applyBorder="1" applyAlignment="1">
      <alignment horizontal="left" vertical="center"/>
    </xf>
    <xf numFmtId="0" fontId="2" fillId="2" borderId="27" xfId="1" applyBorder="1" applyAlignment="1">
      <alignment horizontal="left" vertical="center"/>
    </xf>
    <xf numFmtId="0" fontId="0" fillId="0" borderId="0" xfId="0" applyBorder="1" applyAlignment="1">
      <alignment horizontal="center" vertical="center"/>
    </xf>
    <xf numFmtId="0" fontId="8" fillId="9" borderId="25" xfId="7" applyFont="1" applyBorder="1" applyAlignment="1">
      <alignment horizontal="center" vertical="center"/>
    </xf>
    <xf numFmtId="0" fontId="8" fillId="9" borderId="26" xfId="7" applyFont="1" applyBorder="1" applyAlignment="1">
      <alignment horizontal="center" vertical="center"/>
    </xf>
    <xf numFmtId="0" fontId="8" fillId="9" borderId="27" xfId="7" applyFont="1" applyBorder="1" applyAlignment="1">
      <alignment horizontal="center" vertical="center"/>
    </xf>
    <xf numFmtId="0" fontId="2" fillId="2" borderId="4" xfId="1" applyBorder="1" applyAlignment="1">
      <alignment horizontal="left" vertical="center"/>
    </xf>
    <xf numFmtId="0" fontId="2" fillId="2" borderId="0" xfId="1" applyBorder="1" applyAlignment="1">
      <alignment horizontal="left" vertical="center"/>
    </xf>
    <xf numFmtId="0" fontId="2" fillId="2" borderId="5" xfId="1" applyBorder="1" applyAlignment="1">
      <alignment horizontal="left" vertical="center"/>
    </xf>
    <xf numFmtId="0" fontId="2" fillId="2" borderId="32" xfId="1" applyBorder="1" applyAlignment="1">
      <alignment horizontal="left" vertical="center"/>
    </xf>
    <xf numFmtId="0" fontId="8" fillId="9" borderId="13" xfId="7" applyFont="1" applyBorder="1" applyAlignment="1">
      <alignment horizontal="center" vertical="center" wrapText="1"/>
    </xf>
    <xf numFmtId="0" fontId="8" fillId="9" borderId="12" xfId="7" applyFont="1" applyBorder="1" applyAlignment="1">
      <alignment horizontal="center" vertical="center" wrapText="1"/>
    </xf>
    <xf numFmtId="0" fontId="8" fillId="9" borderId="14" xfId="7" applyFont="1" applyBorder="1" applyAlignment="1">
      <alignment horizontal="center" vertical="center" wrapText="1"/>
    </xf>
    <xf numFmtId="0" fontId="8" fillId="9" borderId="33" xfId="7" applyFont="1" applyBorder="1" applyAlignment="1">
      <alignment horizontal="center" vertical="center" wrapText="1"/>
    </xf>
    <xf numFmtId="0" fontId="8" fillId="9" borderId="0" xfId="7" applyFont="1" applyBorder="1" applyAlignment="1">
      <alignment horizontal="center" vertical="center" wrapText="1"/>
    </xf>
    <xf numFmtId="0" fontId="8" fillId="9" borderId="34" xfId="7" applyFont="1" applyBorder="1" applyAlignment="1">
      <alignment horizontal="center" vertical="center" wrapText="1"/>
    </xf>
    <xf numFmtId="0" fontId="8" fillId="9" borderId="15" xfId="7" applyFont="1" applyBorder="1" applyAlignment="1">
      <alignment horizontal="center" vertical="center" wrapText="1"/>
    </xf>
    <xf numFmtId="0" fontId="8" fillId="9" borderId="16" xfId="7" applyFont="1" applyBorder="1" applyAlignment="1">
      <alignment horizontal="center" vertical="center" wrapText="1"/>
    </xf>
    <xf numFmtId="0" fontId="8" fillId="9" borderId="17" xfId="7" applyFont="1" applyBorder="1" applyAlignment="1">
      <alignment horizontal="center" vertical="center" wrapText="1"/>
    </xf>
    <xf numFmtId="0" fontId="0" fillId="0" borderId="4" xfId="0" applyBorder="1" applyAlignment="1">
      <alignment horizontal="center" vertical="center"/>
    </xf>
    <xf numFmtId="0" fontId="2" fillId="2" borderId="18" xfId="1" applyBorder="1" applyAlignment="1">
      <alignment horizontal="center" vertical="center" wrapText="1"/>
    </xf>
    <xf numFmtId="0" fontId="2" fillId="2" borderId="20" xfId="1" applyBorder="1" applyAlignment="1">
      <alignment horizontal="center" vertical="center" wrapText="1"/>
    </xf>
    <xf numFmtId="0" fontId="8" fillId="9" borderId="25" xfId="7" applyFont="1" applyBorder="1" applyAlignment="1">
      <alignment horizontal="center" vertical="center" wrapText="1"/>
    </xf>
    <xf numFmtId="0" fontId="8" fillId="9" borderId="26" xfId="7" applyFont="1" applyBorder="1" applyAlignment="1">
      <alignment horizontal="center" vertical="center" wrapText="1"/>
    </xf>
    <xf numFmtId="0" fontId="8" fillId="9" borderId="27" xfId="7" applyFont="1" applyBorder="1" applyAlignment="1">
      <alignment horizontal="center" vertical="center" wrapText="1"/>
    </xf>
    <xf numFmtId="0" fontId="8" fillId="9" borderId="2" xfId="7" applyFont="1" applyBorder="1" applyAlignment="1">
      <alignment horizontal="center" vertical="center" wrapText="1"/>
    </xf>
    <xf numFmtId="0" fontId="8" fillId="9" borderId="10" xfId="7" applyFont="1" applyBorder="1" applyAlignment="1">
      <alignment horizontal="center" vertical="center" wrapText="1"/>
    </xf>
    <xf numFmtId="0" fontId="8" fillId="9" borderId="3" xfId="7" applyFont="1" applyBorder="1" applyAlignment="1">
      <alignment horizontal="center" vertical="center" wrapText="1"/>
    </xf>
    <xf numFmtId="0" fontId="8" fillId="9" borderId="4" xfId="7" applyFont="1" applyBorder="1" applyAlignment="1">
      <alignment horizontal="center" vertical="center" wrapText="1"/>
    </xf>
    <xf numFmtId="0" fontId="8" fillId="9" borderId="5" xfId="7" applyFont="1" applyBorder="1" applyAlignment="1">
      <alignment horizontal="center" vertical="center" wrapText="1"/>
    </xf>
    <xf numFmtId="0" fontId="8" fillId="9" borderId="32" xfId="7" applyFont="1" applyBorder="1" applyAlignment="1">
      <alignment horizontal="center" vertical="center" wrapText="1"/>
    </xf>
    <xf numFmtId="0" fontId="8" fillId="9" borderId="7" xfId="7" applyFont="1" applyBorder="1" applyAlignment="1">
      <alignment horizontal="center" vertical="center" wrapText="1"/>
    </xf>
    <xf numFmtId="0" fontId="2" fillId="2" borderId="2" xfId="1" applyBorder="1" applyAlignment="1">
      <alignment horizontal="center" vertical="center" wrapText="1"/>
    </xf>
    <xf numFmtId="0" fontId="2" fillId="2" borderId="10" xfId="1" applyBorder="1" applyAlignment="1">
      <alignment horizontal="center" vertical="center" wrapText="1"/>
    </xf>
    <xf numFmtId="0" fontId="2" fillId="2" borderId="3" xfId="1" applyBorder="1" applyAlignment="1">
      <alignment horizontal="center" vertical="center" wrapText="1"/>
    </xf>
    <xf numFmtId="0" fontId="2" fillId="2" borderId="6" xfId="1" applyBorder="1" applyAlignment="1">
      <alignment horizontal="center" vertical="center" wrapText="1"/>
    </xf>
    <xf numFmtId="0" fontId="2" fillId="2" borderId="11" xfId="1" applyBorder="1" applyAlignment="1">
      <alignment horizontal="center" vertical="center" wrapText="1"/>
    </xf>
    <xf numFmtId="0" fontId="2" fillId="2" borderId="7" xfId="1" applyBorder="1" applyAlignment="1">
      <alignment horizontal="center" vertical="center" wrapText="1"/>
    </xf>
    <xf numFmtId="0" fontId="8" fillId="9" borderId="6" xfId="7" applyFont="1" applyBorder="1" applyAlignment="1">
      <alignment horizontal="center" vertical="center" wrapText="1"/>
    </xf>
    <xf numFmtId="0" fontId="8" fillId="9" borderId="11" xfId="7" applyFont="1" applyBorder="1" applyAlignment="1">
      <alignment horizontal="center" vertical="center" wrapText="1"/>
    </xf>
    <xf numFmtId="0" fontId="2" fillId="2" borderId="25" xfId="1" applyBorder="1" applyAlignment="1">
      <alignment horizontal="center" vertical="center" wrapText="1"/>
    </xf>
    <xf numFmtId="0" fontId="2" fillId="2" borderId="26" xfId="1" applyBorder="1" applyAlignment="1">
      <alignment horizontal="center" vertical="center" wrapText="1"/>
    </xf>
    <xf numFmtId="0" fontId="2" fillId="2" borderId="27" xfId="1" applyBorder="1" applyAlignment="1">
      <alignment horizontal="center" vertical="center" wrapText="1"/>
    </xf>
    <xf numFmtId="0" fontId="2" fillId="9" borderId="2" xfId="7" applyFont="1" applyBorder="1" applyAlignment="1">
      <alignment horizontal="center" vertical="center" wrapText="1"/>
    </xf>
    <xf numFmtId="0" fontId="2" fillId="9" borderId="10" xfId="7" applyFont="1" applyBorder="1" applyAlignment="1">
      <alignment horizontal="center" vertical="center" wrapText="1"/>
    </xf>
    <xf numFmtId="0" fontId="2" fillId="9" borderId="3" xfId="7" applyFont="1" applyBorder="1" applyAlignment="1">
      <alignment horizontal="center" vertical="center" wrapText="1"/>
    </xf>
    <xf numFmtId="0" fontId="2" fillId="9" borderId="6" xfId="7" applyFont="1" applyBorder="1" applyAlignment="1">
      <alignment horizontal="center" vertical="center" wrapText="1"/>
    </xf>
    <xf numFmtId="0" fontId="2" fillId="9" borderId="11" xfId="7" applyFont="1" applyBorder="1" applyAlignment="1">
      <alignment horizontal="center" vertical="center" wrapText="1"/>
    </xf>
    <xf numFmtId="0" fontId="2" fillId="9" borderId="7" xfId="7" applyFont="1" applyBorder="1" applyAlignment="1">
      <alignment horizontal="center" vertical="center" wrapText="1"/>
    </xf>
    <xf numFmtId="14" fontId="0" fillId="0" borderId="2" xfId="0" applyNumberFormat="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2" fillId="2" borderId="2" xfId="1" applyBorder="1" applyAlignment="1">
      <alignment horizontal="left" vertical="center" wrapText="1"/>
    </xf>
    <xf numFmtId="0" fontId="2" fillId="2" borderId="10" xfId="1" applyBorder="1" applyAlignment="1">
      <alignment horizontal="left" vertical="center" wrapText="1"/>
    </xf>
    <xf numFmtId="0" fontId="2" fillId="2" borderId="3" xfId="1" applyBorder="1" applyAlignment="1">
      <alignment horizontal="left" vertical="center" wrapText="1"/>
    </xf>
    <xf numFmtId="0" fontId="2" fillId="2" borderId="6" xfId="1" applyBorder="1" applyAlignment="1">
      <alignment horizontal="left" vertical="center" wrapText="1"/>
    </xf>
    <xf numFmtId="0" fontId="2" fillId="2" borderId="32" xfId="1" applyBorder="1" applyAlignment="1">
      <alignment horizontal="left" vertical="center" wrapText="1"/>
    </xf>
    <xf numFmtId="0" fontId="2" fillId="2" borderId="7" xfId="1" applyBorder="1" applyAlignment="1">
      <alignment horizontal="left" vertical="center" wrapText="1"/>
    </xf>
    <xf numFmtId="0" fontId="2" fillId="2" borderId="25" xfId="1" applyBorder="1" applyAlignment="1">
      <alignment horizontal="center" wrapText="1"/>
    </xf>
    <xf numFmtId="0" fontId="2" fillId="2" borderId="26" xfId="1" applyBorder="1" applyAlignment="1">
      <alignment horizontal="center" wrapText="1"/>
    </xf>
    <xf numFmtId="0" fontId="2" fillId="2" borderId="27" xfId="1" applyBorder="1" applyAlignment="1">
      <alignment horizontal="center" wrapText="1"/>
    </xf>
    <xf numFmtId="0" fontId="0" fillId="9" borderId="2" xfId="7" applyFont="1" applyBorder="1" applyAlignment="1">
      <alignment horizontal="center" wrapText="1"/>
    </xf>
    <xf numFmtId="0" fontId="0" fillId="9" borderId="10" xfId="7" applyFont="1" applyBorder="1" applyAlignment="1">
      <alignment horizontal="center" wrapText="1"/>
    </xf>
    <xf numFmtId="0" fontId="0" fillId="9" borderId="3" xfId="7" applyFont="1" applyBorder="1" applyAlignment="1">
      <alignment horizontal="center" wrapText="1"/>
    </xf>
    <xf numFmtId="0" fontId="0" fillId="9" borderId="4" xfId="7" applyFont="1" applyBorder="1" applyAlignment="1">
      <alignment horizontal="center" wrapText="1"/>
    </xf>
    <xf numFmtId="0" fontId="0" fillId="9" borderId="0" xfId="7" applyFont="1" applyBorder="1" applyAlignment="1">
      <alignment horizontal="center" wrapText="1"/>
    </xf>
    <xf numFmtId="0" fontId="0" fillId="9" borderId="5" xfId="7" applyFont="1" applyBorder="1" applyAlignment="1">
      <alignment horizontal="center" wrapText="1"/>
    </xf>
    <xf numFmtId="0" fontId="0" fillId="9" borderId="6" xfId="7" applyFont="1" applyBorder="1" applyAlignment="1">
      <alignment horizontal="center" wrapText="1"/>
    </xf>
    <xf numFmtId="0" fontId="0" fillId="9" borderId="11" xfId="7" applyFont="1" applyBorder="1" applyAlignment="1">
      <alignment horizontal="center" wrapText="1"/>
    </xf>
    <xf numFmtId="0" fontId="0" fillId="9" borderId="7" xfId="7" applyFont="1" applyBorder="1" applyAlignment="1">
      <alignment horizontal="center" wrapText="1"/>
    </xf>
    <xf numFmtId="0" fontId="14" fillId="0" borderId="0" xfId="0" applyFont="1" applyAlignment="1">
      <alignment wrapText="1"/>
    </xf>
    <xf numFmtId="0" fontId="15" fillId="0" borderId="0" xfId="0" applyFont="1" applyAlignment="1">
      <alignment wrapText="1"/>
    </xf>
  </cellXfs>
  <cellStyles count="14">
    <cellStyle name="20% - Accent1" xfId="2" builtinId="30"/>
    <cellStyle name="20% - Accent3" xfId="5" builtinId="38"/>
    <cellStyle name="20% - Accent5" xfId="4" builtinId="46"/>
    <cellStyle name="40% - Accent1" xfId="3" builtinId="31"/>
    <cellStyle name="40% - Accent3" xfId="12" builtinId="39"/>
    <cellStyle name="60% - Accent1" xfId="8" builtinId="32"/>
    <cellStyle name="60% - Accent3" xfId="13" builtinId="40"/>
    <cellStyle name="Good" xfId="9" builtinId="26"/>
    <cellStyle name="Heading 3" xfId="10" builtinId="18"/>
    <cellStyle name="Input" xfId="11" builtinId="20"/>
    <cellStyle name="Neutral" xfId="1" builtinId="28"/>
    <cellStyle name="Normal" xfId="0" builtinId="0"/>
    <cellStyle name="Note" xfId="7" builtinId="10"/>
    <cellStyle name="Total" xfId="6" builtinId="25"/>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4184bf8d5bf646d2acbcc4270a417047">
      <tp>
        <v>-1</v>
        <stp/>
        <stp>2181885e-0164-44b1-9f5b-eaf1d79b23c1</stp>
        <tr r="E18" s="1"/>
        <tr r="D42" s="1"/>
        <tr r="D37" s="1"/>
        <tr r="E40" s="1"/>
        <tr r="E42" s="1"/>
        <tr r="D40" s="1"/>
        <tr r="D19" s="1"/>
        <tr r="E33" s="1"/>
        <tr r="E17" s="1"/>
        <tr r="E21" s="1"/>
        <tr r="D25" s="1"/>
        <tr r="D38" s="1"/>
        <tr r="E39" s="1"/>
        <tr r="D36" s="1"/>
        <tr r="E15" s="1"/>
        <tr r="D29" s="1"/>
        <tr r="D26" s="1"/>
        <tr r="D14" s="1"/>
        <tr r="D15" s="1"/>
        <tr r="E34" s="1"/>
        <tr r="D33" s="1"/>
        <tr r="E38" s="1"/>
        <tr r="D30" s="1"/>
        <tr r="E32" s="1"/>
        <tr r="E22" s="1"/>
        <tr r="E35" s="1"/>
        <tr r="E16" s="1"/>
        <tr r="E23" s="1"/>
        <tr r="D23" s="1"/>
        <tr r="E26" s="1"/>
        <tr r="D18" s="1"/>
        <tr r="E28" s="1"/>
        <tr r="E36" s="1"/>
        <tr r="E29" s="1"/>
        <tr r="D35" s="1"/>
        <tr r="D39" s="1"/>
        <tr r="D32" s="1"/>
        <tr r="E24" s="1"/>
        <tr r="E41" s="1"/>
        <tr r="D16" s="1"/>
        <tr r="D34" s="1"/>
        <tr r="E31" s="1"/>
        <tr r="D13" s="1"/>
        <tr r="D27" s="1"/>
        <tr r="D22" s="1"/>
        <tr r="D24" s="1"/>
        <tr r="D17" s="1"/>
        <tr r="E13" s="1"/>
        <tr r="E25" s="1"/>
        <tr r="E20" s="1"/>
        <tr r="D31" s="1"/>
        <tr r="E27" s="1"/>
        <tr r="D21" s="1"/>
        <tr r="E43" s="1"/>
        <tr r="E19" s="1"/>
        <tr r="D20" s="1"/>
        <tr r="D41" s="1"/>
        <tr r="E37" s="1"/>
        <tr r="E14" s="1"/>
        <tr r="E30" s="1"/>
        <tr r="D28" s="1"/>
        <tr r="D43" s="1"/>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volatileDependencies" Target="volatileDependenci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1</xdr:col>
      <xdr:colOff>11906</xdr:colOff>
      <xdr:row>1</xdr:row>
      <xdr:rowOff>42863</xdr:rowOff>
    </xdr:from>
    <xdr:to>
      <xdr:col>4</xdr:col>
      <xdr:colOff>600075</xdr:colOff>
      <xdr:row>8</xdr:row>
      <xdr:rowOff>157163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9125" y="233363"/>
          <a:ext cx="4874419" cy="1447800"/>
        </a:xfrm>
        <a:prstGeom prst="rect">
          <a:avLst/>
        </a:prstGeom>
        <a:ln w="3175"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371475</xdr:colOff>
          <xdr:row>23</xdr:row>
          <xdr:rowOff>9525</xdr:rowOff>
        </xdr:from>
        <xdr:to>
          <xdr:col>14</xdr:col>
          <xdr:colOff>180975</xdr:colOff>
          <xdr:row>24</xdr:row>
          <xdr:rowOff>57150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Portfolio</a:t>
              </a:r>
            </a:p>
          </xdr:txBody>
        </xdr:sp>
        <xdr:clientData fPrintsWithSheet="0"/>
      </xdr:twoCellAnchor>
    </mc:Choice>
    <mc:Fallback/>
  </mc:AlternateContent>
  <xdr:twoCellAnchor editAs="oneCell">
    <xdr:from>
      <xdr:col>2</xdr:col>
      <xdr:colOff>23813</xdr:colOff>
      <xdr:row>1</xdr:row>
      <xdr:rowOff>47625</xdr:rowOff>
    </xdr:from>
    <xdr:to>
      <xdr:col>3</xdr:col>
      <xdr:colOff>1569245</xdr:colOff>
      <xdr:row>5</xdr:row>
      <xdr:rowOff>37802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7719" y="2714625"/>
          <a:ext cx="2533650" cy="7521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76200</xdr:colOff>
          <xdr:row>26</xdr:row>
          <xdr:rowOff>123825</xdr:rowOff>
        </xdr:from>
        <xdr:to>
          <xdr:col>17</xdr:col>
          <xdr:colOff>676275</xdr:colOff>
          <xdr:row>28</xdr:row>
          <xdr:rowOff>95250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properties</a:t>
              </a:r>
            </a:p>
          </xdr:txBody>
        </xdr:sp>
        <xdr:clientData fPrintsWithSheet="0"/>
      </xdr:twoCellAnchor>
    </mc:Choice>
    <mc:Fallback/>
  </mc:AlternateContent>
  <xdr:twoCellAnchor editAs="oneCell">
    <xdr:from>
      <xdr:col>2</xdr:col>
      <xdr:colOff>171451</xdr:colOff>
      <xdr:row>2</xdr:row>
      <xdr:rowOff>104775</xdr:rowOff>
    </xdr:from>
    <xdr:to>
      <xdr:col>2</xdr:col>
      <xdr:colOff>2705101</xdr:colOff>
      <xdr:row>6</xdr:row>
      <xdr:rowOff>94952</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0651" y="485775"/>
          <a:ext cx="2533650" cy="75217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285750</xdr:colOff>
          <xdr:row>29</xdr:row>
          <xdr:rowOff>28575</xdr:rowOff>
        </xdr:from>
        <xdr:to>
          <xdr:col>12</xdr:col>
          <xdr:colOff>342900</xdr:colOff>
          <xdr:row>30</xdr:row>
          <xdr:rowOff>104775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Apply</a:t>
              </a:r>
            </a:p>
          </xdr:txBody>
        </xdr:sp>
        <xdr:clientData fPrintsWithSheet="0"/>
      </xdr:twoCellAnchor>
    </mc:Choice>
    <mc:Fallback/>
  </mc:AlternateContent>
  <xdr:twoCellAnchor editAs="oneCell">
    <xdr:from>
      <xdr:col>2</xdr:col>
      <xdr:colOff>76200</xdr:colOff>
      <xdr:row>2</xdr:row>
      <xdr:rowOff>114300</xdr:rowOff>
    </xdr:from>
    <xdr:to>
      <xdr:col>3</xdr:col>
      <xdr:colOff>495300</xdr:colOff>
      <xdr:row>6</xdr:row>
      <xdr:rowOff>104477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5400" y="495300"/>
          <a:ext cx="2533650" cy="75217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638175</xdr:colOff>
          <xdr:row>26</xdr:row>
          <xdr:rowOff>85725</xdr:rowOff>
        </xdr:from>
        <xdr:to>
          <xdr:col>9</xdr:col>
          <xdr:colOff>1228725</xdr:colOff>
          <xdr:row>27</xdr:row>
          <xdr:rowOff>104775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4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171450</xdr:colOff>
      <xdr:row>1</xdr:row>
      <xdr:rowOff>76200</xdr:rowOff>
    </xdr:from>
    <xdr:to>
      <xdr:col>3</xdr:col>
      <xdr:colOff>847725</xdr:colOff>
      <xdr:row>5</xdr:row>
      <xdr:rowOff>66377</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050" y="266700"/>
          <a:ext cx="2533650" cy="7521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390525</xdr:colOff>
          <xdr:row>6</xdr:row>
          <xdr:rowOff>66675</xdr:rowOff>
        </xdr:from>
        <xdr:to>
          <xdr:col>12</xdr:col>
          <xdr:colOff>323850</xdr:colOff>
          <xdr:row>8</xdr:row>
          <xdr:rowOff>9525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5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Trades</a:t>
              </a:r>
            </a:p>
          </xdr:txBody>
        </xdr:sp>
        <xdr:clientData fPrintsWithSheet="0"/>
      </xdr:twoCellAnchor>
    </mc:Choice>
    <mc:Fallback/>
  </mc:AlternateContent>
  <xdr:twoCellAnchor editAs="oneCell">
    <xdr:from>
      <xdr:col>2</xdr:col>
      <xdr:colOff>25775</xdr:colOff>
      <xdr:row>0</xdr:row>
      <xdr:rowOff>183217</xdr:rowOff>
    </xdr:from>
    <xdr:to>
      <xdr:col>3</xdr:col>
      <xdr:colOff>1480379</xdr:colOff>
      <xdr:row>4</xdr:row>
      <xdr:rowOff>173394</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6010" y="183217"/>
          <a:ext cx="2531969" cy="7521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85725</xdr:colOff>
          <xdr:row>11</xdr:row>
          <xdr:rowOff>95250</xdr:rowOff>
        </xdr:from>
        <xdr:to>
          <xdr:col>5</xdr:col>
          <xdr:colOff>857250</xdr:colOff>
          <xdr:row>13</xdr:row>
          <xdr:rowOff>76200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6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326571</xdr:colOff>
      <xdr:row>1</xdr:row>
      <xdr:rowOff>118537</xdr:rowOff>
    </xdr:from>
    <xdr:to>
      <xdr:col>4</xdr:col>
      <xdr:colOff>642176</xdr:colOff>
      <xdr:row>5</xdr:row>
      <xdr:rowOff>100635</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51214" y="309037"/>
          <a:ext cx="2506355" cy="744098"/>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200025</xdr:colOff>
          <xdr:row>12</xdr:row>
          <xdr:rowOff>76200</xdr:rowOff>
        </xdr:from>
        <xdr:to>
          <xdr:col>6</xdr:col>
          <xdr:colOff>990600</xdr:colOff>
          <xdr:row>13</xdr:row>
          <xdr:rowOff>152400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7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1</xdr:col>
      <xdr:colOff>217714</xdr:colOff>
      <xdr:row>1</xdr:row>
      <xdr:rowOff>64108</xdr:rowOff>
    </xdr:from>
    <xdr:to>
      <xdr:col>3</xdr:col>
      <xdr:colOff>368673</xdr:colOff>
      <xdr:row>5</xdr:row>
      <xdr:rowOff>46206</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6914" y="254608"/>
          <a:ext cx="2494109" cy="74409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326571</xdr:colOff>
      <xdr:row>1</xdr:row>
      <xdr:rowOff>118537</xdr:rowOff>
    </xdr:from>
    <xdr:to>
      <xdr:col>5</xdr:col>
      <xdr:colOff>65573</xdr:colOff>
      <xdr:row>5</xdr:row>
      <xdr:rowOff>100635</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0971" y="499537"/>
          <a:ext cx="2486965"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66675</xdr:colOff>
          <xdr:row>24</xdr:row>
          <xdr:rowOff>161925</xdr:rowOff>
        </xdr:from>
        <xdr:to>
          <xdr:col>11</xdr:col>
          <xdr:colOff>95250</xdr:colOff>
          <xdr:row>28</xdr:row>
          <xdr:rowOff>9525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8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Creates Analytics Stores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247650</xdr:colOff>
          <xdr:row>30</xdr:row>
          <xdr:rowOff>9525</xdr:rowOff>
        </xdr:from>
        <xdr:to>
          <xdr:col>11</xdr:col>
          <xdr:colOff>152400</xdr:colOff>
          <xdr:row>32</xdr:row>
          <xdr:rowOff>114300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Apply analytics</a:t>
              </a:r>
            </a:p>
          </xdr:txBody>
        </xdr:sp>
        <xdr:clientData fPrintsWithSheet="0"/>
      </xdr:twoCellAnchor>
    </mc:Choice>
    <mc:Fallback/>
  </mc:AlternateContent>
  <xdr:twoCellAnchor editAs="oneCell">
    <xdr:from>
      <xdr:col>2</xdr:col>
      <xdr:colOff>326571</xdr:colOff>
      <xdr:row>2</xdr:row>
      <xdr:rowOff>118537</xdr:rowOff>
    </xdr:from>
    <xdr:to>
      <xdr:col>4</xdr:col>
      <xdr:colOff>1906280</xdr:colOff>
      <xdr:row>6</xdr:row>
      <xdr:rowOff>100635</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45771" y="309037"/>
          <a:ext cx="2494109" cy="744098"/>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326571</xdr:colOff>
      <xdr:row>0</xdr:row>
      <xdr:rowOff>118537</xdr:rowOff>
    </xdr:from>
    <xdr:to>
      <xdr:col>2</xdr:col>
      <xdr:colOff>489436</xdr:colOff>
      <xdr:row>4</xdr:row>
      <xdr:rowOff>100635</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55246" y="309037"/>
          <a:ext cx="2482202"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409575</xdr:colOff>
          <xdr:row>23</xdr:row>
          <xdr:rowOff>114300</xdr:rowOff>
        </xdr:from>
        <xdr:to>
          <xdr:col>2</xdr:col>
          <xdr:colOff>1600200</xdr:colOff>
          <xdr:row>25</xdr:row>
          <xdr:rowOff>95250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Get Aggreation</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200025</xdr:colOff>
          <xdr:row>21</xdr:row>
          <xdr:rowOff>19050</xdr:rowOff>
        </xdr:from>
        <xdr:to>
          <xdr:col>14</xdr:col>
          <xdr:colOff>57150</xdr:colOff>
          <xdr:row>22</xdr:row>
          <xdr:rowOff>161925</xdr:rowOff>
        </xdr:to>
        <xdr:sp macro="" textlink="">
          <xdr:nvSpPr>
            <xdr:cNvPr id="2049" name="Button 1" descr="Create Securities" hidden="1">
              <a:extLst>
                <a:ext uri="{63B3BB69-23CF-44E3-9099-C40C66FF867C}">
                  <a14:compatExt spid="_x0000_s2049"/>
                </a:ext>
                <a:ext uri="{FF2B5EF4-FFF2-40B4-BE49-F238E27FC236}">
                  <a16:creationId xmlns:a16="http://schemas.microsoft.com/office/drawing/2014/main" id="{00000000-0008-0000-0B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Custom Securities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twoCellAnchor editAs="oneCell">
    <xdr:from>
      <xdr:col>2</xdr:col>
      <xdr:colOff>133350</xdr:colOff>
      <xdr:row>1</xdr:row>
      <xdr:rowOff>19050</xdr:rowOff>
    </xdr:from>
    <xdr:to>
      <xdr:col>3</xdr:col>
      <xdr:colOff>1200149</xdr:colOff>
      <xdr:row>5</xdr:row>
      <xdr:rowOff>9227</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57425" y="209550"/>
          <a:ext cx="2533650" cy="75217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4.bin"/><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72978-25F1-43BA-B81A-36656DF392FF}">
  <dimension ref="B3:B9"/>
  <sheetViews>
    <sheetView tabSelected="1" workbookViewId="0">
      <selection activeCell="B5" sqref="B5"/>
    </sheetView>
  </sheetViews>
  <sheetFormatPr defaultRowHeight="15" x14ac:dyDescent="0.25"/>
  <cols>
    <col min="2" max="2" width="104" style="23" customWidth="1"/>
  </cols>
  <sheetData>
    <row r="3" spans="2:2" ht="21" x14ac:dyDescent="0.35">
      <c r="B3" s="337" t="s">
        <v>220</v>
      </c>
    </row>
    <row r="4" spans="2:2" ht="21" x14ac:dyDescent="0.35">
      <c r="B4" s="338"/>
    </row>
    <row r="5" spans="2:2" ht="126" x14ac:dyDescent="0.35">
      <c r="B5" s="338" t="s">
        <v>221</v>
      </c>
    </row>
    <row r="6" spans="2:2" ht="21" x14ac:dyDescent="0.35">
      <c r="B6" s="338"/>
    </row>
    <row r="7" spans="2:2" ht="42" x14ac:dyDescent="0.35">
      <c r="B7" s="338" t="s">
        <v>222</v>
      </c>
    </row>
    <row r="8" spans="2:2" ht="21" x14ac:dyDescent="0.35">
      <c r="B8" s="338"/>
    </row>
    <row r="9" spans="2:2" ht="168" x14ac:dyDescent="0.35">
      <c r="B9" s="338" t="s">
        <v>223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1:U43"/>
  <sheetViews>
    <sheetView zoomScale="80" zoomScaleNormal="80" workbookViewId="0">
      <selection activeCell="M39" sqref="M39"/>
    </sheetView>
  </sheetViews>
  <sheetFormatPr defaultRowHeight="15" x14ac:dyDescent="0.25"/>
  <cols>
    <col min="2" max="2" width="21.28515625" customWidth="1"/>
    <col min="3" max="3" width="17.28515625" customWidth="1"/>
    <col min="4" max="4" width="25.7109375" customWidth="1"/>
    <col min="5" max="5" width="33" customWidth="1"/>
    <col min="12" max="12" width="27.28515625" customWidth="1"/>
    <col min="13" max="13" width="27.85546875" customWidth="1"/>
  </cols>
  <sheetData>
    <row r="11" spans="2:21" x14ac:dyDescent="0.25">
      <c r="B11" s="221" t="s">
        <v>115</v>
      </c>
      <c r="C11" s="222"/>
      <c r="D11" s="222"/>
      <c r="E11" s="223"/>
    </row>
    <row r="13" spans="2:21" x14ac:dyDescent="0.25">
      <c r="B13" s="27" t="s">
        <v>69</v>
      </c>
      <c r="C13" s="1"/>
      <c r="D13" s="186" t="str">
        <f t="array" ref="D13:E43">_xll.fbnSecuritiesLookup("Isin",RawSecuritiesRange)</f>
        <v>Uid</v>
      </c>
      <c r="E13" s="187" t="str">
        <v>CommonName</v>
      </c>
    </row>
    <row r="14" spans="2:21" x14ac:dyDescent="0.25">
      <c r="B14" s="28" t="s">
        <v>12</v>
      </c>
      <c r="D14" s="145" t="str">
        <v>FIGI_BBG00JVK5K09</v>
      </c>
      <c r="E14" s="144" t="str">
        <v>LG EM MK GOV BOND US-KEURAUH</v>
      </c>
    </row>
    <row r="15" spans="2:21" ht="15" customHeight="1" x14ac:dyDescent="0.25">
      <c r="B15" s="29" t="s">
        <v>13</v>
      </c>
      <c r="D15" s="145" t="str">
        <v>FIGI_BBG00DL94N94</v>
      </c>
      <c r="E15" s="144" t="str">
        <v>LG EM MK GOV BOND-ZEURAUNH</v>
      </c>
      <c r="L15" s="215" t="s">
        <v>65</v>
      </c>
      <c r="M15" s="216"/>
      <c r="N15" s="216"/>
      <c r="O15" s="216"/>
      <c r="P15" s="216"/>
      <c r="Q15" s="216"/>
      <c r="R15" s="216"/>
      <c r="S15" s="216"/>
      <c r="T15" s="216"/>
      <c r="U15" s="217"/>
    </row>
    <row r="16" spans="2:21" x14ac:dyDescent="0.25">
      <c r="B16" s="29" t="s">
        <v>14</v>
      </c>
      <c r="D16" s="145" t="str">
        <v>FIGI_BBG00DL98GH6</v>
      </c>
      <c r="E16" s="144" t="str">
        <v>LG EMERGING MARKET-NEURACC</v>
      </c>
      <c r="L16" s="224"/>
      <c r="M16" s="225"/>
      <c r="N16" s="225"/>
      <c r="O16" s="225"/>
      <c r="P16" s="225"/>
      <c r="Q16" s="225"/>
      <c r="R16" s="225"/>
      <c r="S16" s="225"/>
      <c r="T16" s="225"/>
      <c r="U16" s="226"/>
    </row>
    <row r="17" spans="2:21" x14ac:dyDescent="0.25">
      <c r="B17" s="29" t="s">
        <v>15</v>
      </c>
      <c r="D17" s="145" t="str">
        <v>FIGI_BBG00FF56P88</v>
      </c>
      <c r="E17" s="144" t="str">
        <v>LG EMERGING MKTS EQ-ZEURACC</v>
      </c>
      <c r="L17" s="218"/>
      <c r="M17" s="219"/>
      <c r="N17" s="219"/>
      <c r="O17" s="219"/>
      <c r="P17" s="219"/>
      <c r="Q17" s="219"/>
      <c r="R17" s="219"/>
      <c r="S17" s="219"/>
      <c r="T17" s="219"/>
      <c r="U17" s="220"/>
    </row>
    <row r="18" spans="2:21" x14ac:dyDescent="0.25">
      <c r="B18" s="29" t="s">
        <v>16</v>
      </c>
      <c r="D18" s="145" t="str">
        <v>FIGI_BBG00DL98GS4</v>
      </c>
      <c r="E18" s="144" t="str">
        <v>LG EMERGING MARKET-ZGBPACC</v>
      </c>
    </row>
    <row r="19" spans="2:21" x14ac:dyDescent="0.25">
      <c r="B19" s="29" t="s">
        <v>17</v>
      </c>
      <c r="D19" s="145" t="str">
        <v>FIGI_BBG00FB4V5K7</v>
      </c>
      <c r="E19" s="144" t="str">
        <v>LG EUR TREAS BD IN-N EUR ACC</v>
      </c>
    </row>
    <row r="20" spans="2:21" x14ac:dyDescent="0.25">
      <c r="B20" s="29" t="s">
        <v>18</v>
      </c>
      <c r="D20" s="145" t="str">
        <v>FIGI_BBG00FJ5T5T0</v>
      </c>
      <c r="E20" s="144" t="str">
        <v>M&amp;G LUX ABS RET BD-CH GBP AC</v>
      </c>
      <c r="L20" s="215" t="s">
        <v>66</v>
      </c>
      <c r="M20" s="216"/>
      <c r="N20" s="216"/>
      <c r="O20" s="216"/>
      <c r="P20" s="216"/>
      <c r="Q20" s="216"/>
      <c r="R20" s="216"/>
      <c r="S20" s="216"/>
      <c r="T20" s="216"/>
      <c r="U20" s="217"/>
    </row>
    <row r="21" spans="2:21" x14ac:dyDescent="0.25">
      <c r="B21" s="29" t="s">
        <v>19</v>
      </c>
      <c r="D21" s="145" t="str">
        <v>FIGI_BBG00FJ5T5V7</v>
      </c>
      <c r="E21" s="144" t="str">
        <v>M&amp;G LUX ABS RET BD-CH GBP IN</v>
      </c>
      <c r="L21" s="218"/>
      <c r="M21" s="219"/>
      <c r="N21" s="219"/>
      <c r="O21" s="219"/>
      <c r="P21" s="219"/>
      <c r="Q21" s="219"/>
      <c r="R21" s="219"/>
      <c r="S21" s="219"/>
      <c r="T21" s="219"/>
      <c r="U21" s="220"/>
    </row>
    <row r="22" spans="2:21" x14ac:dyDescent="0.25">
      <c r="B22" s="29" t="s">
        <v>20</v>
      </c>
      <c r="D22" s="145" t="str">
        <v>FIGI_BBG001STKP50</v>
      </c>
      <c r="E22" s="144" t="str">
        <v>LEGAL &amp; GENERAL EURO IND-I A</v>
      </c>
    </row>
    <row r="23" spans="2:21" x14ac:dyDescent="0.25">
      <c r="B23" s="29" t="s">
        <v>21</v>
      </c>
      <c r="D23" s="145" t="str">
        <v>FIGI_BBG001SRSD26</v>
      </c>
      <c r="E23" s="144" t="str">
        <v>LEGAL &amp; GENERAL US INDEX-I-A</v>
      </c>
      <c r="L23" s="214" t="s">
        <v>61</v>
      </c>
      <c r="M23" s="214"/>
      <c r="N23" s="214"/>
      <c r="O23" s="214"/>
    </row>
    <row r="24" spans="2:21" x14ac:dyDescent="0.25">
      <c r="B24" s="29" t="s">
        <v>22</v>
      </c>
      <c r="D24" s="145" t="str">
        <v>FIGI_BBG00H15BY93</v>
      </c>
      <c r="E24" s="144" t="str">
        <v>WINTON-DIVERSIFIED UC-USD I</v>
      </c>
      <c r="L24" s="227" t="s">
        <v>63</v>
      </c>
      <c r="M24" s="227"/>
      <c r="N24" s="227"/>
      <c r="O24" s="227"/>
    </row>
    <row r="25" spans="2:21" x14ac:dyDescent="0.25">
      <c r="B25" s="29" t="s">
        <v>23</v>
      </c>
      <c r="D25" s="145" t="str">
        <v>FIGI_BBG00H15BYQ4</v>
      </c>
      <c r="E25" s="144" t="str">
        <v>WINTON-DIVERSIFIED UC-GBP ID</v>
      </c>
      <c r="L25" s="228" t="s">
        <v>62</v>
      </c>
      <c r="M25" s="228"/>
      <c r="N25" s="228"/>
      <c r="O25" s="228"/>
    </row>
    <row r="26" spans="2:21" x14ac:dyDescent="0.25">
      <c r="B26" s="29" t="s">
        <v>24</v>
      </c>
      <c r="D26" s="145" t="str">
        <v>FIGI_BBG007V3VDV6</v>
      </c>
      <c r="E26" s="144" t="str">
        <v>DIVER GRW-FRANCK MULL-A EUR</v>
      </c>
      <c r="L26" s="229" t="s">
        <v>60</v>
      </c>
      <c r="M26" s="229"/>
      <c r="N26" s="229"/>
      <c r="O26" s="229"/>
    </row>
    <row r="27" spans="2:21" x14ac:dyDescent="0.25">
      <c r="B27" s="29" t="s">
        <v>25</v>
      </c>
      <c r="D27" s="145" t="str">
        <v>FIGI_BBG001T0SRJ5</v>
      </c>
      <c r="E27" s="144" t="str">
        <v>LEGAL &amp; GENERAL PAC IDX-I AC</v>
      </c>
      <c r="L27" s="213" t="s">
        <v>64</v>
      </c>
      <c r="M27" s="213"/>
      <c r="N27" s="213"/>
      <c r="O27" s="213"/>
    </row>
    <row r="28" spans="2:21" x14ac:dyDescent="0.25">
      <c r="B28" s="29" t="s">
        <v>26</v>
      </c>
      <c r="D28" s="145" t="str">
        <v>FIGI_BBG001T1P853</v>
      </c>
      <c r="E28" s="144" t="str">
        <v>LEGAL&amp;GENERAL UK 100 INDX-IA</v>
      </c>
      <c r="L28" s="10"/>
      <c r="M28" s="10"/>
      <c r="N28" s="10"/>
      <c r="O28" s="10"/>
    </row>
    <row r="29" spans="2:21" x14ac:dyDescent="0.25">
      <c r="B29" s="29" t="s">
        <v>27</v>
      </c>
      <c r="D29" s="145" t="str">
        <v>FIGI_BBG001T8ZB05</v>
      </c>
      <c r="E29" s="144" t="str">
        <v>LEGAL &amp; GENERAL FXD INT-IA</v>
      </c>
      <c r="L29" s="10"/>
      <c r="M29" s="10"/>
      <c r="N29" s="10"/>
      <c r="O29" s="10"/>
    </row>
    <row r="30" spans="2:21" x14ac:dyDescent="0.25">
      <c r="B30" s="29" t="s">
        <v>28</v>
      </c>
      <c r="D30" s="145" t="str">
        <v>FIGI_BBG001STMN80</v>
      </c>
      <c r="E30" s="144" t="str">
        <v>STANDARD LIFE UK EQ INC UN-A</v>
      </c>
      <c r="L30" s="10"/>
      <c r="M30" s="10"/>
      <c r="N30" s="10"/>
      <c r="O30" s="10"/>
    </row>
    <row r="31" spans="2:21" x14ac:dyDescent="0.25">
      <c r="B31" s="29" t="s">
        <v>29</v>
      </c>
      <c r="D31" s="145" t="str">
        <v>FIGI_BBG001T8ZB14</v>
      </c>
      <c r="E31" s="144" t="str">
        <v>LEGAL&amp;GENERAL INTL INX T-I A</v>
      </c>
      <c r="L31" t="s">
        <v>197</v>
      </c>
      <c r="N31" s="10"/>
      <c r="O31" s="10"/>
    </row>
    <row r="32" spans="2:21" x14ac:dyDescent="0.25">
      <c r="B32" s="29" t="s">
        <v>30</v>
      </c>
      <c r="D32" s="145" t="str">
        <v>FIGI_BBG001V0BND5</v>
      </c>
      <c r="E32" s="144" t="str">
        <v>FIDELITY UK SMALLER COMP-AA</v>
      </c>
      <c r="L32" s="58" t="s">
        <v>73</v>
      </c>
      <c r="M32" s="132" t="s">
        <v>210</v>
      </c>
      <c r="N32" s="10"/>
      <c r="O32" s="10"/>
    </row>
    <row r="33" spans="2:15" x14ac:dyDescent="0.25">
      <c r="B33" s="29" t="s">
        <v>31</v>
      </c>
      <c r="D33" s="145" t="str">
        <v>FIGI_BBG0037S1FF3</v>
      </c>
      <c r="E33" s="144" t="str">
        <v>LEGAL &amp; GENERAL STERLING-I-A</v>
      </c>
      <c r="L33" s="58" t="s">
        <v>135</v>
      </c>
      <c r="M33" s="132" t="s">
        <v>218</v>
      </c>
      <c r="N33" s="10"/>
      <c r="O33" s="10"/>
    </row>
    <row r="34" spans="2:15" x14ac:dyDescent="0.25">
      <c r="B34" s="29" t="s">
        <v>32</v>
      </c>
      <c r="D34" s="145" t="str">
        <v>FIGI_BBG001TJMQW7</v>
      </c>
      <c r="E34" s="144" t="str">
        <v>L&amp;G GLB EMERG MKT INDEX-I IN</v>
      </c>
      <c r="L34" s="58" t="s">
        <v>136</v>
      </c>
      <c r="M34" s="132" t="s">
        <v>219</v>
      </c>
    </row>
    <row r="35" spans="2:15" x14ac:dyDescent="0.25">
      <c r="B35" s="29" t="s">
        <v>33</v>
      </c>
      <c r="D35" s="145" t="str">
        <v>FIGI_BBG0034YPJH7</v>
      </c>
      <c r="E35" s="144" t="str">
        <v>M&amp;G GBL HI YLD BOND GBP-I-A</v>
      </c>
      <c r="L35" s="58" t="s">
        <v>137</v>
      </c>
      <c r="M35" s="133">
        <f ca="1">TODAY()</f>
        <v>43221</v>
      </c>
    </row>
    <row r="36" spans="2:15" x14ac:dyDescent="0.25">
      <c r="B36" s="30" t="s">
        <v>34</v>
      </c>
      <c r="C36" s="1"/>
      <c r="D36" s="145" t="str">
        <v>FIGI_BBG0034YQ817</v>
      </c>
      <c r="E36" s="144" t="str">
        <v>M&amp;G EPISODE GROWTH-GBP-I-A</v>
      </c>
      <c r="L36" s="58" t="s">
        <v>119</v>
      </c>
      <c r="M36" s="133">
        <f ca="1">TODAY()</f>
        <v>43221</v>
      </c>
    </row>
    <row r="37" spans="2:15" x14ac:dyDescent="0.25">
      <c r="B37" s="29" t="s">
        <v>35</v>
      </c>
      <c r="D37" s="145" t="str">
        <v>FIGI_BBG004733G08</v>
      </c>
      <c r="E37" s="144" t="str">
        <v>STNDRD LIFE-GL ABS RETS-P1GA</v>
      </c>
    </row>
    <row r="38" spans="2:15" x14ac:dyDescent="0.25">
      <c r="B38" s="29" t="s">
        <v>36</v>
      </c>
      <c r="D38" s="145" t="str">
        <v>FIGI_BBG004XQG9G3</v>
      </c>
      <c r="E38" s="144" t="str">
        <v>STANDARD LIFE GL SM COMP-P1A</v>
      </c>
    </row>
    <row r="39" spans="2:15" x14ac:dyDescent="0.25">
      <c r="B39" s="29" t="s">
        <v>37</v>
      </c>
      <c r="D39" s="145" t="str">
        <v>FIGI_BBG003BJ6K53</v>
      </c>
      <c r="E39" s="144" t="str">
        <v>FIDELITY SPECIAL SITS-W-ACC</v>
      </c>
    </row>
    <row r="40" spans="2:15" x14ac:dyDescent="0.25">
      <c r="B40" s="29" t="s">
        <v>38</v>
      </c>
      <c r="D40" s="145" t="e">
        <v>#N/A</v>
      </c>
      <c r="E40" s="144" t="e">
        <v>#N/A</v>
      </c>
    </row>
    <row r="41" spans="2:15" x14ac:dyDescent="0.25">
      <c r="B41" s="29" t="s">
        <v>39</v>
      </c>
      <c r="D41" s="145" t="e">
        <v>#N/A</v>
      </c>
      <c r="E41" s="144" t="e">
        <v>#N/A</v>
      </c>
    </row>
    <row r="42" spans="2:15" x14ac:dyDescent="0.25">
      <c r="B42" s="29" t="s">
        <v>40</v>
      </c>
      <c r="D42" s="145" t="e">
        <v>#N/A</v>
      </c>
      <c r="E42" s="144" t="e">
        <v>#N/A</v>
      </c>
    </row>
    <row r="43" spans="2:15" x14ac:dyDescent="0.25">
      <c r="B43" s="31" t="s">
        <v>41</v>
      </c>
      <c r="D43" s="143" t="e">
        <v>#N/A</v>
      </c>
      <c r="E43" s="142" t="e">
        <v>#N/A</v>
      </c>
    </row>
  </sheetData>
  <mergeCells count="8">
    <mergeCell ref="L27:O27"/>
    <mergeCell ref="L23:O23"/>
    <mergeCell ref="L20:U21"/>
    <mergeCell ref="B11:E11"/>
    <mergeCell ref="L15:U17"/>
    <mergeCell ref="L24:O24"/>
    <mergeCell ref="L25:O25"/>
    <mergeCell ref="L26:O2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8:O48"/>
  <sheetViews>
    <sheetView topLeftCell="A4" zoomScale="80" zoomScaleNormal="80" workbookViewId="0">
      <selection activeCell="J15" sqref="I15:J15"/>
    </sheetView>
  </sheetViews>
  <sheetFormatPr defaultRowHeight="15" x14ac:dyDescent="0.25"/>
  <cols>
    <col min="1" max="2" width="11.5703125" customWidth="1"/>
    <col min="3" max="3" width="14.85546875" customWidth="1"/>
    <col min="4" max="4" width="25.7109375" customWidth="1"/>
    <col min="5" max="5" width="19.28515625" customWidth="1"/>
    <col min="6" max="7" width="14.85546875" customWidth="1"/>
    <col min="9" max="9" width="42.85546875" customWidth="1"/>
    <col min="10" max="10" width="36.28515625" customWidth="1"/>
  </cols>
  <sheetData>
    <row r="8" spans="3:10" x14ac:dyDescent="0.25">
      <c r="C8" s="232" t="s">
        <v>76</v>
      </c>
      <c r="D8" s="233"/>
      <c r="E8" s="233"/>
      <c r="F8" s="233"/>
      <c r="G8" s="233"/>
      <c r="H8" s="233"/>
      <c r="I8" s="233"/>
      <c r="J8" s="234"/>
    </row>
    <row r="9" spans="3:10" x14ac:dyDescent="0.25">
      <c r="C9" s="235"/>
      <c r="D9" s="236"/>
      <c r="E9" s="236"/>
      <c r="F9" s="236"/>
      <c r="G9" s="236"/>
      <c r="H9" s="236"/>
      <c r="I9" s="236"/>
      <c r="J9" s="237"/>
    </row>
    <row r="12" spans="3:10" x14ac:dyDescent="0.25">
      <c r="C12" s="240" t="s">
        <v>77</v>
      </c>
      <c r="D12" s="241"/>
      <c r="E12" s="241"/>
      <c r="F12" s="241"/>
      <c r="G12" s="242"/>
      <c r="I12" s="230" t="s">
        <v>5</v>
      </c>
      <c r="J12" s="231"/>
    </row>
    <row r="13" spans="3:10" x14ac:dyDescent="0.25">
      <c r="C13" t="str">
        <f>_xll.fbnPortfoliosAdd_Template()</f>
        <v>OK</v>
      </c>
    </row>
    <row r="14" spans="3:10" ht="15.75" thickBot="1" x14ac:dyDescent="0.3">
      <c r="C14" s="11" t="s">
        <v>6</v>
      </c>
      <c r="D14" s="12" t="s">
        <v>75</v>
      </c>
      <c r="E14" s="12" t="s">
        <v>1</v>
      </c>
      <c r="F14" s="12" t="s">
        <v>7</v>
      </c>
      <c r="G14" s="13" t="s">
        <v>8</v>
      </c>
      <c r="I14" s="89" t="s">
        <v>5</v>
      </c>
      <c r="J14" s="90" t="s">
        <v>51</v>
      </c>
    </row>
    <row r="15" spans="3:10" ht="15.75" thickTop="1" x14ac:dyDescent="0.25">
      <c r="C15" s="78" t="str">
        <f>PortfolioCode</f>
        <v>ID_FirstPortfolio123</v>
      </c>
      <c r="D15" s="79"/>
      <c r="E15" s="80" t="str">
        <f>PortfolioName</f>
        <v>FirstPortfolio</v>
      </c>
      <c r="F15" s="80">
        <f ca="1">TODAY()</f>
        <v>43221</v>
      </c>
      <c r="G15" s="81" t="s">
        <v>102</v>
      </c>
      <c r="I15" s="68"/>
      <c r="J15" s="19"/>
    </row>
    <row r="16" spans="3:10" x14ac:dyDescent="0.25">
      <c r="C16" s="78"/>
      <c r="D16" s="79"/>
      <c r="E16" s="80"/>
      <c r="F16" s="80"/>
      <c r="G16" s="81"/>
      <c r="I16" s="68"/>
      <c r="J16" s="19"/>
    </row>
    <row r="17" spans="3:15" x14ac:dyDescent="0.25">
      <c r="C17" s="78"/>
      <c r="D17" s="79"/>
      <c r="E17" s="80"/>
      <c r="F17" s="80"/>
      <c r="G17" s="81"/>
      <c r="I17" s="68"/>
      <c r="J17" s="19"/>
    </row>
    <row r="18" spans="3:15" x14ac:dyDescent="0.25">
      <c r="C18" s="78"/>
      <c r="D18" s="79"/>
      <c r="E18" s="82"/>
      <c r="F18" s="79"/>
      <c r="G18" s="81"/>
      <c r="I18" s="68"/>
      <c r="J18" s="19"/>
    </row>
    <row r="19" spans="3:15" x14ac:dyDescent="0.25">
      <c r="C19" s="78"/>
      <c r="D19" s="79"/>
      <c r="E19" s="82"/>
      <c r="F19" s="79"/>
      <c r="G19" s="81"/>
      <c r="I19" s="68"/>
      <c r="J19" s="19"/>
    </row>
    <row r="20" spans="3:15" x14ac:dyDescent="0.25">
      <c r="C20" s="78"/>
      <c r="D20" s="79"/>
      <c r="E20" s="82"/>
      <c r="F20" s="79"/>
      <c r="G20" s="81"/>
      <c r="I20" s="68"/>
      <c r="J20" s="19"/>
    </row>
    <row r="21" spans="3:15" x14ac:dyDescent="0.25">
      <c r="C21" s="78"/>
      <c r="D21" s="79"/>
      <c r="E21" s="82"/>
      <c r="F21" s="79"/>
      <c r="G21" s="81"/>
      <c r="I21" s="68"/>
      <c r="J21" s="19"/>
    </row>
    <row r="22" spans="3:15" x14ac:dyDescent="0.25">
      <c r="C22" s="78"/>
      <c r="D22" s="79"/>
      <c r="E22" s="82"/>
      <c r="F22" s="79"/>
      <c r="G22" s="81"/>
      <c r="I22" s="68"/>
      <c r="J22" s="19"/>
      <c r="L22" s="238" t="s">
        <v>82</v>
      </c>
      <c r="M22" s="239"/>
      <c r="N22" s="239"/>
      <c r="O22" s="239"/>
    </row>
    <row r="23" spans="3:15" x14ac:dyDescent="0.25">
      <c r="C23" s="78"/>
      <c r="D23" s="79"/>
      <c r="E23" s="82"/>
      <c r="F23" s="79"/>
      <c r="G23" s="81"/>
      <c r="I23" s="68"/>
      <c r="J23" s="19"/>
      <c r="L23" s="239"/>
      <c r="M23" s="239"/>
      <c r="N23" s="239"/>
      <c r="O23" s="239"/>
    </row>
    <row r="24" spans="3:15" x14ac:dyDescent="0.25">
      <c r="C24" s="78"/>
      <c r="D24" s="79"/>
      <c r="E24" s="82"/>
      <c r="F24" s="79"/>
      <c r="G24" s="81"/>
      <c r="I24" s="68"/>
      <c r="J24" s="19"/>
      <c r="L24" s="239"/>
      <c r="M24" s="239"/>
      <c r="N24" s="239"/>
      <c r="O24" s="239"/>
    </row>
    <row r="25" spans="3:15" x14ac:dyDescent="0.25">
      <c r="C25" s="78"/>
      <c r="D25" s="79"/>
      <c r="E25" s="82"/>
      <c r="F25" s="79"/>
      <c r="G25" s="81"/>
      <c r="I25" s="68"/>
      <c r="J25" s="19"/>
      <c r="L25" s="239"/>
      <c r="M25" s="239"/>
      <c r="N25" s="239"/>
      <c r="O25" s="239"/>
    </row>
    <row r="26" spans="3:15" x14ac:dyDescent="0.25">
      <c r="C26" s="78"/>
      <c r="D26" s="79"/>
      <c r="E26" s="82"/>
      <c r="F26" s="79"/>
      <c r="G26" s="81"/>
      <c r="I26" s="68"/>
      <c r="J26" s="19"/>
      <c r="L26" s="239"/>
      <c r="M26" s="239"/>
      <c r="N26" s="239"/>
      <c r="O26" s="239"/>
    </row>
    <row r="27" spans="3:15" x14ac:dyDescent="0.25">
      <c r="C27" s="78"/>
      <c r="D27" s="79"/>
      <c r="E27" s="82"/>
      <c r="F27" s="79"/>
      <c r="G27" s="81"/>
      <c r="I27" s="68"/>
      <c r="J27" s="19"/>
    </row>
    <row r="28" spans="3:15" x14ac:dyDescent="0.25">
      <c r="C28" s="78"/>
      <c r="D28" s="79"/>
      <c r="E28" s="82"/>
      <c r="F28" s="79"/>
      <c r="G28" s="81"/>
      <c r="I28" s="68"/>
      <c r="J28" s="19"/>
    </row>
    <row r="29" spans="3:15" x14ac:dyDescent="0.25">
      <c r="C29" s="83"/>
      <c r="D29" s="84"/>
      <c r="E29" s="84"/>
      <c r="F29" s="84"/>
      <c r="G29" s="85"/>
      <c r="I29" s="68"/>
      <c r="J29" s="19"/>
    </row>
    <row r="30" spans="3:15" x14ac:dyDescent="0.25">
      <c r="C30" s="83"/>
      <c r="D30" s="84"/>
      <c r="E30" s="84"/>
      <c r="F30" s="84"/>
      <c r="G30" s="85"/>
      <c r="I30" s="68"/>
      <c r="J30" s="19"/>
    </row>
    <row r="31" spans="3:15" x14ac:dyDescent="0.25">
      <c r="C31" s="83"/>
      <c r="D31" s="84"/>
      <c r="E31" s="84"/>
      <c r="F31" s="84"/>
      <c r="G31" s="85"/>
      <c r="I31" s="68"/>
      <c r="J31" s="19"/>
    </row>
    <row r="32" spans="3:15" x14ac:dyDescent="0.25">
      <c r="C32" s="83"/>
      <c r="D32" s="84"/>
      <c r="E32" s="84"/>
      <c r="F32" s="84"/>
      <c r="G32" s="85"/>
      <c r="I32" s="68"/>
      <c r="J32" s="19"/>
    </row>
    <row r="33" spans="3:15" x14ac:dyDescent="0.25">
      <c r="C33" s="83"/>
      <c r="D33" s="84"/>
      <c r="E33" s="84"/>
      <c r="F33" s="84"/>
      <c r="G33" s="85"/>
      <c r="I33" s="68"/>
      <c r="J33" s="19"/>
    </row>
    <row r="34" spans="3:15" x14ac:dyDescent="0.25">
      <c r="C34" s="83"/>
      <c r="D34" s="84"/>
      <c r="E34" s="84"/>
      <c r="F34" s="84"/>
      <c r="G34" s="85"/>
      <c r="I34" s="68"/>
      <c r="J34" s="19"/>
    </row>
    <row r="35" spans="3:15" x14ac:dyDescent="0.25">
      <c r="C35" s="83"/>
      <c r="D35" s="84"/>
      <c r="E35" s="84"/>
      <c r="F35" s="84"/>
      <c r="G35" s="85"/>
      <c r="I35" s="68"/>
      <c r="J35" s="19"/>
    </row>
    <row r="36" spans="3:15" x14ac:dyDescent="0.25">
      <c r="C36" s="83"/>
      <c r="D36" s="84"/>
      <c r="E36" s="84"/>
      <c r="F36" s="84"/>
      <c r="G36" s="85"/>
      <c r="I36" s="68"/>
      <c r="J36" s="19"/>
    </row>
    <row r="37" spans="3:15" x14ac:dyDescent="0.25">
      <c r="C37" s="83"/>
      <c r="D37" s="84"/>
      <c r="E37" s="84"/>
      <c r="F37" s="84"/>
      <c r="G37" s="85"/>
      <c r="I37" s="68"/>
      <c r="J37" s="19"/>
    </row>
    <row r="38" spans="3:15" x14ac:dyDescent="0.25">
      <c r="C38" s="83"/>
      <c r="D38" s="84"/>
      <c r="E38" s="84"/>
      <c r="F38" s="84"/>
      <c r="G38" s="85"/>
      <c r="I38" s="68"/>
      <c r="J38" s="19"/>
    </row>
    <row r="39" spans="3:15" x14ac:dyDescent="0.25">
      <c r="C39" s="83"/>
      <c r="D39" s="84"/>
      <c r="E39" s="84"/>
      <c r="F39" s="84"/>
      <c r="G39" s="85"/>
      <c r="I39" s="68"/>
      <c r="J39" s="19"/>
    </row>
    <row r="40" spans="3:15" x14ac:dyDescent="0.25">
      <c r="C40" s="83"/>
      <c r="D40" s="84"/>
      <c r="E40" s="84"/>
      <c r="F40" s="84"/>
      <c r="G40" s="85"/>
      <c r="I40" s="68"/>
      <c r="J40" s="19"/>
    </row>
    <row r="41" spans="3:15" x14ac:dyDescent="0.25">
      <c r="C41" s="86"/>
      <c r="D41" s="87"/>
      <c r="E41" s="87"/>
      <c r="F41" s="87"/>
      <c r="G41" s="88"/>
      <c r="I41" s="72"/>
      <c r="J41" s="21"/>
    </row>
    <row r="44" spans="3:15" ht="15" customHeight="1" x14ac:dyDescent="0.25">
      <c r="C44" s="215" t="s">
        <v>207</v>
      </c>
      <c r="D44" s="216"/>
      <c r="E44" s="216"/>
      <c r="F44" s="216"/>
      <c r="G44" s="216"/>
      <c r="H44" s="216"/>
      <c r="I44" s="216"/>
      <c r="J44" s="217"/>
      <c r="K44" s="8"/>
      <c r="L44" s="8"/>
      <c r="M44" s="8"/>
      <c r="N44" s="8"/>
      <c r="O44" s="8"/>
    </row>
    <row r="45" spans="3:15" x14ac:dyDescent="0.25">
      <c r="C45" s="224"/>
      <c r="D45" s="225"/>
      <c r="E45" s="225"/>
      <c r="F45" s="225"/>
      <c r="G45" s="225"/>
      <c r="H45" s="225"/>
      <c r="I45" s="225"/>
      <c r="J45" s="226"/>
      <c r="K45" s="8"/>
      <c r="L45" s="8"/>
      <c r="M45" s="8"/>
      <c r="N45" s="8"/>
      <c r="O45" s="8"/>
    </row>
    <row r="46" spans="3:15" x14ac:dyDescent="0.25">
      <c r="C46" s="224"/>
      <c r="D46" s="225"/>
      <c r="E46" s="225"/>
      <c r="F46" s="225"/>
      <c r="G46" s="225"/>
      <c r="H46" s="225"/>
      <c r="I46" s="225"/>
      <c r="J46" s="226"/>
      <c r="K46" s="8"/>
      <c r="L46" s="8"/>
      <c r="M46" s="8"/>
      <c r="N46" s="8"/>
      <c r="O46" s="8"/>
    </row>
    <row r="47" spans="3:15" x14ac:dyDescent="0.25">
      <c r="C47" s="224"/>
      <c r="D47" s="225"/>
      <c r="E47" s="225"/>
      <c r="F47" s="225"/>
      <c r="G47" s="225"/>
      <c r="H47" s="225"/>
      <c r="I47" s="225"/>
      <c r="J47" s="226"/>
      <c r="K47" s="8"/>
      <c r="L47" s="8"/>
      <c r="M47" s="8"/>
      <c r="N47" s="8"/>
      <c r="O47" s="8"/>
    </row>
    <row r="48" spans="3:15" x14ac:dyDescent="0.25">
      <c r="C48" s="218"/>
      <c r="D48" s="243"/>
      <c r="E48" s="243"/>
      <c r="F48" s="243"/>
      <c r="G48" s="243"/>
      <c r="H48" s="243"/>
      <c r="I48" s="243"/>
      <c r="J48" s="220"/>
      <c r="K48" s="8"/>
      <c r="L48" s="8"/>
      <c r="M48" s="8"/>
      <c r="N48" s="8"/>
      <c r="O48" s="8"/>
    </row>
  </sheetData>
  <mergeCells count="5">
    <mergeCell ref="I12:J12"/>
    <mergeCell ref="C8:J9"/>
    <mergeCell ref="L22:O26"/>
    <mergeCell ref="C12:G12"/>
    <mergeCell ref="C44:J4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Createportfolio">
                <anchor moveWithCells="1">
                  <from>
                    <xdr:col>11</xdr:col>
                    <xdr:colOff>371475</xdr:colOff>
                    <xdr:row>23</xdr:row>
                    <xdr:rowOff>9525</xdr:rowOff>
                  </from>
                  <to>
                    <xdr:col>14</xdr:col>
                    <xdr:colOff>180975</xdr:colOff>
                    <xdr:row>24</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5E2CA4-0375-4C4C-A421-FA3FAC008FAF}">
  <sheetPr codeName="Sheet5"/>
  <dimension ref="C9:R49"/>
  <sheetViews>
    <sheetView zoomScale="80" zoomScaleNormal="80" workbookViewId="0">
      <selection activeCell="C16" sqref="C16"/>
    </sheetView>
  </sheetViews>
  <sheetFormatPr defaultRowHeight="15" x14ac:dyDescent="0.25"/>
  <cols>
    <col min="3" max="3" width="42.140625" customWidth="1"/>
    <col min="4" max="4" width="3.42578125" customWidth="1"/>
    <col min="6" max="6" width="11.5703125" customWidth="1"/>
    <col min="7" max="7" width="13.5703125" customWidth="1"/>
    <col min="8" max="8" width="14.140625" customWidth="1"/>
    <col min="9" max="9" width="13.7109375" customWidth="1"/>
    <col min="10" max="10" width="13.85546875" customWidth="1"/>
    <col min="11" max="11" width="5.140625" customWidth="1"/>
    <col min="12" max="12" width="11.28515625" customWidth="1"/>
    <col min="13" max="13" width="3.42578125" customWidth="1"/>
    <col min="14" max="14" width="33.5703125" customWidth="1"/>
    <col min="15" max="15" width="32.28515625" customWidth="1"/>
    <col min="16" max="16" width="3" customWidth="1"/>
    <col min="18" max="18" width="11.28515625" customWidth="1"/>
  </cols>
  <sheetData>
    <row r="9" spans="3:15" ht="15" customHeight="1" x14ac:dyDescent="0.25">
      <c r="C9" s="232" t="s">
        <v>67</v>
      </c>
      <c r="D9" s="233"/>
      <c r="E9" s="233"/>
      <c r="F9" s="233"/>
      <c r="G9" s="233"/>
      <c r="H9" s="233"/>
      <c r="I9" s="234"/>
      <c r="J9" s="8"/>
      <c r="K9" s="8"/>
      <c r="L9" s="8"/>
      <c r="M9" s="8"/>
      <c r="N9" s="8"/>
      <c r="O9" s="8"/>
    </row>
    <row r="10" spans="3:15" ht="15" customHeight="1" x14ac:dyDescent="0.25">
      <c r="C10" s="235"/>
      <c r="D10" s="236"/>
      <c r="E10" s="236"/>
      <c r="F10" s="236"/>
      <c r="G10" s="236"/>
      <c r="H10" s="236"/>
      <c r="I10" s="237"/>
      <c r="J10" s="8"/>
      <c r="K10" s="8"/>
      <c r="L10" s="8"/>
      <c r="M10" s="8"/>
      <c r="N10" s="8"/>
      <c r="O10" s="8"/>
    </row>
    <row r="11" spans="3:15" ht="15" customHeight="1" x14ac:dyDescent="0.25"/>
    <row r="12" spans="3:15" x14ac:dyDescent="0.25">
      <c r="C12" s="26" t="s">
        <v>68</v>
      </c>
      <c r="E12" s="244" t="s">
        <v>56</v>
      </c>
      <c r="F12" s="244"/>
      <c r="G12" s="244"/>
      <c r="H12" s="244"/>
      <c r="I12" s="244"/>
      <c r="J12" s="244"/>
      <c r="K12" s="244"/>
      <c r="L12" s="244"/>
      <c r="N12" s="245" t="s">
        <v>55</v>
      </c>
      <c r="O12" s="245"/>
    </row>
    <row r="13" spans="3:15" x14ac:dyDescent="0.25">
      <c r="C13" s="4"/>
      <c r="E13" t="str">
        <f>_xll.fbnPropertiesAdd_Template()</f>
        <v>OK</v>
      </c>
    </row>
    <row r="14" spans="3:15" ht="15.75" thickBot="1" x14ac:dyDescent="0.3">
      <c r="C14" s="24" t="s">
        <v>42</v>
      </c>
      <c r="E14" s="11" t="s">
        <v>43</v>
      </c>
      <c r="F14" s="12" t="s">
        <v>3</v>
      </c>
      <c r="G14" s="12" t="s">
        <v>1</v>
      </c>
      <c r="H14" s="12" t="s">
        <v>44</v>
      </c>
      <c r="I14" s="12" t="s">
        <v>45</v>
      </c>
      <c r="J14" s="12" t="s">
        <v>46</v>
      </c>
      <c r="K14" s="12" t="s">
        <v>47</v>
      </c>
      <c r="L14" s="13" t="s">
        <v>48</v>
      </c>
      <c r="N14" s="16" t="s">
        <v>54</v>
      </c>
      <c r="O14" s="17" t="s">
        <v>52</v>
      </c>
    </row>
    <row r="15" spans="3:15" ht="15.75" thickTop="1" x14ac:dyDescent="0.25">
      <c r="C15" s="66" t="s">
        <v>217</v>
      </c>
      <c r="E15" s="59" t="str">
        <f>IF(C15="","","Security")</f>
        <v>Security</v>
      </c>
      <c r="F15" s="60" t="str">
        <f t="shared" ref="F15:F43" si="0">IF(C15="","",Scope)</f>
        <v>MyNameSpace1</v>
      </c>
      <c r="G15" s="60" t="str">
        <f t="shared" ref="G15:G18" si="1">IF(C15="","",C15)</f>
        <v>MySecurityClassification1</v>
      </c>
      <c r="H15" s="60" t="str">
        <f t="shared" ref="H15:H18" si="2">IF(C15="","", "TRUE")</f>
        <v>TRUE</v>
      </c>
      <c r="I15" s="60" t="str">
        <f t="shared" ref="I15:I18" si="3">IF(C15="","",C15)</f>
        <v>MySecurityClassification1</v>
      </c>
      <c r="J15" s="61" t="str">
        <f t="shared" ref="J15" si="4">IF(C15="","","default:string")</f>
        <v>default:string</v>
      </c>
      <c r="K15" s="60" t="str">
        <f t="shared" ref="K15:K27" si="5">IF(C15="","","asc")</f>
        <v>asc</v>
      </c>
      <c r="L15" s="62" t="str">
        <f t="shared" ref="L15:L27" si="6">IF(C15="","","Perpetual")</f>
        <v>Perpetual</v>
      </c>
      <c r="N15" s="68"/>
      <c r="O15" s="71"/>
    </row>
    <row r="16" spans="3:15" x14ac:dyDescent="0.25">
      <c r="C16" s="66"/>
      <c r="E16" s="59" t="str">
        <f>IF(C16="","","Security")</f>
        <v/>
      </c>
      <c r="F16" s="60" t="str">
        <f t="shared" si="0"/>
        <v/>
      </c>
      <c r="G16" s="61"/>
      <c r="H16" s="60" t="str">
        <f t="shared" ref="H16" si="7">IF(C16="","", "TRUE")</f>
        <v/>
      </c>
      <c r="I16" s="60" t="str">
        <f t="shared" ref="I16" si="8">IF(C16="","",C16)</f>
        <v/>
      </c>
      <c r="J16" s="61" t="str">
        <f t="shared" ref="J16" si="9">IF(C16="","","default:string")</f>
        <v/>
      </c>
      <c r="K16" s="60" t="str">
        <f t="shared" ref="K16" si="10">IF(C16="","","asc")</f>
        <v/>
      </c>
      <c r="L16" s="62" t="str">
        <f t="shared" ref="L16" si="11">IF(C16="","","Perpetual")</f>
        <v/>
      </c>
      <c r="N16" s="68"/>
      <c r="O16" s="69"/>
    </row>
    <row r="17" spans="3:18" x14ac:dyDescent="0.25">
      <c r="C17" s="66"/>
      <c r="E17" s="59"/>
      <c r="F17" s="60"/>
      <c r="G17" s="60"/>
      <c r="H17" s="60"/>
      <c r="I17" s="60"/>
      <c r="J17" s="61"/>
      <c r="K17" s="60"/>
      <c r="L17" s="62"/>
      <c r="N17" s="68"/>
      <c r="O17" s="69"/>
    </row>
    <row r="18" spans="3:18" x14ac:dyDescent="0.25">
      <c r="C18" s="66"/>
      <c r="E18" s="59" t="str">
        <f t="shared" ref="E18:E43" si="12">IF(C18="","","Security")</f>
        <v/>
      </c>
      <c r="F18" s="60" t="str">
        <f t="shared" si="0"/>
        <v/>
      </c>
      <c r="G18" s="60" t="str">
        <f t="shared" si="1"/>
        <v/>
      </c>
      <c r="H18" s="60" t="str">
        <f t="shared" si="2"/>
        <v/>
      </c>
      <c r="I18" s="60" t="str">
        <f t="shared" si="3"/>
        <v/>
      </c>
      <c r="J18" s="61" t="str">
        <f>IF(C18="","","default:string")</f>
        <v/>
      </c>
      <c r="K18" s="60" t="str">
        <f t="shared" si="5"/>
        <v/>
      </c>
      <c r="L18" s="62" t="str">
        <f t="shared" si="6"/>
        <v/>
      </c>
      <c r="N18" s="70"/>
      <c r="O18" s="69"/>
    </row>
    <row r="19" spans="3:18" x14ac:dyDescent="0.25">
      <c r="C19" s="66"/>
      <c r="E19" s="59" t="str">
        <f t="shared" si="12"/>
        <v/>
      </c>
      <c r="F19" s="60" t="str">
        <f t="shared" si="0"/>
        <v/>
      </c>
      <c r="G19" s="60" t="str">
        <f>IF(C19="","",C19)</f>
        <v/>
      </c>
      <c r="H19" s="60" t="str">
        <f>IF(C19="","", "TRUE")</f>
        <v/>
      </c>
      <c r="I19" s="60" t="str">
        <f>IF(C19="","",C19)</f>
        <v/>
      </c>
      <c r="J19" s="61" t="str">
        <f>IF(C19="","","default:string")</f>
        <v/>
      </c>
      <c r="K19" s="60" t="str">
        <f t="shared" si="5"/>
        <v/>
      </c>
      <c r="L19" s="62" t="str">
        <f>IF(C19="","","Perpetual")</f>
        <v/>
      </c>
      <c r="N19" s="68"/>
      <c r="O19" s="69"/>
    </row>
    <row r="20" spans="3:18" x14ac:dyDescent="0.25">
      <c r="C20" s="66"/>
      <c r="E20" s="59" t="str">
        <f t="shared" si="12"/>
        <v/>
      </c>
      <c r="F20" s="60" t="str">
        <f t="shared" si="0"/>
        <v/>
      </c>
      <c r="G20" s="60" t="str">
        <f t="shared" ref="G20:G27" si="13">IF(C20="","",C20)</f>
        <v/>
      </c>
      <c r="H20" s="60" t="str">
        <f t="shared" ref="H20:H27" si="14">IF(C20="","", "TRUE")</f>
        <v/>
      </c>
      <c r="I20" s="60" t="str">
        <f t="shared" ref="I20:I27" si="15">IF(C20="","",C20)</f>
        <v/>
      </c>
      <c r="J20" s="61" t="str">
        <f t="shared" ref="J20:J27" si="16">IF(C20="","","default:string")</f>
        <v/>
      </c>
      <c r="K20" s="60" t="str">
        <f t="shared" si="5"/>
        <v/>
      </c>
      <c r="L20" s="62" t="str">
        <f t="shared" si="6"/>
        <v/>
      </c>
      <c r="N20" s="68"/>
      <c r="O20" s="71"/>
    </row>
    <row r="21" spans="3:18" x14ac:dyDescent="0.25">
      <c r="C21" s="66"/>
      <c r="E21" s="59" t="str">
        <f t="shared" si="12"/>
        <v/>
      </c>
      <c r="F21" s="60" t="str">
        <f t="shared" si="0"/>
        <v/>
      </c>
      <c r="G21" s="60" t="str">
        <f t="shared" si="13"/>
        <v/>
      </c>
      <c r="H21" s="60" t="str">
        <f t="shared" si="14"/>
        <v/>
      </c>
      <c r="I21" s="60" t="str">
        <f t="shared" si="15"/>
        <v/>
      </c>
      <c r="J21" s="61" t="str">
        <f t="shared" si="16"/>
        <v/>
      </c>
      <c r="K21" s="60" t="str">
        <f t="shared" si="5"/>
        <v/>
      </c>
      <c r="L21" s="62" t="str">
        <f t="shared" si="6"/>
        <v/>
      </c>
      <c r="N21" s="68"/>
      <c r="O21" s="69"/>
    </row>
    <row r="22" spans="3:18" x14ac:dyDescent="0.25">
      <c r="C22" s="66"/>
      <c r="E22" s="59" t="str">
        <f t="shared" si="12"/>
        <v/>
      </c>
      <c r="F22" s="60" t="str">
        <f t="shared" si="0"/>
        <v/>
      </c>
      <c r="G22" s="60" t="str">
        <f t="shared" si="13"/>
        <v/>
      </c>
      <c r="H22" s="60" t="str">
        <f t="shared" si="14"/>
        <v/>
      </c>
      <c r="I22" s="60" t="str">
        <f t="shared" si="15"/>
        <v/>
      </c>
      <c r="J22" s="61" t="str">
        <f t="shared" si="16"/>
        <v/>
      </c>
      <c r="K22" s="60" t="str">
        <f t="shared" si="5"/>
        <v/>
      </c>
      <c r="L22" s="62" t="str">
        <f t="shared" si="6"/>
        <v/>
      </c>
      <c r="N22" s="68"/>
      <c r="O22" s="69"/>
    </row>
    <row r="23" spans="3:18" x14ac:dyDescent="0.25">
      <c r="C23" s="66"/>
      <c r="E23" s="59" t="str">
        <f t="shared" si="12"/>
        <v/>
      </c>
      <c r="F23" s="60" t="str">
        <f t="shared" si="0"/>
        <v/>
      </c>
      <c r="G23" s="60" t="str">
        <f t="shared" si="13"/>
        <v/>
      </c>
      <c r="H23" s="60" t="str">
        <f t="shared" si="14"/>
        <v/>
      </c>
      <c r="I23" s="60" t="str">
        <f t="shared" si="15"/>
        <v/>
      </c>
      <c r="J23" s="61" t="str">
        <f t="shared" si="16"/>
        <v/>
      </c>
      <c r="K23" s="60" t="str">
        <f t="shared" si="5"/>
        <v/>
      </c>
      <c r="L23" s="62" t="str">
        <f t="shared" si="6"/>
        <v/>
      </c>
      <c r="N23" s="68"/>
      <c r="O23" s="69"/>
    </row>
    <row r="24" spans="3:18" x14ac:dyDescent="0.25">
      <c r="C24" s="66"/>
      <c r="E24" s="59" t="str">
        <f t="shared" si="12"/>
        <v/>
      </c>
      <c r="F24" s="60" t="str">
        <f t="shared" si="0"/>
        <v/>
      </c>
      <c r="G24" s="60" t="str">
        <f t="shared" si="13"/>
        <v/>
      </c>
      <c r="H24" s="60" t="str">
        <f t="shared" si="14"/>
        <v/>
      </c>
      <c r="I24" s="60" t="str">
        <f t="shared" si="15"/>
        <v/>
      </c>
      <c r="J24" s="61" t="str">
        <f t="shared" si="16"/>
        <v/>
      </c>
      <c r="K24" s="60" t="str">
        <f t="shared" si="5"/>
        <v/>
      </c>
      <c r="L24" s="62" t="str">
        <f t="shared" si="6"/>
        <v/>
      </c>
      <c r="N24" s="68"/>
      <c r="O24" s="69"/>
    </row>
    <row r="25" spans="3:18" x14ac:dyDescent="0.25">
      <c r="C25" s="66"/>
      <c r="E25" s="59" t="str">
        <f t="shared" si="12"/>
        <v/>
      </c>
      <c r="F25" s="60" t="str">
        <f t="shared" si="0"/>
        <v/>
      </c>
      <c r="G25" s="60" t="str">
        <f t="shared" si="13"/>
        <v/>
      </c>
      <c r="H25" s="60" t="str">
        <f t="shared" si="14"/>
        <v/>
      </c>
      <c r="I25" s="60" t="str">
        <f t="shared" si="15"/>
        <v/>
      </c>
      <c r="J25" s="61" t="str">
        <f t="shared" si="16"/>
        <v/>
      </c>
      <c r="K25" s="60" t="str">
        <f t="shared" si="5"/>
        <v/>
      </c>
      <c r="L25" s="62" t="str">
        <f t="shared" si="6"/>
        <v/>
      </c>
      <c r="N25" s="68"/>
      <c r="O25" s="69"/>
    </row>
    <row r="26" spans="3:18" x14ac:dyDescent="0.25">
      <c r="C26" s="66"/>
      <c r="E26" s="59" t="str">
        <f t="shared" si="12"/>
        <v/>
      </c>
      <c r="F26" s="60" t="str">
        <f t="shared" si="0"/>
        <v/>
      </c>
      <c r="G26" s="60" t="str">
        <f t="shared" si="13"/>
        <v/>
      </c>
      <c r="H26" s="60" t="str">
        <f t="shared" si="14"/>
        <v/>
      </c>
      <c r="I26" s="60" t="str">
        <f t="shared" si="15"/>
        <v/>
      </c>
      <c r="J26" s="61" t="str">
        <f t="shared" si="16"/>
        <v/>
      </c>
      <c r="K26" s="60" t="str">
        <f t="shared" si="5"/>
        <v/>
      </c>
      <c r="L26" s="62" t="str">
        <f t="shared" si="6"/>
        <v/>
      </c>
      <c r="N26" s="68"/>
      <c r="O26" s="69"/>
      <c r="Q26" s="239" t="s">
        <v>58</v>
      </c>
      <c r="R26" s="239"/>
    </row>
    <row r="27" spans="3:18" x14ac:dyDescent="0.25">
      <c r="C27" s="66"/>
      <c r="E27" s="59" t="str">
        <f t="shared" si="12"/>
        <v/>
      </c>
      <c r="F27" s="60" t="str">
        <f t="shared" si="0"/>
        <v/>
      </c>
      <c r="G27" s="60" t="str">
        <f t="shared" si="13"/>
        <v/>
      </c>
      <c r="H27" s="60" t="str">
        <f t="shared" si="14"/>
        <v/>
      </c>
      <c r="I27" s="60" t="str">
        <f t="shared" si="15"/>
        <v/>
      </c>
      <c r="J27" s="61" t="str">
        <f t="shared" si="16"/>
        <v/>
      </c>
      <c r="K27" s="60" t="str">
        <f t="shared" si="5"/>
        <v/>
      </c>
      <c r="L27" s="62" t="str">
        <f t="shared" si="6"/>
        <v/>
      </c>
      <c r="N27" s="68"/>
      <c r="O27" s="69"/>
      <c r="Q27" s="239"/>
      <c r="R27" s="239"/>
    </row>
    <row r="28" spans="3:18" x14ac:dyDescent="0.25">
      <c r="C28" s="66"/>
      <c r="E28" s="59" t="str">
        <f t="shared" si="12"/>
        <v/>
      </c>
      <c r="F28" s="60" t="str">
        <f t="shared" si="0"/>
        <v/>
      </c>
      <c r="G28" s="60" t="str">
        <f t="shared" ref="G28:G42" si="17">IF(C28="","",C28)</f>
        <v/>
      </c>
      <c r="H28" s="60" t="str">
        <f t="shared" ref="H28:H42" si="18">IF(C28="","", "TRUE")</f>
        <v/>
      </c>
      <c r="I28" s="60" t="str">
        <f t="shared" ref="I28:I42" si="19">IF(C28="","",C28)</f>
        <v/>
      </c>
      <c r="J28" s="61" t="str">
        <f t="shared" ref="J28:J42" si="20">IF(C28="","","default:string")</f>
        <v/>
      </c>
      <c r="K28" s="60" t="str">
        <f t="shared" ref="K28:K42" si="21">IF(C28="","","asc")</f>
        <v/>
      </c>
      <c r="L28" s="62" t="str">
        <f t="shared" ref="L28:L42" si="22">IF(C28="","","Perpetual")</f>
        <v/>
      </c>
      <c r="N28" s="68"/>
      <c r="O28" s="69"/>
      <c r="Q28" s="239"/>
      <c r="R28" s="239"/>
    </row>
    <row r="29" spans="3:18" x14ac:dyDescent="0.25">
      <c r="C29" s="66"/>
      <c r="E29" s="59" t="str">
        <f t="shared" si="12"/>
        <v/>
      </c>
      <c r="F29" s="60" t="str">
        <f t="shared" si="0"/>
        <v/>
      </c>
      <c r="G29" s="60" t="str">
        <f t="shared" si="17"/>
        <v/>
      </c>
      <c r="H29" s="60" t="str">
        <f t="shared" si="18"/>
        <v/>
      </c>
      <c r="I29" s="60" t="str">
        <f t="shared" si="19"/>
        <v/>
      </c>
      <c r="J29" s="61" t="str">
        <f t="shared" si="20"/>
        <v/>
      </c>
      <c r="K29" s="60" t="str">
        <f t="shared" si="21"/>
        <v/>
      </c>
      <c r="L29" s="62" t="str">
        <f t="shared" si="22"/>
        <v/>
      </c>
      <c r="N29" s="68"/>
      <c r="O29" s="69"/>
      <c r="Q29" s="239"/>
      <c r="R29" s="239"/>
    </row>
    <row r="30" spans="3:18" x14ac:dyDescent="0.25">
      <c r="C30" s="66"/>
      <c r="E30" s="59" t="str">
        <f t="shared" si="12"/>
        <v/>
      </c>
      <c r="F30" s="60" t="str">
        <f t="shared" si="0"/>
        <v/>
      </c>
      <c r="G30" s="60" t="str">
        <f t="shared" si="17"/>
        <v/>
      </c>
      <c r="H30" s="60" t="str">
        <f t="shared" si="18"/>
        <v/>
      </c>
      <c r="I30" s="60" t="str">
        <f t="shared" si="19"/>
        <v/>
      </c>
      <c r="J30" s="61" t="str">
        <f t="shared" si="20"/>
        <v/>
      </c>
      <c r="K30" s="60" t="str">
        <f t="shared" si="21"/>
        <v/>
      </c>
      <c r="L30" s="62" t="str">
        <f t="shared" si="22"/>
        <v/>
      </c>
      <c r="N30" s="68"/>
      <c r="O30" s="69"/>
    </row>
    <row r="31" spans="3:18" x14ac:dyDescent="0.25">
      <c r="C31" s="66"/>
      <c r="E31" s="59" t="str">
        <f t="shared" si="12"/>
        <v/>
      </c>
      <c r="F31" s="60" t="str">
        <f t="shared" si="0"/>
        <v/>
      </c>
      <c r="G31" s="60" t="str">
        <f t="shared" si="17"/>
        <v/>
      </c>
      <c r="H31" s="60" t="str">
        <f t="shared" si="18"/>
        <v/>
      </c>
      <c r="I31" s="60" t="str">
        <f t="shared" si="19"/>
        <v/>
      </c>
      <c r="J31" s="61" t="str">
        <f t="shared" si="20"/>
        <v/>
      </c>
      <c r="K31" s="60" t="str">
        <f t="shared" si="21"/>
        <v/>
      </c>
      <c r="L31" s="62" t="str">
        <f t="shared" si="22"/>
        <v/>
      </c>
      <c r="N31" s="68"/>
      <c r="O31" s="69"/>
    </row>
    <row r="32" spans="3:18" x14ac:dyDescent="0.25">
      <c r="C32" s="66"/>
      <c r="E32" s="59" t="str">
        <f t="shared" si="12"/>
        <v/>
      </c>
      <c r="F32" s="60" t="str">
        <f t="shared" si="0"/>
        <v/>
      </c>
      <c r="G32" s="60" t="str">
        <f t="shared" si="17"/>
        <v/>
      </c>
      <c r="H32" s="60" t="str">
        <f t="shared" si="18"/>
        <v/>
      </c>
      <c r="I32" s="60" t="str">
        <f t="shared" si="19"/>
        <v/>
      </c>
      <c r="J32" s="61" t="str">
        <f t="shared" si="20"/>
        <v/>
      </c>
      <c r="K32" s="60" t="str">
        <f t="shared" si="21"/>
        <v/>
      </c>
      <c r="L32" s="62" t="str">
        <f t="shared" si="22"/>
        <v/>
      </c>
      <c r="N32" s="68"/>
      <c r="O32" s="69"/>
      <c r="Q32" s="4"/>
      <c r="R32" s="4"/>
    </row>
    <row r="33" spans="3:18" x14ac:dyDescent="0.25">
      <c r="C33" s="66"/>
      <c r="E33" s="59" t="str">
        <f t="shared" si="12"/>
        <v/>
      </c>
      <c r="F33" s="60" t="str">
        <f t="shared" si="0"/>
        <v/>
      </c>
      <c r="G33" s="60" t="str">
        <f t="shared" si="17"/>
        <v/>
      </c>
      <c r="H33" s="60" t="str">
        <f t="shared" si="18"/>
        <v/>
      </c>
      <c r="I33" s="60" t="str">
        <f t="shared" si="19"/>
        <v/>
      </c>
      <c r="J33" s="61" t="str">
        <f t="shared" si="20"/>
        <v/>
      </c>
      <c r="K33" s="60" t="str">
        <f t="shared" si="21"/>
        <v/>
      </c>
      <c r="L33" s="62" t="str">
        <f t="shared" si="22"/>
        <v/>
      </c>
      <c r="N33" s="68"/>
      <c r="O33" s="69"/>
      <c r="Q33" s="4"/>
      <c r="R33" s="4"/>
    </row>
    <row r="34" spans="3:18" x14ac:dyDescent="0.25">
      <c r="C34" s="66"/>
      <c r="E34" s="59" t="str">
        <f t="shared" si="12"/>
        <v/>
      </c>
      <c r="F34" s="60" t="str">
        <f t="shared" si="0"/>
        <v/>
      </c>
      <c r="G34" s="60" t="str">
        <f t="shared" si="17"/>
        <v/>
      </c>
      <c r="H34" s="60" t="str">
        <f t="shared" si="18"/>
        <v/>
      </c>
      <c r="I34" s="60" t="str">
        <f t="shared" si="19"/>
        <v/>
      </c>
      <c r="J34" s="61" t="str">
        <f t="shared" si="20"/>
        <v/>
      </c>
      <c r="K34" s="60" t="str">
        <f t="shared" si="21"/>
        <v/>
      </c>
      <c r="L34" s="62" t="str">
        <f t="shared" si="22"/>
        <v/>
      </c>
      <c r="N34" s="68"/>
      <c r="O34" s="69"/>
      <c r="Q34" s="4"/>
      <c r="R34" s="4"/>
    </row>
    <row r="35" spans="3:18" x14ac:dyDescent="0.25">
      <c r="C35" s="66"/>
      <c r="E35" s="59" t="str">
        <f t="shared" si="12"/>
        <v/>
      </c>
      <c r="F35" s="60" t="str">
        <f t="shared" si="0"/>
        <v/>
      </c>
      <c r="G35" s="60" t="str">
        <f t="shared" si="17"/>
        <v/>
      </c>
      <c r="H35" s="60" t="str">
        <f t="shared" si="18"/>
        <v/>
      </c>
      <c r="I35" s="60" t="str">
        <f t="shared" si="19"/>
        <v/>
      </c>
      <c r="J35" s="61" t="str">
        <f t="shared" si="20"/>
        <v/>
      </c>
      <c r="K35" s="60" t="str">
        <f t="shared" si="21"/>
        <v/>
      </c>
      <c r="L35" s="62" t="str">
        <f t="shared" si="22"/>
        <v/>
      </c>
      <c r="N35" s="68"/>
      <c r="O35" s="69"/>
    </row>
    <row r="36" spans="3:18" x14ac:dyDescent="0.25">
      <c r="C36" s="66"/>
      <c r="E36" s="59" t="str">
        <f t="shared" si="12"/>
        <v/>
      </c>
      <c r="F36" s="60" t="str">
        <f t="shared" si="0"/>
        <v/>
      </c>
      <c r="G36" s="60" t="str">
        <f t="shared" si="17"/>
        <v/>
      </c>
      <c r="H36" s="60" t="str">
        <f t="shared" si="18"/>
        <v/>
      </c>
      <c r="I36" s="60" t="str">
        <f t="shared" si="19"/>
        <v/>
      </c>
      <c r="J36" s="61" t="str">
        <f t="shared" si="20"/>
        <v/>
      </c>
      <c r="K36" s="60" t="str">
        <f t="shared" si="21"/>
        <v/>
      </c>
      <c r="L36" s="62" t="str">
        <f t="shared" si="22"/>
        <v/>
      </c>
      <c r="N36" s="68"/>
      <c r="O36" s="69"/>
    </row>
    <row r="37" spans="3:18" x14ac:dyDescent="0.25">
      <c r="C37" s="66"/>
      <c r="E37" s="59" t="str">
        <f t="shared" si="12"/>
        <v/>
      </c>
      <c r="F37" s="60" t="str">
        <f t="shared" si="0"/>
        <v/>
      </c>
      <c r="G37" s="60" t="str">
        <f t="shared" si="17"/>
        <v/>
      </c>
      <c r="H37" s="60" t="str">
        <f t="shared" si="18"/>
        <v/>
      </c>
      <c r="I37" s="60" t="str">
        <f t="shared" si="19"/>
        <v/>
      </c>
      <c r="J37" s="61" t="str">
        <f t="shared" si="20"/>
        <v/>
      </c>
      <c r="K37" s="60" t="str">
        <f t="shared" si="21"/>
        <v/>
      </c>
      <c r="L37" s="62" t="str">
        <f t="shared" si="22"/>
        <v/>
      </c>
      <c r="N37" s="68"/>
      <c r="O37" s="69"/>
    </row>
    <row r="38" spans="3:18" x14ac:dyDescent="0.25">
      <c r="C38" s="66"/>
      <c r="E38" s="59" t="str">
        <f t="shared" si="12"/>
        <v/>
      </c>
      <c r="F38" s="60" t="str">
        <f t="shared" si="0"/>
        <v/>
      </c>
      <c r="G38" s="60" t="str">
        <f t="shared" si="17"/>
        <v/>
      </c>
      <c r="H38" s="60" t="str">
        <f t="shared" si="18"/>
        <v/>
      </c>
      <c r="I38" s="60" t="str">
        <f t="shared" si="19"/>
        <v/>
      </c>
      <c r="J38" s="61" t="str">
        <f t="shared" si="20"/>
        <v/>
      </c>
      <c r="K38" s="60" t="str">
        <f t="shared" si="21"/>
        <v/>
      </c>
      <c r="L38" s="62" t="str">
        <f t="shared" si="22"/>
        <v/>
      </c>
      <c r="N38" s="68"/>
      <c r="O38" s="69"/>
    </row>
    <row r="39" spans="3:18" x14ac:dyDescent="0.25">
      <c r="C39" s="66"/>
      <c r="E39" s="59" t="str">
        <f t="shared" si="12"/>
        <v/>
      </c>
      <c r="F39" s="60" t="str">
        <f t="shared" si="0"/>
        <v/>
      </c>
      <c r="G39" s="60" t="str">
        <f t="shared" si="17"/>
        <v/>
      </c>
      <c r="H39" s="60" t="str">
        <f t="shared" si="18"/>
        <v/>
      </c>
      <c r="I39" s="60" t="str">
        <f t="shared" si="19"/>
        <v/>
      </c>
      <c r="J39" s="61" t="str">
        <f t="shared" si="20"/>
        <v/>
      </c>
      <c r="K39" s="60" t="str">
        <f t="shared" si="21"/>
        <v/>
      </c>
      <c r="L39" s="62" t="str">
        <f t="shared" si="22"/>
        <v/>
      </c>
      <c r="N39" s="68"/>
      <c r="O39" s="69"/>
    </row>
    <row r="40" spans="3:18" x14ac:dyDescent="0.25">
      <c r="C40" s="66"/>
      <c r="E40" s="59" t="str">
        <f t="shared" si="12"/>
        <v/>
      </c>
      <c r="F40" s="60" t="str">
        <f t="shared" si="0"/>
        <v/>
      </c>
      <c r="G40" s="60" t="str">
        <f t="shared" si="17"/>
        <v/>
      </c>
      <c r="H40" s="60" t="str">
        <f t="shared" si="18"/>
        <v/>
      </c>
      <c r="I40" s="60" t="str">
        <f t="shared" si="19"/>
        <v/>
      </c>
      <c r="J40" s="61" t="str">
        <f t="shared" si="20"/>
        <v/>
      </c>
      <c r="K40" s="60" t="str">
        <f t="shared" si="21"/>
        <v/>
      </c>
      <c r="L40" s="62" t="str">
        <f t="shared" si="22"/>
        <v/>
      </c>
      <c r="N40" s="68"/>
      <c r="O40" s="69"/>
    </row>
    <row r="41" spans="3:18" x14ac:dyDescent="0.25">
      <c r="C41" s="66"/>
      <c r="E41" s="59" t="str">
        <f t="shared" si="12"/>
        <v/>
      </c>
      <c r="F41" s="60" t="str">
        <f t="shared" si="0"/>
        <v/>
      </c>
      <c r="G41" s="60" t="str">
        <f t="shared" si="17"/>
        <v/>
      </c>
      <c r="H41" s="60" t="str">
        <f t="shared" si="18"/>
        <v/>
      </c>
      <c r="I41" s="60" t="str">
        <f t="shared" si="19"/>
        <v/>
      </c>
      <c r="J41" s="61" t="str">
        <f t="shared" si="20"/>
        <v/>
      </c>
      <c r="K41" s="60" t="str">
        <f t="shared" si="21"/>
        <v/>
      </c>
      <c r="L41" s="62" t="str">
        <f t="shared" si="22"/>
        <v/>
      </c>
      <c r="N41" s="68"/>
      <c r="O41" s="69"/>
    </row>
    <row r="42" spans="3:18" x14ac:dyDescent="0.25">
      <c r="C42" s="66"/>
      <c r="E42" s="59" t="str">
        <f t="shared" si="12"/>
        <v/>
      </c>
      <c r="F42" s="60" t="str">
        <f t="shared" si="0"/>
        <v/>
      </c>
      <c r="G42" s="60" t="str">
        <f t="shared" si="17"/>
        <v/>
      </c>
      <c r="H42" s="60" t="str">
        <f t="shared" si="18"/>
        <v/>
      </c>
      <c r="I42" s="60" t="str">
        <f t="shared" si="19"/>
        <v/>
      </c>
      <c r="J42" s="61" t="str">
        <f t="shared" si="20"/>
        <v/>
      </c>
      <c r="K42" s="60" t="str">
        <f t="shared" si="21"/>
        <v/>
      </c>
      <c r="L42" s="62" t="str">
        <f t="shared" si="22"/>
        <v/>
      </c>
      <c r="N42" s="68"/>
      <c r="O42" s="69"/>
    </row>
    <row r="43" spans="3:18" x14ac:dyDescent="0.25">
      <c r="C43" s="67"/>
      <c r="E43" s="59" t="str">
        <f t="shared" si="12"/>
        <v/>
      </c>
      <c r="F43" s="63" t="str">
        <f t="shared" si="0"/>
        <v/>
      </c>
      <c r="G43" s="63" t="str">
        <f t="shared" ref="G43" si="23">IF(C43="","",C43)</f>
        <v/>
      </c>
      <c r="H43" s="63" t="str">
        <f t="shared" ref="H43" si="24">IF(C43="","", "TRUE")</f>
        <v/>
      </c>
      <c r="I43" s="63" t="str">
        <f t="shared" ref="I43" si="25">IF(C43="","",C43)</f>
        <v/>
      </c>
      <c r="J43" s="64" t="str">
        <f t="shared" ref="J43" si="26">IF(C43="","","default:string")</f>
        <v/>
      </c>
      <c r="K43" s="63" t="str">
        <f t="shared" ref="K43" si="27">IF(C43="","","asc")</f>
        <v/>
      </c>
      <c r="L43" s="65" t="str">
        <f t="shared" ref="L43" si="28">IF(C43="","","Perpetual")</f>
        <v/>
      </c>
      <c r="N43" s="72"/>
      <c r="O43" s="73"/>
    </row>
    <row r="45" spans="3:18" ht="15" customHeight="1" x14ac:dyDescent="0.25">
      <c r="C45" s="215" t="s">
        <v>57</v>
      </c>
      <c r="D45" s="216"/>
      <c r="E45" s="216"/>
      <c r="F45" s="216"/>
      <c r="G45" s="216"/>
      <c r="H45" s="216"/>
      <c r="I45" s="216"/>
      <c r="J45" s="216"/>
      <c r="K45" s="216"/>
      <c r="L45" s="216"/>
      <c r="M45" s="216"/>
      <c r="N45" s="216"/>
      <c r="O45" s="217"/>
    </row>
    <row r="46" spans="3:18" x14ac:dyDescent="0.25">
      <c r="C46" s="224"/>
      <c r="D46" s="225"/>
      <c r="E46" s="225"/>
      <c r="F46" s="225"/>
      <c r="G46" s="225"/>
      <c r="H46" s="225"/>
      <c r="I46" s="225"/>
      <c r="J46" s="225"/>
      <c r="K46" s="225"/>
      <c r="L46" s="225"/>
      <c r="M46" s="225"/>
      <c r="N46" s="225"/>
      <c r="O46" s="226"/>
    </row>
    <row r="47" spans="3:18" x14ac:dyDescent="0.25">
      <c r="C47" s="224"/>
      <c r="D47" s="225"/>
      <c r="E47" s="225"/>
      <c r="F47" s="225"/>
      <c r="G47" s="225"/>
      <c r="H47" s="225"/>
      <c r="I47" s="225"/>
      <c r="J47" s="225"/>
      <c r="K47" s="225"/>
      <c r="L47" s="225"/>
      <c r="M47" s="225"/>
      <c r="N47" s="225"/>
      <c r="O47" s="226"/>
    </row>
    <row r="48" spans="3:18" x14ac:dyDescent="0.25">
      <c r="C48" s="224"/>
      <c r="D48" s="225"/>
      <c r="E48" s="225"/>
      <c r="F48" s="225"/>
      <c r="G48" s="225"/>
      <c r="H48" s="225"/>
      <c r="I48" s="225"/>
      <c r="J48" s="225"/>
      <c r="K48" s="225"/>
      <c r="L48" s="225"/>
      <c r="M48" s="225"/>
      <c r="N48" s="225"/>
      <c r="O48" s="226"/>
    </row>
    <row r="49" spans="3:15" x14ac:dyDescent="0.25">
      <c r="C49" s="218"/>
      <c r="D49" s="219"/>
      <c r="E49" s="219"/>
      <c r="F49" s="219"/>
      <c r="G49" s="219"/>
      <c r="H49" s="219"/>
      <c r="I49" s="219"/>
      <c r="J49" s="219"/>
      <c r="K49" s="219"/>
      <c r="L49" s="219"/>
      <c r="M49" s="219"/>
      <c r="N49" s="219"/>
      <c r="O49" s="220"/>
    </row>
  </sheetData>
  <mergeCells count="5">
    <mergeCell ref="Q26:R29"/>
    <mergeCell ref="C45:O49"/>
    <mergeCell ref="E12:L12"/>
    <mergeCell ref="N12:O12"/>
    <mergeCell ref="C9:I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do_CreateSecurityProperties">
                <anchor moveWithCells="1">
                  <from>
                    <xdr:col>16</xdr:col>
                    <xdr:colOff>76200</xdr:colOff>
                    <xdr:row>26</xdr:row>
                    <xdr:rowOff>123825</xdr:rowOff>
                  </from>
                  <to>
                    <xdr:col>17</xdr:col>
                    <xdr:colOff>676275</xdr:colOff>
                    <xdr:row>28</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A79C5-BAEF-44BE-B38A-14938A9B8763}">
  <sheetPr codeName="Sheet6"/>
  <dimension ref="B6:O52"/>
  <sheetViews>
    <sheetView zoomScale="80" zoomScaleNormal="80" workbookViewId="0">
      <selection activeCell="E32" sqref="E32"/>
    </sheetView>
  </sheetViews>
  <sheetFormatPr defaultRowHeight="15" x14ac:dyDescent="0.25"/>
  <cols>
    <col min="1" max="1" width="15.42578125" customWidth="1"/>
    <col min="2" max="2" width="4.140625" customWidth="1"/>
    <col min="3" max="3" width="31.7109375" customWidth="1"/>
    <col min="4" max="4" width="14.28515625" customWidth="1"/>
    <col min="5" max="5" width="35.85546875" customWidth="1"/>
    <col min="6" max="6" width="29.140625" customWidth="1"/>
    <col min="7" max="7" width="33.5703125" customWidth="1"/>
    <col min="8" max="8" width="26.85546875" customWidth="1"/>
    <col min="9" max="9" width="33.42578125" customWidth="1"/>
    <col min="10" max="10" width="16.7109375" customWidth="1"/>
    <col min="11" max="11" width="6" customWidth="1"/>
  </cols>
  <sheetData>
    <row r="6" spans="2:10" x14ac:dyDescent="0.25">
      <c r="H6" s="22"/>
    </row>
    <row r="7" spans="2:10" x14ac:dyDescent="0.25">
      <c r="J7" t="str">
        <f>LEFT($E14,1)</f>
        <v/>
      </c>
    </row>
    <row r="9" spans="2:10" x14ac:dyDescent="0.25">
      <c r="C9" s="246" t="s">
        <v>83</v>
      </c>
      <c r="D9" s="247"/>
      <c r="E9" s="247"/>
      <c r="F9" s="248"/>
    </row>
    <row r="10" spans="2:10" x14ac:dyDescent="0.25">
      <c r="C10" s="249"/>
      <c r="D10" s="250"/>
      <c r="E10" s="250"/>
      <c r="F10" s="251"/>
    </row>
    <row r="11" spans="2:10" x14ac:dyDescent="0.25">
      <c r="C11" s="9"/>
      <c r="D11" s="9"/>
      <c r="E11" s="9"/>
      <c r="F11" s="9"/>
    </row>
    <row r="12" spans="2:10" x14ac:dyDescent="0.25">
      <c r="C12" s="252" t="s">
        <v>78</v>
      </c>
      <c r="D12" s="253"/>
      <c r="E12" s="253"/>
      <c r="F12" s="253"/>
      <c r="G12" s="253"/>
      <c r="H12" s="253"/>
      <c r="I12" s="254"/>
    </row>
    <row r="13" spans="2:10" x14ac:dyDescent="0.25">
      <c r="C13" t="str">
        <f>_xll.fbnClassificationsAdd_Template()</f>
        <v>OK</v>
      </c>
    </row>
    <row r="14" spans="2:10" ht="15.75" customHeight="1" thickBot="1" x14ac:dyDescent="0.3">
      <c r="B14" s="6"/>
      <c r="C14" s="120" t="s">
        <v>9</v>
      </c>
      <c r="D14" s="203" t="s">
        <v>10</v>
      </c>
      <c r="E14" s="204" t="str">
        <f t="array" ref="E14:I14">TRANSPOSE(IF(ClassificationKeys="","",ClassificationKeys))</f>
        <v/>
      </c>
      <c r="F14" s="204" t="str">
        <v/>
      </c>
      <c r="G14" s="204" t="str">
        <v/>
      </c>
      <c r="H14" s="204" t="str">
        <v/>
      </c>
      <c r="I14" s="205" t="str">
        <v/>
      </c>
      <c r="J14" s="5"/>
    </row>
    <row r="15" spans="2:10" ht="15.75" thickTop="1" x14ac:dyDescent="0.25">
      <c r="B15" s="36">
        <v>1</v>
      </c>
      <c r="C15" s="159" t="str">
        <f>IF(Setup!D14=0,NA(),Setup!D14)</f>
        <v>FIGI_BBG00JVK5K09</v>
      </c>
      <c r="D15" s="77">
        <f ca="1">IF(C15="","",TODAY())</f>
        <v>43221</v>
      </c>
      <c r="E15" s="197"/>
      <c r="F15" s="160"/>
      <c r="G15" s="160"/>
      <c r="H15" s="160"/>
      <c r="I15" s="206"/>
      <c r="J15" s="182" t="s">
        <v>54</v>
      </c>
    </row>
    <row r="16" spans="2:10" x14ac:dyDescent="0.25">
      <c r="B16" s="36">
        <v>2</v>
      </c>
      <c r="C16" s="159" t="str">
        <f>IF(Setup!D15=0,NA(),Setup!D15)</f>
        <v>FIGI_BBG00DL94N94</v>
      </c>
      <c r="D16" s="77">
        <f t="shared" ref="D16:D44" ca="1" si="0">IF(C16="","",TODAY())</f>
        <v>43221</v>
      </c>
      <c r="E16" s="197"/>
      <c r="F16" s="160"/>
      <c r="G16" s="160"/>
      <c r="H16" s="160"/>
      <c r="I16" s="206"/>
      <c r="J16" s="69"/>
    </row>
    <row r="17" spans="2:13" x14ac:dyDescent="0.25">
      <c r="B17" s="36">
        <v>3</v>
      </c>
      <c r="C17" s="159" t="str">
        <f>IF(Setup!D16=0,NA(),Setup!D16)</f>
        <v>FIGI_BBG00DL98GH6</v>
      </c>
      <c r="D17" s="77">
        <f ca="1">IF(C17="","",TODAY())</f>
        <v>43221</v>
      </c>
      <c r="E17" s="197"/>
      <c r="F17" s="160"/>
      <c r="G17" s="160"/>
      <c r="H17" s="160"/>
      <c r="I17" s="206"/>
      <c r="J17" s="69"/>
    </row>
    <row r="18" spans="2:13" x14ac:dyDescent="0.25">
      <c r="B18" s="36">
        <v>4</v>
      </c>
      <c r="C18" s="159" t="str">
        <f>IF(Setup!D17=0,NA(),Setup!D17)</f>
        <v>FIGI_BBG00FF56P88</v>
      </c>
      <c r="D18" s="77">
        <f t="shared" ca="1" si="0"/>
        <v>43221</v>
      </c>
      <c r="E18" s="197"/>
      <c r="F18" s="160"/>
      <c r="G18" s="160"/>
      <c r="H18" s="160"/>
      <c r="I18" s="206"/>
      <c r="J18" s="69"/>
    </row>
    <row r="19" spans="2:13" x14ac:dyDescent="0.25">
      <c r="B19" s="36">
        <v>5</v>
      </c>
      <c r="C19" s="159" t="str">
        <f>IF(Setup!D18=0,NA(),Setup!D18)</f>
        <v>FIGI_BBG00DL98GS4</v>
      </c>
      <c r="D19" s="77">
        <f t="shared" ca="1" si="0"/>
        <v>43221</v>
      </c>
      <c r="E19" s="197"/>
      <c r="F19" s="160"/>
      <c r="G19" s="160"/>
      <c r="H19" s="160"/>
      <c r="I19" s="206"/>
      <c r="J19" s="69"/>
    </row>
    <row r="20" spans="2:13" x14ac:dyDescent="0.25">
      <c r="B20" s="36">
        <v>6</v>
      </c>
      <c r="C20" s="159" t="str">
        <f>IF(Setup!D19=0,NA(),Setup!D19)</f>
        <v>FIGI_BBG00FB4V5K7</v>
      </c>
      <c r="D20" s="77">
        <f t="shared" ca="1" si="0"/>
        <v>43221</v>
      </c>
      <c r="E20" s="197"/>
      <c r="F20" s="160"/>
      <c r="G20" s="160"/>
      <c r="H20" s="160"/>
      <c r="I20" s="206"/>
      <c r="J20" s="69"/>
    </row>
    <row r="21" spans="2:13" x14ac:dyDescent="0.25">
      <c r="B21" s="36">
        <v>7</v>
      </c>
      <c r="C21" s="159" t="str">
        <f>IF(Setup!D20=0,NA(),Setup!D20)</f>
        <v>FIGI_BBG00FJ5T5T0</v>
      </c>
      <c r="D21" s="77">
        <f t="shared" ca="1" si="0"/>
        <v>43221</v>
      </c>
      <c r="E21" s="197"/>
      <c r="F21" s="160"/>
      <c r="G21" s="160"/>
      <c r="H21" s="160"/>
      <c r="I21" s="206"/>
      <c r="J21" s="69"/>
    </row>
    <row r="22" spans="2:13" x14ac:dyDescent="0.25">
      <c r="B22" s="36">
        <v>8</v>
      </c>
      <c r="C22" s="159" t="str">
        <f>IF(Setup!D21=0,NA(),Setup!D21)</f>
        <v>FIGI_BBG00FJ5T5V7</v>
      </c>
      <c r="D22" s="77">
        <f t="shared" ca="1" si="0"/>
        <v>43221</v>
      </c>
      <c r="E22" s="197"/>
      <c r="F22" s="160"/>
      <c r="G22" s="160"/>
      <c r="H22" s="160"/>
      <c r="I22" s="206"/>
      <c r="J22" s="69"/>
    </row>
    <row r="23" spans="2:13" x14ac:dyDescent="0.25">
      <c r="B23" s="36">
        <v>9</v>
      </c>
      <c r="C23" s="159" t="str">
        <f>IF(Setup!D22=0,NA(),Setup!D22)</f>
        <v>FIGI_BBG001STKP50</v>
      </c>
      <c r="D23" s="77">
        <f t="shared" ca="1" si="0"/>
        <v>43221</v>
      </c>
      <c r="E23" s="197"/>
      <c r="F23" s="160"/>
      <c r="G23" s="160"/>
      <c r="H23" s="160"/>
      <c r="I23" s="206"/>
      <c r="J23" s="69"/>
    </row>
    <row r="24" spans="2:13" x14ac:dyDescent="0.25">
      <c r="B24" s="36">
        <v>10</v>
      </c>
      <c r="C24" s="159" t="str">
        <f>IF(Setup!D23=0,NA(),Setup!D23)</f>
        <v>FIGI_BBG001SRSD26</v>
      </c>
      <c r="D24" s="77">
        <f t="shared" ca="1" si="0"/>
        <v>43221</v>
      </c>
      <c r="E24" s="197"/>
      <c r="F24" s="160"/>
      <c r="G24" s="160"/>
      <c r="H24" s="160"/>
      <c r="I24" s="206"/>
      <c r="J24" s="69"/>
    </row>
    <row r="25" spans="2:13" x14ac:dyDescent="0.25">
      <c r="B25" s="36">
        <v>11</v>
      </c>
      <c r="C25" s="159" t="str">
        <f>IF(Setup!D24=0,NA(),Setup!D24)</f>
        <v>FIGI_BBG00H15BY93</v>
      </c>
      <c r="D25" s="77">
        <f t="shared" ca="1" si="0"/>
        <v>43221</v>
      </c>
      <c r="E25" s="197"/>
      <c r="F25" s="160"/>
      <c r="G25" s="160"/>
      <c r="H25" s="160"/>
      <c r="I25" s="206"/>
      <c r="J25" s="69"/>
    </row>
    <row r="26" spans="2:13" x14ac:dyDescent="0.25">
      <c r="B26" s="36">
        <v>12</v>
      </c>
      <c r="C26" s="159" t="str">
        <f>IF(Setup!D25=0,NA(),Setup!D25)</f>
        <v>FIGI_BBG00H15BYQ4</v>
      </c>
      <c r="D26" s="77">
        <f t="shared" ca="1" si="0"/>
        <v>43221</v>
      </c>
      <c r="E26" s="197"/>
      <c r="F26" s="160"/>
      <c r="G26" s="160"/>
      <c r="H26" s="160"/>
      <c r="I26" s="206"/>
      <c r="J26" s="69"/>
    </row>
    <row r="27" spans="2:13" x14ac:dyDescent="0.25">
      <c r="B27" s="36">
        <v>13</v>
      </c>
      <c r="C27" s="159" t="str">
        <f>IF(Setup!D26=0,NA(),Setup!D26)</f>
        <v>FIGI_BBG007V3VDV6</v>
      </c>
      <c r="D27" s="77">
        <f t="shared" ca="1" si="0"/>
        <v>43221</v>
      </c>
      <c r="E27" s="197"/>
      <c r="F27" s="160"/>
      <c r="G27" s="160"/>
      <c r="H27" s="160"/>
      <c r="I27" s="206"/>
      <c r="J27" s="69"/>
      <c r="L27" s="239" t="s">
        <v>59</v>
      </c>
      <c r="M27" s="239"/>
    </row>
    <row r="28" spans="2:13" x14ac:dyDescent="0.25">
      <c r="B28" s="36">
        <v>14</v>
      </c>
      <c r="C28" s="159" t="str">
        <f>IF(Setup!D27=0,NA(),Setup!D27)</f>
        <v>FIGI_BBG001T0SRJ5</v>
      </c>
      <c r="D28" s="77">
        <f ca="1">IF(C28="","",TODAY())</f>
        <v>43221</v>
      </c>
      <c r="E28" s="197"/>
      <c r="F28" s="160"/>
      <c r="G28" s="160"/>
      <c r="H28" s="160"/>
      <c r="I28" s="206"/>
      <c r="J28" s="69"/>
      <c r="L28" s="239"/>
      <c r="M28" s="239"/>
    </row>
    <row r="29" spans="2:13" x14ac:dyDescent="0.25">
      <c r="B29" s="36">
        <v>15</v>
      </c>
      <c r="C29" s="159" t="str">
        <f>IF(Setup!D28=0,NA(),Setup!D28)</f>
        <v>FIGI_BBG001T1P853</v>
      </c>
      <c r="D29" s="77">
        <f t="shared" ca="1" si="0"/>
        <v>43221</v>
      </c>
      <c r="E29" s="197"/>
      <c r="F29" s="160"/>
      <c r="G29" s="160"/>
      <c r="H29" s="160"/>
      <c r="I29" s="206"/>
      <c r="J29" s="69"/>
      <c r="L29" s="239"/>
      <c r="M29" s="239"/>
    </row>
    <row r="30" spans="2:13" x14ac:dyDescent="0.25">
      <c r="B30" s="36">
        <v>16</v>
      </c>
      <c r="C30" s="159" t="str">
        <f>IF(Setup!D29=0,NA(),Setup!D29)</f>
        <v>FIGI_BBG001T8ZB05</v>
      </c>
      <c r="D30" s="77">
        <f t="shared" ca="1" si="0"/>
        <v>43221</v>
      </c>
      <c r="E30" s="197"/>
      <c r="F30" s="160"/>
      <c r="G30" s="160"/>
      <c r="H30" s="160"/>
      <c r="I30" s="206"/>
      <c r="J30" s="69"/>
      <c r="L30" s="239"/>
      <c r="M30" s="239"/>
    </row>
    <row r="31" spans="2:13" x14ac:dyDescent="0.25">
      <c r="B31" s="36">
        <v>17</v>
      </c>
      <c r="C31" s="159" t="str">
        <f>IF(Setup!D30=0,NA(),Setup!D30)</f>
        <v>FIGI_BBG001STMN80</v>
      </c>
      <c r="D31" s="77">
        <f t="shared" ca="1" si="0"/>
        <v>43221</v>
      </c>
      <c r="E31" s="197"/>
      <c r="F31" s="160"/>
      <c r="G31" s="160"/>
      <c r="H31" s="160"/>
      <c r="I31" s="206"/>
      <c r="J31" s="69"/>
      <c r="L31" s="239"/>
      <c r="M31" s="239"/>
    </row>
    <row r="32" spans="2:13" x14ac:dyDescent="0.25">
      <c r="B32" s="36">
        <v>18</v>
      </c>
      <c r="C32" s="159" t="str">
        <f>IF(Setup!D31=0,NA(),Setup!D31)</f>
        <v>FIGI_BBG001T8ZB14</v>
      </c>
      <c r="D32" s="77">
        <f t="shared" ca="1" si="0"/>
        <v>43221</v>
      </c>
      <c r="E32" s="197"/>
      <c r="F32" s="160"/>
      <c r="G32" s="160"/>
      <c r="H32" s="160"/>
      <c r="I32" s="206"/>
      <c r="J32" s="69"/>
    </row>
    <row r="33" spans="2:15" x14ac:dyDescent="0.25">
      <c r="B33" s="36">
        <v>19</v>
      </c>
      <c r="C33" s="159" t="str">
        <f>IF(Setup!D32=0,NA(),Setup!D32)</f>
        <v>FIGI_BBG001V0BND5</v>
      </c>
      <c r="D33" s="77">
        <f t="shared" ca="1" si="0"/>
        <v>43221</v>
      </c>
      <c r="E33" s="197"/>
      <c r="F33" s="160"/>
      <c r="G33" s="160"/>
      <c r="H33" s="160"/>
      <c r="I33" s="206"/>
      <c r="J33" s="69"/>
    </row>
    <row r="34" spans="2:15" x14ac:dyDescent="0.25">
      <c r="B34" s="36">
        <v>20</v>
      </c>
      <c r="C34" s="159" t="str">
        <f>IF(Setup!D33=0,NA(),Setup!D33)</f>
        <v>FIGI_BBG0037S1FF3</v>
      </c>
      <c r="D34" s="77">
        <f t="shared" ca="1" si="0"/>
        <v>43221</v>
      </c>
      <c r="E34" s="197"/>
      <c r="F34" s="160"/>
      <c r="G34" s="160"/>
      <c r="H34" s="160"/>
      <c r="I34" s="206"/>
      <c r="J34" s="69"/>
    </row>
    <row r="35" spans="2:15" x14ac:dyDescent="0.25">
      <c r="B35" s="36">
        <v>21</v>
      </c>
      <c r="C35" s="159" t="str">
        <f>IF(Setup!D34=0,NA(),Setup!D34)</f>
        <v>FIGI_BBG001TJMQW7</v>
      </c>
      <c r="D35" s="77">
        <f t="shared" ca="1" si="0"/>
        <v>43221</v>
      </c>
      <c r="E35" s="197"/>
      <c r="F35" s="160"/>
      <c r="G35" s="160"/>
      <c r="H35" s="160"/>
      <c r="I35" s="206"/>
      <c r="J35" s="69"/>
    </row>
    <row r="36" spans="2:15" x14ac:dyDescent="0.25">
      <c r="B36" s="36">
        <v>22</v>
      </c>
      <c r="C36" s="159" t="str">
        <f>IF(Setup!D35=0,NA(),Setup!D35)</f>
        <v>FIGI_BBG0034YPJH7</v>
      </c>
      <c r="D36" s="77">
        <f t="shared" ca="1" si="0"/>
        <v>43221</v>
      </c>
      <c r="E36" s="197"/>
      <c r="F36" s="160"/>
      <c r="G36" s="160"/>
      <c r="H36" s="160"/>
      <c r="I36" s="206"/>
      <c r="J36" s="69"/>
    </row>
    <row r="37" spans="2:15" x14ac:dyDescent="0.25">
      <c r="B37" s="36">
        <v>23</v>
      </c>
      <c r="C37" s="159" t="str">
        <f>IF(Setup!D36=0,NA(),Setup!D36)</f>
        <v>FIGI_BBG0034YQ817</v>
      </c>
      <c r="D37" s="77">
        <f t="shared" ca="1" si="0"/>
        <v>43221</v>
      </c>
      <c r="E37" s="197"/>
      <c r="F37" s="160"/>
      <c r="G37" s="160"/>
      <c r="H37" s="160"/>
      <c r="I37" s="206"/>
      <c r="J37" s="69"/>
    </row>
    <row r="38" spans="2:15" x14ac:dyDescent="0.25">
      <c r="B38" s="36">
        <v>24</v>
      </c>
      <c r="C38" s="159" t="str">
        <f>IF(Setup!D37=0,NA(),Setup!D37)</f>
        <v>FIGI_BBG004733G08</v>
      </c>
      <c r="D38" s="77">
        <f t="shared" ca="1" si="0"/>
        <v>43221</v>
      </c>
      <c r="E38" s="197"/>
      <c r="F38" s="160"/>
      <c r="G38" s="160"/>
      <c r="H38" s="160"/>
      <c r="I38" s="206"/>
      <c r="J38" s="69"/>
    </row>
    <row r="39" spans="2:15" x14ac:dyDescent="0.25">
      <c r="B39" s="36">
        <v>25</v>
      </c>
      <c r="C39" s="159" t="str">
        <f>IF(Setup!D38=0,NA(),Setup!D38)</f>
        <v>FIGI_BBG004XQG9G3</v>
      </c>
      <c r="D39" s="77">
        <f t="shared" ca="1" si="0"/>
        <v>43221</v>
      </c>
      <c r="E39" s="197"/>
      <c r="F39" s="160"/>
      <c r="G39" s="160"/>
      <c r="H39" s="160"/>
      <c r="I39" s="206"/>
      <c r="J39" s="69"/>
    </row>
    <row r="40" spans="2:15" ht="15" customHeight="1" x14ac:dyDescent="0.25">
      <c r="B40" s="36">
        <v>26</v>
      </c>
      <c r="C40" s="159" t="str">
        <f>IF(Setup!D39=0,NA(),Setup!D39)</f>
        <v>FIGI_BBG003BJ6K53</v>
      </c>
      <c r="D40" s="77">
        <f ca="1">IF(C40="","",TODAY())</f>
        <v>43221</v>
      </c>
      <c r="E40" s="197"/>
      <c r="F40" s="160"/>
      <c r="G40" s="160"/>
      <c r="H40" s="160"/>
      <c r="I40" s="206"/>
      <c r="J40" s="69"/>
    </row>
    <row r="41" spans="2:15" x14ac:dyDescent="0.25">
      <c r="B41" s="36">
        <v>27</v>
      </c>
      <c r="C41" s="159" t="e">
        <f>IF(Setup!D40=0,NA(),Setup!D40)</f>
        <v>#N/A</v>
      </c>
      <c r="D41" s="77" t="e">
        <f ca="1">IF(C41="","",TODAY())</f>
        <v>#N/A</v>
      </c>
      <c r="E41" s="197"/>
      <c r="F41" s="160"/>
      <c r="G41" s="160"/>
      <c r="H41" s="160"/>
      <c r="I41" s="206"/>
      <c r="J41" s="69"/>
    </row>
    <row r="42" spans="2:15" x14ac:dyDescent="0.25">
      <c r="B42" s="36">
        <v>28</v>
      </c>
      <c r="C42" s="159" t="e">
        <f>IF(Setup!D41=0,NA(),Setup!D41)</f>
        <v>#N/A</v>
      </c>
      <c r="D42" s="77" t="e">
        <f ca="1">IF(C42="","",TODAY())</f>
        <v>#N/A</v>
      </c>
      <c r="E42" s="197"/>
      <c r="F42" s="160"/>
      <c r="G42" s="160"/>
      <c r="H42" s="74"/>
      <c r="I42" s="75"/>
      <c r="J42" s="69"/>
    </row>
    <row r="43" spans="2:15" x14ac:dyDescent="0.25">
      <c r="B43" s="36">
        <v>29</v>
      </c>
      <c r="C43" s="159" t="e">
        <f>IF(Setup!D42=0,NA(),Setup!D42)</f>
        <v>#N/A</v>
      </c>
      <c r="D43" s="77" t="e">
        <f ca="1">IF(C43="","",TODAY())</f>
        <v>#N/A</v>
      </c>
      <c r="E43" s="197"/>
      <c r="F43" s="160"/>
      <c r="G43" s="160"/>
      <c r="H43" s="74"/>
      <c r="I43" s="75"/>
      <c r="J43" s="69"/>
    </row>
    <row r="44" spans="2:15" x14ac:dyDescent="0.25">
      <c r="B44" s="36">
        <v>30</v>
      </c>
      <c r="C44" s="198" t="e">
        <f>IF(Setup!D43=0,NA(),Setup!D43)</f>
        <v>#N/A</v>
      </c>
      <c r="D44" s="207" t="e">
        <f t="shared" ca="1" si="0"/>
        <v>#N/A</v>
      </c>
      <c r="E44" s="208"/>
      <c r="F44" s="209"/>
      <c r="G44" s="209"/>
      <c r="H44" s="210"/>
      <c r="I44" s="76"/>
      <c r="J44" s="73"/>
    </row>
    <row r="45" spans="2:15" x14ac:dyDescent="0.25">
      <c r="B45" s="7"/>
      <c r="C45" s="32"/>
      <c r="D45" s="33"/>
      <c r="E45" s="34"/>
      <c r="F45" s="34"/>
      <c r="G45" s="34"/>
      <c r="H45" s="34"/>
      <c r="I45" s="34"/>
      <c r="J45" s="35"/>
    </row>
    <row r="46" spans="2:15" ht="15" customHeight="1" x14ac:dyDescent="0.25">
      <c r="B46" s="7"/>
      <c r="C46" s="215" t="s">
        <v>81</v>
      </c>
      <c r="D46" s="216"/>
      <c r="E46" s="216"/>
      <c r="F46" s="216"/>
      <c r="G46" s="216"/>
      <c r="H46" s="216"/>
      <c r="I46" s="217"/>
      <c r="J46" s="8"/>
      <c r="K46" s="8"/>
      <c r="L46" s="8"/>
      <c r="M46" s="8"/>
      <c r="N46" s="8"/>
      <c r="O46" s="8"/>
    </row>
    <row r="47" spans="2:15" x14ac:dyDescent="0.25">
      <c r="B47" s="7"/>
      <c r="C47" s="224"/>
      <c r="D47" s="225"/>
      <c r="E47" s="225"/>
      <c r="F47" s="225"/>
      <c r="G47" s="225"/>
      <c r="H47" s="225"/>
      <c r="I47" s="226"/>
      <c r="J47" s="8"/>
      <c r="K47" s="8"/>
      <c r="L47" s="8"/>
      <c r="M47" s="8"/>
      <c r="N47" s="8"/>
      <c r="O47" s="8"/>
    </row>
    <row r="48" spans="2:15" x14ac:dyDescent="0.25">
      <c r="B48" s="7"/>
      <c r="C48" s="224"/>
      <c r="D48" s="225"/>
      <c r="E48" s="225"/>
      <c r="F48" s="225"/>
      <c r="G48" s="225"/>
      <c r="H48" s="225"/>
      <c r="I48" s="226"/>
      <c r="J48" s="8"/>
      <c r="K48" s="8"/>
      <c r="L48" s="8"/>
      <c r="M48" s="8"/>
      <c r="N48" s="8"/>
      <c r="O48" s="8"/>
    </row>
    <row r="49" spans="2:15" x14ac:dyDescent="0.25">
      <c r="B49" s="7"/>
      <c r="C49" s="224"/>
      <c r="D49" s="225"/>
      <c r="E49" s="225"/>
      <c r="F49" s="225"/>
      <c r="G49" s="225"/>
      <c r="H49" s="225"/>
      <c r="I49" s="226"/>
      <c r="J49" s="8"/>
      <c r="K49" s="8"/>
      <c r="L49" s="8"/>
      <c r="M49" s="8"/>
      <c r="N49" s="8"/>
      <c r="O49" s="8"/>
    </row>
    <row r="50" spans="2:15" x14ac:dyDescent="0.25">
      <c r="C50" s="218"/>
      <c r="D50" s="243"/>
      <c r="E50" s="243"/>
      <c r="F50" s="243"/>
      <c r="G50" s="243"/>
      <c r="H50" s="243"/>
      <c r="I50" s="220"/>
      <c r="J50" s="8"/>
      <c r="K50" s="8"/>
      <c r="L50" s="8"/>
      <c r="M50" s="8"/>
      <c r="N50" s="8"/>
      <c r="O50" s="8"/>
    </row>
    <row r="51" spans="2:15" x14ac:dyDescent="0.25">
      <c r="D51" s="32"/>
      <c r="E51" s="33"/>
      <c r="F51" s="34"/>
      <c r="G51" s="34"/>
      <c r="H51" s="34"/>
      <c r="I51" s="34"/>
      <c r="J51" s="34"/>
      <c r="K51" s="35"/>
    </row>
    <row r="52" spans="2:15" x14ac:dyDescent="0.25">
      <c r="D52" s="32"/>
      <c r="E52" s="33"/>
      <c r="F52" s="34"/>
      <c r="G52" s="34"/>
      <c r="H52" s="34"/>
      <c r="I52" s="34"/>
      <c r="J52" s="34"/>
      <c r="K52" s="35"/>
    </row>
  </sheetData>
  <mergeCells count="4">
    <mergeCell ref="C9:F10"/>
    <mergeCell ref="C12:I12"/>
    <mergeCell ref="L27:M31"/>
    <mergeCell ref="C46:I5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do_applyClassifications">
                <anchor moveWithCells="1">
                  <from>
                    <xdr:col>11</xdr:col>
                    <xdr:colOff>285750</xdr:colOff>
                    <xdr:row>29</xdr:row>
                    <xdr:rowOff>28575</xdr:rowOff>
                  </from>
                  <to>
                    <xdr:col>12</xdr:col>
                    <xdr:colOff>342900</xdr:colOff>
                    <xdr:row>30</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5A055-8396-4DED-A5B5-82D6A53A7D60}">
  <sheetPr codeName="Sheet7"/>
  <dimension ref="B6:O57"/>
  <sheetViews>
    <sheetView zoomScale="80" zoomScaleNormal="80" workbookViewId="0">
      <selection activeCell="E13" sqref="E13:E38"/>
    </sheetView>
  </sheetViews>
  <sheetFormatPr defaultRowHeight="15" x14ac:dyDescent="0.25"/>
  <cols>
    <col min="2" max="2" width="4.42578125" customWidth="1"/>
    <col min="3" max="3" width="27.85546875" customWidth="1"/>
    <col min="4" max="4" width="33.42578125" customWidth="1"/>
    <col min="5" max="5" width="30.5703125" customWidth="1"/>
    <col min="6" max="6" width="33" customWidth="1"/>
    <col min="7" max="7" width="29.85546875" customWidth="1"/>
    <col min="8" max="8" width="39.85546875" customWidth="1"/>
    <col min="9" max="9" width="34.85546875" customWidth="1"/>
    <col min="10" max="10" width="28.7109375" customWidth="1"/>
  </cols>
  <sheetData>
    <row r="6" spans="2:10" ht="15" customHeight="1" x14ac:dyDescent="0.25"/>
    <row r="7" spans="2:10" x14ac:dyDescent="0.25">
      <c r="C7" s="246" t="s">
        <v>79</v>
      </c>
      <c r="D7" s="247"/>
      <c r="E7" s="247"/>
      <c r="F7" s="248"/>
    </row>
    <row r="8" spans="2:10" x14ac:dyDescent="0.25">
      <c r="C8" s="249"/>
      <c r="D8" s="250"/>
      <c r="E8" s="250"/>
      <c r="F8" s="251"/>
    </row>
    <row r="9" spans="2:10" ht="15.75" x14ac:dyDescent="0.25">
      <c r="C9" s="91"/>
      <c r="D9" s="91"/>
      <c r="E9" s="91"/>
      <c r="F9" s="91"/>
    </row>
    <row r="10" spans="2:10" ht="15.75" x14ac:dyDescent="0.25">
      <c r="C10" s="256" t="s">
        <v>111</v>
      </c>
      <c r="D10" s="256"/>
      <c r="E10" s="91"/>
      <c r="F10" s="91"/>
    </row>
    <row r="12" spans="2:10" x14ac:dyDescent="0.25">
      <c r="C12" s="183" t="s">
        <v>138</v>
      </c>
      <c r="D12" s="150" t="s">
        <v>139</v>
      </c>
      <c r="E12" s="192"/>
      <c r="F12" s="192"/>
      <c r="G12" s="192"/>
      <c r="H12" s="190"/>
      <c r="I12" s="174"/>
      <c r="J12" s="47"/>
    </row>
    <row r="13" spans="2:10" x14ac:dyDescent="0.25">
      <c r="B13" s="162">
        <v>1</v>
      </c>
      <c r="C13" s="167" t="s">
        <v>53</v>
      </c>
      <c r="D13" s="168" t="s">
        <v>140</v>
      </c>
      <c r="E13" s="196"/>
      <c r="F13" s="168"/>
      <c r="G13" s="168"/>
      <c r="H13" s="168"/>
      <c r="I13" s="169"/>
      <c r="J13" s="48"/>
    </row>
    <row r="14" spans="2:10" x14ac:dyDescent="0.25">
      <c r="B14" s="163">
        <v>2</v>
      </c>
      <c r="C14" s="167" t="s">
        <v>141</v>
      </c>
      <c r="D14" s="168" t="s">
        <v>142</v>
      </c>
      <c r="E14" s="193"/>
      <c r="F14" s="168"/>
      <c r="G14" s="168"/>
      <c r="H14" s="168"/>
      <c r="I14" s="169"/>
      <c r="J14" s="48"/>
    </row>
    <row r="15" spans="2:10" x14ac:dyDescent="0.25">
      <c r="B15" s="163">
        <v>3</v>
      </c>
      <c r="C15" s="167" t="s">
        <v>143</v>
      </c>
      <c r="D15" s="168" t="s">
        <v>144</v>
      </c>
      <c r="E15" s="193"/>
      <c r="F15" s="168"/>
      <c r="G15" s="168"/>
      <c r="H15" s="168"/>
      <c r="I15" s="169"/>
      <c r="J15" s="48"/>
    </row>
    <row r="16" spans="2:10" x14ac:dyDescent="0.25">
      <c r="B16" s="163">
        <v>4</v>
      </c>
      <c r="C16" s="167" t="s">
        <v>145</v>
      </c>
      <c r="D16" s="168" t="s">
        <v>146</v>
      </c>
      <c r="E16" s="193"/>
      <c r="F16" s="168"/>
      <c r="G16" s="168"/>
      <c r="H16" s="168"/>
      <c r="I16" s="169"/>
      <c r="J16" s="48"/>
    </row>
    <row r="17" spans="2:10" x14ac:dyDescent="0.25">
      <c r="B17" s="163">
        <v>5</v>
      </c>
      <c r="C17" s="167" t="s">
        <v>147</v>
      </c>
      <c r="D17" s="168" t="s">
        <v>148</v>
      </c>
      <c r="E17" s="193"/>
      <c r="F17" s="168"/>
      <c r="G17" s="168"/>
      <c r="H17" s="168"/>
      <c r="I17" s="169"/>
      <c r="J17" s="48"/>
    </row>
    <row r="18" spans="2:10" x14ac:dyDescent="0.25">
      <c r="B18" s="163">
        <v>6</v>
      </c>
      <c r="C18" s="167" t="s">
        <v>149</v>
      </c>
      <c r="D18" s="168" t="s">
        <v>150</v>
      </c>
      <c r="E18" s="193"/>
      <c r="F18" s="168"/>
      <c r="G18" s="168"/>
      <c r="H18" s="168"/>
      <c r="I18" s="169"/>
      <c r="J18" s="48"/>
    </row>
    <row r="19" spans="2:10" x14ac:dyDescent="0.25">
      <c r="B19" s="163">
        <v>7</v>
      </c>
      <c r="C19" s="167" t="s">
        <v>151</v>
      </c>
      <c r="D19" s="168" t="s">
        <v>152</v>
      </c>
      <c r="E19" s="193"/>
      <c r="F19" s="168"/>
      <c r="G19" s="168"/>
      <c r="H19" s="168"/>
      <c r="I19" s="169"/>
      <c r="J19" s="48"/>
    </row>
    <row r="20" spans="2:10" x14ac:dyDescent="0.25">
      <c r="B20" s="163">
        <v>8</v>
      </c>
      <c r="C20" s="167" t="s">
        <v>153</v>
      </c>
      <c r="D20" s="168" t="s">
        <v>154</v>
      </c>
      <c r="E20" s="193"/>
      <c r="F20" s="168"/>
      <c r="G20" s="168"/>
      <c r="H20" s="168"/>
      <c r="I20" s="169"/>
      <c r="J20" s="48"/>
    </row>
    <row r="21" spans="2:10" x14ac:dyDescent="0.25">
      <c r="B21" s="163">
        <v>9</v>
      </c>
      <c r="C21" s="167" t="s">
        <v>155</v>
      </c>
      <c r="D21" s="168" t="s">
        <v>156</v>
      </c>
      <c r="E21" s="193"/>
      <c r="F21" s="168"/>
      <c r="G21" s="168"/>
      <c r="H21" s="168"/>
      <c r="I21" s="169"/>
      <c r="J21" s="48"/>
    </row>
    <row r="22" spans="2:10" x14ac:dyDescent="0.25">
      <c r="B22" s="163">
        <v>10</v>
      </c>
      <c r="C22" s="167" t="s">
        <v>157</v>
      </c>
      <c r="D22" s="168" t="s">
        <v>158</v>
      </c>
      <c r="E22" s="193"/>
      <c r="F22" s="168"/>
      <c r="G22" s="168"/>
      <c r="H22" s="168"/>
      <c r="I22" s="169"/>
      <c r="J22" s="48"/>
    </row>
    <row r="23" spans="2:10" x14ac:dyDescent="0.25">
      <c r="B23" s="163">
        <v>11</v>
      </c>
      <c r="C23" s="167" t="s">
        <v>159</v>
      </c>
      <c r="D23" s="168" t="s">
        <v>160</v>
      </c>
      <c r="E23" s="193"/>
      <c r="F23" s="168"/>
      <c r="G23" s="168"/>
      <c r="H23" s="168"/>
      <c r="I23" s="169"/>
      <c r="J23" s="48"/>
    </row>
    <row r="24" spans="2:10" x14ac:dyDescent="0.25">
      <c r="B24" s="163">
        <v>12</v>
      </c>
      <c r="C24" s="167" t="s">
        <v>161</v>
      </c>
      <c r="D24" s="168" t="s">
        <v>162</v>
      </c>
      <c r="E24" s="193"/>
      <c r="F24" s="168"/>
      <c r="G24" s="168"/>
      <c r="H24" s="168"/>
      <c r="I24" s="169"/>
      <c r="J24" s="48"/>
    </row>
    <row r="25" spans="2:10" ht="15" customHeight="1" x14ac:dyDescent="0.25">
      <c r="B25" s="163">
        <v>13</v>
      </c>
      <c r="C25" s="167" t="s">
        <v>163</v>
      </c>
      <c r="D25" s="168" t="s">
        <v>164</v>
      </c>
      <c r="E25" s="193"/>
      <c r="F25" s="168"/>
      <c r="G25" s="168"/>
      <c r="H25" s="168"/>
      <c r="I25" s="169"/>
      <c r="J25" s="255" t="s">
        <v>71</v>
      </c>
    </row>
    <row r="26" spans="2:10" x14ac:dyDescent="0.25">
      <c r="B26" s="163">
        <v>14</v>
      </c>
      <c r="C26" s="167" t="s">
        <v>165</v>
      </c>
      <c r="D26" s="168" t="s">
        <v>166</v>
      </c>
      <c r="E26" s="193"/>
      <c r="F26" s="168"/>
      <c r="G26" s="168"/>
      <c r="H26" s="168"/>
      <c r="I26" s="169"/>
      <c r="J26" s="255"/>
    </row>
    <row r="27" spans="2:10" x14ac:dyDescent="0.25">
      <c r="B27" s="163">
        <v>15</v>
      </c>
      <c r="C27" s="167" t="s">
        <v>167</v>
      </c>
      <c r="D27" s="168" t="s">
        <v>168</v>
      </c>
      <c r="E27" s="193"/>
      <c r="F27" s="168"/>
      <c r="G27" s="168"/>
      <c r="H27" s="168"/>
      <c r="I27" s="169"/>
      <c r="J27" s="255"/>
    </row>
    <row r="28" spans="2:10" x14ac:dyDescent="0.25">
      <c r="B28" s="163">
        <v>16</v>
      </c>
      <c r="C28" s="167" t="s">
        <v>169</v>
      </c>
      <c r="D28" s="168" t="s">
        <v>170</v>
      </c>
      <c r="E28" s="193"/>
      <c r="F28" s="168"/>
      <c r="G28" s="168"/>
      <c r="H28" s="168"/>
      <c r="I28" s="169"/>
      <c r="J28" s="255"/>
    </row>
    <row r="29" spans="2:10" x14ac:dyDescent="0.25">
      <c r="B29" s="163">
        <v>17</v>
      </c>
      <c r="C29" s="167" t="s">
        <v>171</v>
      </c>
      <c r="D29" s="168" t="s">
        <v>172</v>
      </c>
      <c r="E29" s="193"/>
      <c r="F29" s="168"/>
      <c r="G29" s="168"/>
      <c r="H29" s="168"/>
      <c r="I29" s="169"/>
      <c r="J29" s="48"/>
    </row>
    <row r="30" spans="2:10" x14ac:dyDescent="0.25">
      <c r="B30" s="163">
        <v>18</v>
      </c>
      <c r="C30" s="167" t="s">
        <v>173</v>
      </c>
      <c r="D30" s="168" t="s">
        <v>174</v>
      </c>
      <c r="E30" s="193"/>
      <c r="F30" s="168"/>
      <c r="G30" s="168"/>
      <c r="H30" s="168"/>
      <c r="I30" s="169"/>
      <c r="J30" s="48"/>
    </row>
    <row r="31" spans="2:10" x14ac:dyDescent="0.25">
      <c r="B31" s="163">
        <v>19</v>
      </c>
      <c r="C31" s="167" t="s">
        <v>175</v>
      </c>
      <c r="D31" s="168" t="s">
        <v>176</v>
      </c>
      <c r="E31" s="193"/>
      <c r="F31" s="168"/>
      <c r="G31" s="168"/>
      <c r="H31" s="168"/>
      <c r="I31" s="169"/>
      <c r="J31" s="48"/>
    </row>
    <row r="32" spans="2:10" x14ac:dyDescent="0.25">
      <c r="B32" s="163">
        <v>20</v>
      </c>
      <c r="C32" s="167" t="s">
        <v>177</v>
      </c>
      <c r="D32" s="168" t="s">
        <v>178</v>
      </c>
      <c r="E32" s="193"/>
      <c r="F32" s="168"/>
      <c r="G32" s="168"/>
      <c r="H32" s="168"/>
      <c r="I32" s="169"/>
      <c r="J32" s="48"/>
    </row>
    <row r="33" spans="2:10" x14ac:dyDescent="0.25">
      <c r="B33" s="163">
        <v>21</v>
      </c>
      <c r="C33" s="167" t="s">
        <v>179</v>
      </c>
      <c r="D33" s="168" t="s">
        <v>180</v>
      </c>
      <c r="E33" s="193"/>
      <c r="F33" s="168"/>
      <c r="G33" s="168"/>
      <c r="H33" s="168"/>
      <c r="I33" s="169"/>
      <c r="J33" s="48"/>
    </row>
    <row r="34" spans="2:10" x14ac:dyDescent="0.25">
      <c r="B34" s="163">
        <v>22</v>
      </c>
      <c r="C34" s="180" t="s">
        <v>181</v>
      </c>
      <c r="D34" s="168" t="s">
        <v>182</v>
      </c>
      <c r="E34" s="193"/>
      <c r="F34" s="168"/>
      <c r="G34" s="168"/>
      <c r="H34" s="168"/>
      <c r="I34" s="169"/>
      <c r="J34" s="48"/>
    </row>
    <row r="35" spans="2:10" x14ac:dyDescent="0.25">
      <c r="B35" s="163">
        <v>23</v>
      </c>
      <c r="C35" s="167" t="s">
        <v>183</v>
      </c>
      <c r="D35" s="168" t="s">
        <v>184</v>
      </c>
      <c r="E35" s="193"/>
      <c r="F35" s="168"/>
      <c r="G35" s="168"/>
      <c r="H35" s="168"/>
      <c r="I35" s="169"/>
      <c r="J35" s="48"/>
    </row>
    <row r="36" spans="2:10" x14ac:dyDescent="0.25">
      <c r="B36" s="163">
        <v>24</v>
      </c>
      <c r="C36" s="167" t="s">
        <v>185</v>
      </c>
      <c r="D36" s="168" t="s">
        <v>186</v>
      </c>
      <c r="E36" s="193"/>
      <c r="F36" s="168"/>
      <c r="G36" s="168"/>
      <c r="H36" s="168"/>
      <c r="I36" s="169"/>
      <c r="J36" s="48"/>
    </row>
    <row r="37" spans="2:10" x14ac:dyDescent="0.25">
      <c r="B37" s="163">
        <v>25</v>
      </c>
      <c r="C37" s="167" t="s">
        <v>187</v>
      </c>
      <c r="D37" s="168" t="s">
        <v>188</v>
      </c>
      <c r="E37" s="193"/>
      <c r="F37" s="168"/>
      <c r="G37" s="168"/>
      <c r="H37" s="168"/>
      <c r="I37" s="169"/>
      <c r="J37" s="48"/>
    </row>
    <row r="38" spans="2:10" x14ac:dyDescent="0.25">
      <c r="B38" s="163">
        <v>26</v>
      </c>
      <c r="C38" s="180" t="s">
        <v>189</v>
      </c>
      <c r="D38" s="181" t="s">
        <v>190</v>
      </c>
      <c r="E38" s="193"/>
      <c r="F38" s="168"/>
      <c r="G38" s="168"/>
      <c r="H38" s="168"/>
      <c r="I38" s="169"/>
      <c r="J38" s="48"/>
    </row>
    <row r="39" spans="2:10" x14ac:dyDescent="0.25">
      <c r="B39" s="163">
        <v>27</v>
      </c>
      <c r="C39" s="167"/>
      <c r="D39" s="168"/>
      <c r="E39" s="194"/>
      <c r="F39" s="164"/>
      <c r="G39" s="164"/>
      <c r="H39" s="164"/>
      <c r="I39" s="170"/>
      <c r="J39" s="49"/>
    </row>
    <row r="40" spans="2:10" x14ac:dyDescent="0.25">
      <c r="B40" s="163">
        <v>28</v>
      </c>
      <c r="C40" s="167"/>
      <c r="D40" s="168"/>
      <c r="E40" s="194"/>
      <c r="F40" s="164"/>
      <c r="G40" s="164"/>
      <c r="H40" s="164"/>
      <c r="I40" s="170"/>
      <c r="J40" s="49"/>
    </row>
    <row r="41" spans="2:10" x14ac:dyDescent="0.25">
      <c r="B41" s="163">
        <v>29</v>
      </c>
      <c r="C41" s="167"/>
      <c r="D41" s="168"/>
      <c r="E41" s="194"/>
      <c r="F41" s="164"/>
      <c r="G41" s="164"/>
      <c r="H41" s="164"/>
      <c r="I41" s="170"/>
      <c r="J41" s="49"/>
    </row>
    <row r="42" spans="2:10" x14ac:dyDescent="0.25">
      <c r="B42" s="161">
        <v>30</v>
      </c>
      <c r="C42" s="171"/>
      <c r="D42" s="172"/>
      <c r="E42" s="195"/>
      <c r="F42" s="166"/>
      <c r="G42" s="166"/>
      <c r="H42" s="166"/>
      <c r="I42" s="173"/>
      <c r="J42" s="49"/>
    </row>
    <row r="43" spans="2:10" x14ac:dyDescent="0.25">
      <c r="B43" s="38"/>
      <c r="C43" s="39"/>
      <c r="D43" s="39"/>
      <c r="J43" s="25"/>
    </row>
    <row r="44" spans="2:10" x14ac:dyDescent="0.25">
      <c r="B44" s="38"/>
      <c r="C44" s="40" t="s">
        <v>70</v>
      </c>
      <c r="D44" s="40" t="s">
        <v>74</v>
      </c>
      <c r="J44" s="25"/>
    </row>
    <row r="45" spans="2:10" x14ac:dyDescent="0.25">
      <c r="B45" s="38"/>
      <c r="C45" s="40"/>
      <c r="D45" s="39"/>
      <c r="J45" s="25"/>
    </row>
    <row r="46" spans="2:10" x14ac:dyDescent="0.25">
      <c r="B46" s="37">
        <v>1</v>
      </c>
      <c r="C46" s="52" t="str">
        <f>IF('Define New Securities'!H14="","",'Define New Securities'!H14)</f>
        <v/>
      </c>
      <c r="D46" s="50"/>
      <c r="E46" s="50"/>
      <c r="F46" s="50"/>
      <c r="G46" s="50"/>
      <c r="H46" s="50"/>
      <c r="I46" s="51"/>
    </row>
    <row r="47" spans="2:10" x14ac:dyDescent="0.25">
      <c r="B47" s="14">
        <v>2</v>
      </c>
      <c r="C47" s="42" t="str">
        <f>IF('Define New Securities'!H15="","",'Define New Securities'!H15)</f>
        <v/>
      </c>
      <c r="D47" s="41"/>
      <c r="E47" s="41"/>
      <c r="F47" s="41"/>
      <c r="G47" s="41"/>
      <c r="H47" s="41"/>
      <c r="I47" s="43"/>
    </row>
    <row r="48" spans="2:10" x14ac:dyDescent="0.25">
      <c r="B48" s="14">
        <v>3</v>
      </c>
      <c r="C48" s="42" t="str">
        <f>IF('Define New Securities'!H16="","",'Define New Securities'!H16)</f>
        <v/>
      </c>
      <c r="D48" s="41"/>
      <c r="E48" s="41"/>
      <c r="F48" s="41"/>
      <c r="G48" s="41"/>
      <c r="H48" s="41"/>
      <c r="I48" s="43"/>
    </row>
    <row r="49" spans="2:15" x14ac:dyDescent="0.25">
      <c r="B49" s="14">
        <v>4</v>
      </c>
      <c r="C49" s="42" t="str">
        <f>IF('Define New Securities'!H17="","",'Define New Securities'!H17)</f>
        <v/>
      </c>
      <c r="D49" s="41"/>
      <c r="E49" s="41"/>
      <c r="F49" s="41"/>
      <c r="G49" s="41"/>
      <c r="H49" s="41"/>
      <c r="I49" s="43"/>
    </row>
    <row r="50" spans="2:15" x14ac:dyDescent="0.25">
      <c r="B50" s="15">
        <v>5</v>
      </c>
      <c r="C50" s="44" t="str">
        <f>IF('Define New Securities'!H18="","",'Define New Securities'!H18)</f>
        <v/>
      </c>
      <c r="D50" s="45"/>
      <c r="E50" s="45"/>
      <c r="F50" s="45"/>
      <c r="G50" s="45"/>
      <c r="H50" s="45"/>
      <c r="I50" s="46"/>
    </row>
    <row r="53" spans="2:15" ht="15" customHeight="1" x14ac:dyDescent="0.25">
      <c r="C53" s="215" t="s">
        <v>208</v>
      </c>
      <c r="D53" s="216"/>
      <c r="E53" s="216"/>
      <c r="F53" s="216"/>
      <c r="G53" s="216"/>
      <c r="H53" s="216"/>
      <c r="I53" s="217"/>
      <c r="J53" s="8"/>
      <c r="K53" s="8"/>
      <c r="L53" s="8"/>
      <c r="M53" s="8"/>
      <c r="N53" s="8"/>
      <c r="O53" s="8"/>
    </row>
    <row r="54" spans="2:15" x14ac:dyDescent="0.25">
      <c r="C54" s="224"/>
      <c r="D54" s="225"/>
      <c r="E54" s="225"/>
      <c r="F54" s="225"/>
      <c r="G54" s="225"/>
      <c r="H54" s="225"/>
      <c r="I54" s="226"/>
      <c r="J54" s="8"/>
      <c r="K54" s="8"/>
      <c r="L54" s="8"/>
      <c r="M54" s="8"/>
      <c r="N54" s="8"/>
      <c r="O54" s="8"/>
    </row>
    <row r="55" spans="2:15" x14ac:dyDescent="0.25">
      <c r="C55" s="224"/>
      <c r="D55" s="225"/>
      <c r="E55" s="225"/>
      <c r="F55" s="225"/>
      <c r="G55" s="225"/>
      <c r="H55" s="225"/>
      <c r="I55" s="226"/>
      <c r="J55" s="8"/>
      <c r="K55" s="8"/>
      <c r="L55" s="8"/>
      <c r="M55" s="8"/>
      <c r="N55" s="8"/>
      <c r="O55" s="8"/>
    </row>
    <row r="56" spans="2:15" x14ac:dyDescent="0.25">
      <c r="C56" s="224"/>
      <c r="D56" s="225"/>
      <c r="E56" s="225"/>
      <c r="F56" s="225"/>
      <c r="G56" s="225"/>
      <c r="H56" s="225"/>
      <c r="I56" s="226"/>
      <c r="J56" s="8"/>
      <c r="K56" s="8"/>
      <c r="L56" s="8"/>
      <c r="M56" s="8"/>
      <c r="N56" s="8"/>
      <c r="O56" s="8"/>
    </row>
    <row r="57" spans="2:15" x14ac:dyDescent="0.25">
      <c r="C57" s="218"/>
      <c r="D57" s="243"/>
      <c r="E57" s="243"/>
      <c r="F57" s="243"/>
      <c r="G57" s="243"/>
      <c r="H57" s="243"/>
      <c r="I57" s="220"/>
      <c r="J57" s="8"/>
      <c r="K57" s="8"/>
      <c r="L57" s="8"/>
      <c r="M57" s="8"/>
      <c r="N57" s="8"/>
      <c r="O57" s="8"/>
    </row>
  </sheetData>
  <mergeCells count="4">
    <mergeCell ref="C7:F8"/>
    <mergeCell ref="J25:J28"/>
    <mergeCell ref="C10:D10"/>
    <mergeCell ref="C53:I57"/>
  </mergeCells>
  <conditionalFormatting sqref="C46:C50">
    <cfRule type="duplicateValues" dxfId="0"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doRefreshSecurityMaster">
                <anchor moveWithCells="1">
                  <from>
                    <xdr:col>9</xdr:col>
                    <xdr:colOff>638175</xdr:colOff>
                    <xdr:row>26</xdr:row>
                    <xdr:rowOff>85725</xdr:rowOff>
                  </from>
                  <to>
                    <xdr:col>9</xdr:col>
                    <xdr:colOff>1228725</xdr:colOff>
                    <xdr:row>27</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A4200-F848-48F1-A01D-1161C1639C54}">
  <sheetPr codeName="Sheet8"/>
  <dimension ref="B5:V55"/>
  <sheetViews>
    <sheetView zoomScale="70" zoomScaleNormal="70" workbookViewId="0">
      <selection activeCell="C15" sqref="C15:U45"/>
    </sheetView>
  </sheetViews>
  <sheetFormatPr defaultRowHeight="15" x14ac:dyDescent="0.25"/>
  <cols>
    <col min="3" max="3" width="16.140625" customWidth="1"/>
    <col min="4" max="4" width="27.42578125" customWidth="1"/>
    <col min="5" max="5" width="14.5703125" customWidth="1"/>
    <col min="6" max="6" width="16.42578125" customWidth="1"/>
    <col min="7" max="7" width="19" customWidth="1"/>
    <col min="8" max="8" width="19.28515625" customWidth="1"/>
    <col min="9" max="9" width="19.140625" customWidth="1"/>
    <col min="10" max="10" width="16.28515625" customWidth="1"/>
    <col min="11" max="11" width="20.7109375" customWidth="1"/>
    <col min="12" max="12" width="19.5703125" customWidth="1"/>
    <col min="13" max="13" width="15.28515625" customWidth="1"/>
    <col min="14" max="14" width="13.85546875" customWidth="1"/>
    <col min="15" max="15" width="15.7109375" customWidth="1"/>
    <col min="16" max="16" width="18.85546875" customWidth="1"/>
    <col min="17" max="18" width="15.42578125" customWidth="1"/>
    <col min="19" max="19" width="18.42578125" customWidth="1"/>
    <col min="20" max="20" width="26.140625" customWidth="1"/>
    <col min="21" max="21" width="18.42578125" customWidth="1"/>
    <col min="22" max="22" width="17" customWidth="1"/>
    <col min="23" max="23" width="14.28515625" customWidth="1"/>
    <col min="24" max="24" width="13" customWidth="1"/>
  </cols>
  <sheetData>
    <row r="5" spans="2:22" x14ac:dyDescent="0.25">
      <c r="L5" s="257" t="s">
        <v>112</v>
      </c>
      <c r="M5" s="257"/>
      <c r="N5" s="257"/>
    </row>
    <row r="6" spans="2:22" x14ac:dyDescent="0.25">
      <c r="L6" s="257"/>
      <c r="M6" s="257"/>
      <c r="N6" s="257"/>
    </row>
    <row r="7" spans="2:22" x14ac:dyDescent="0.25">
      <c r="C7" s="232" t="s">
        <v>108</v>
      </c>
      <c r="D7" s="233"/>
      <c r="E7" s="233"/>
      <c r="F7" s="233"/>
      <c r="G7" s="233"/>
      <c r="H7" s="233"/>
      <c r="I7" s="234"/>
      <c r="L7" s="257"/>
      <c r="M7" s="257"/>
      <c r="N7" s="257"/>
    </row>
    <row r="8" spans="2:22" x14ac:dyDescent="0.25">
      <c r="C8" s="235"/>
      <c r="D8" s="236"/>
      <c r="E8" s="236"/>
      <c r="F8" s="236"/>
      <c r="G8" s="236"/>
      <c r="H8" s="236"/>
      <c r="I8" s="237"/>
      <c r="L8" s="257"/>
      <c r="M8" s="257"/>
      <c r="N8" s="257"/>
    </row>
    <row r="9" spans="2:22" ht="15.75" x14ac:dyDescent="0.25">
      <c r="C9" s="91"/>
      <c r="D9" s="91"/>
      <c r="E9" s="91"/>
      <c r="F9" s="91"/>
      <c r="G9" s="91"/>
      <c r="H9" s="91"/>
      <c r="I9" s="91"/>
      <c r="L9" s="257"/>
      <c r="M9" s="257"/>
      <c r="N9" s="257"/>
    </row>
    <row r="10" spans="2:22" x14ac:dyDescent="0.25">
      <c r="C10" s="258" t="s">
        <v>206</v>
      </c>
      <c r="D10" s="259"/>
      <c r="E10" s="259"/>
      <c r="F10" s="260"/>
      <c r="G10" s="264"/>
      <c r="H10" s="191"/>
      <c r="I10" s="191"/>
    </row>
    <row r="11" spans="2:22" x14ac:dyDescent="0.25">
      <c r="C11" s="261"/>
      <c r="D11" s="262"/>
      <c r="E11" s="262"/>
      <c r="F11" s="263"/>
      <c r="G11" s="264"/>
      <c r="H11" s="191"/>
      <c r="I11" s="191"/>
    </row>
    <row r="12" spans="2:22" x14ac:dyDescent="0.25">
      <c r="G12" s="4"/>
    </row>
    <row r="13" spans="2:22" ht="26.25" customHeight="1" x14ac:dyDescent="0.25">
      <c r="C13" s="265" t="s">
        <v>109</v>
      </c>
      <c r="D13" s="266"/>
      <c r="E13" s="266"/>
      <c r="F13" s="266"/>
      <c r="G13" s="266"/>
      <c r="H13" s="266"/>
      <c r="I13" s="266"/>
      <c r="J13" s="266"/>
      <c r="K13" s="266"/>
      <c r="L13" s="266"/>
      <c r="M13" s="266"/>
      <c r="N13" s="266"/>
      <c r="O13" s="266"/>
      <c r="P13" s="266"/>
      <c r="Q13" s="266"/>
      <c r="R13" s="266"/>
      <c r="S13" s="266"/>
      <c r="T13" s="266"/>
      <c r="U13" s="266"/>
      <c r="V13" s="267"/>
    </row>
    <row r="15" spans="2:22" ht="15.75" thickBot="1" x14ac:dyDescent="0.3">
      <c r="C15" s="96" t="s">
        <v>84</v>
      </c>
      <c r="D15" s="97" t="s">
        <v>85</v>
      </c>
      <c r="E15" s="97" t="s">
        <v>86</v>
      </c>
      <c r="F15" s="97" t="s">
        <v>87</v>
      </c>
      <c r="G15" s="97" t="s">
        <v>88</v>
      </c>
      <c r="H15" s="97" t="s">
        <v>89</v>
      </c>
      <c r="I15" s="97" t="s">
        <v>90</v>
      </c>
      <c r="J15" s="97" t="s">
        <v>91</v>
      </c>
      <c r="K15" s="97" t="s">
        <v>92</v>
      </c>
      <c r="L15" s="97" t="s">
        <v>93</v>
      </c>
      <c r="M15" s="97" t="s">
        <v>94</v>
      </c>
      <c r="N15" s="97" t="s">
        <v>95</v>
      </c>
      <c r="O15" s="97" t="s">
        <v>96</v>
      </c>
      <c r="P15" s="97" t="s">
        <v>97</v>
      </c>
      <c r="Q15" s="97" t="s">
        <v>98</v>
      </c>
      <c r="R15" s="97" t="s">
        <v>99</v>
      </c>
      <c r="S15" s="97" t="s">
        <v>100</v>
      </c>
      <c r="T15" s="211"/>
      <c r="U15" s="212"/>
      <c r="V15" s="95" t="s">
        <v>5</v>
      </c>
    </row>
    <row r="16" spans="2:22" ht="22.5" customHeight="1" thickTop="1" x14ac:dyDescent="0.25">
      <c r="B16" s="93">
        <v>1</v>
      </c>
      <c r="C16" s="184" t="s">
        <v>200</v>
      </c>
      <c r="D16" s="164" t="str">
        <f>Setup!D14</f>
        <v>FIGI_BBG00JVK5K09</v>
      </c>
      <c r="E16" s="165">
        <f t="shared" ref="E16:F20" ca="1" si="0">TODAY()</f>
        <v>43221</v>
      </c>
      <c r="F16" s="165">
        <f t="shared" ca="1" si="0"/>
        <v>43221</v>
      </c>
      <c r="G16" s="178" t="s">
        <v>134</v>
      </c>
      <c r="H16" s="164">
        <v>22</v>
      </c>
      <c r="I16" s="164" t="s">
        <v>102</v>
      </c>
      <c r="J16" s="164" t="s">
        <v>103</v>
      </c>
      <c r="K16" s="164" t="s">
        <v>104</v>
      </c>
      <c r="L16" s="164" t="s">
        <v>106</v>
      </c>
      <c r="M16" s="164" t="s">
        <v>101</v>
      </c>
      <c r="N16" s="164" t="s">
        <v>107</v>
      </c>
      <c r="O16" s="164">
        <v>123</v>
      </c>
      <c r="P16" s="164">
        <v>1111111</v>
      </c>
      <c r="Q16" s="164">
        <v>2</v>
      </c>
      <c r="R16" s="164" t="s">
        <v>105</v>
      </c>
      <c r="S16" s="164" t="s">
        <v>104</v>
      </c>
      <c r="T16" s="178"/>
      <c r="U16" s="129"/>
      <c r="V16" s="202"/>
    </row>
    <row r="17" spans="2:22" x14ac:dyDescent="0.25">
      <c r="B17" s="94">
        <v>2</v>
      </c>
      <c r="C17" s="184" t="s">
        <v>201</v>
      </c>
      <c r="D17" s="164" t="str">
        <f>Setup!D15</f>
        <v>FIGI_BBG00DL94N94</v>
      </c>
      <c r="E17" s="165">
        <f t="shared" ca="1" si="0"/>
        <v>43221</v>
      </c>
      <c r="F17" s="165">
        <f t="shared" ca="1" si="0"/>
        <v>43221</v>
      </c>
      <c r="G17" s="178" t="s">
        <v>134</v>
      </c>
      <c r="H17" s="164">
        <v>23</v>
      </c>
      <c r="I17" s="164" t="s">
        <v>102</v>
      </c>
      <c r="J17" s="164" t="s">
        <v>103</v>
      </c>
      <c r="K17" s="164" t="s">
        <v>104</v>
      </c>
      <c r="L17" s="164" t="s">
        <v>106</v>
      </c>
      <c r="M17" s="164" t="s">
        <v>101</v>
      </c>
      <c r="N17" s="164" t="s">
        <v>107</v>
      </c>
      <c r="O17" s="164">
        <v>123</v>
      </c>
      <c r="P17" s="164">
        <v>1111111</v>
      </c>
      <c r="Q17" s="164">
        <v>2</v>
      </c>
      <c r="R17" s="164" t="s">
        <v>105</v>
      </c>
      <c r="S17" s="164" t="s">
        <v>104</v>
      </c>
      <c r="T17" s="178"/>
      <c r="U17" s="129"/>
      <c r="V17" s="134"/>
    </row>
    <row r="18" spans="2:22" x14ac:dyDescent="0.25">
      <c r="B18" s="94">
        <v>3</v>
      </c>
      <c r="C18" s="184" t="s">
        <v>202</v>
      </c>
      <c r="D18" s="164" t="str">
        <f>Setup!D16</f>
        <v>FIGI_BBG00DL98GH6</v>
      </c>
      <c r="E18" s="165">
        <f t="shared" ca="1" si="0"/>
        <v>43221</v>
      </c>
      <c r="F18" s="165">
        <f t="shared" ca="1" si="0"/>
        <v>43221</v>
      </c>
      <c r="G18" s="178" t="s">
        <v>134</v>
      </c>
      <c r="H18" s="164">
        <v>24</v>
      </c>
      <c r="I18" s="164" t="s">
        <v>102</v>
      </c>
      <c r="J18" s="164" t="s">
        <v>103</v>
      </c>
      <c r="K18" s="164" t="s">
        <v>104</v>
      </c>
      <c r="L18" s="164" t="s">
        <v>106</v>
      </c>
      <c r="M18" s="164" t="s">
        <v>101</v>
      </c>
      <c r="N18" s="164" t="s">
        <v>107</v>
      </c>
      <c r="O18" s="164">
        <v>123</v>
      </c>
      <c r="P18" s="164">
        <v>1111111</v>
      </c>
      <c r="Q18" s="164">
        <v>2</v>
      </c>
      <c r="R18" s="164" t="s">
        <v>105</v>
      </c>
      <c r="S18" s="164" t="s">
        <v>104</v>
      </c>
      <c r="T18" s="178"/>
      <c r="U18" s="129"/>
      <c r="V18" s="134"/>
    </row>
    <row r="19" spans="2:22" x14ac:dyDescent="0.25">
      <c r="B19" s="94">
        <v>4</v>
      </c>
      <c r="C19" s="184" t="s">
        <v>203</v>
      </c>
      <c r="D19" s="164" t="str">
        <f>Setup!D17</f>
        <v>FIGI_BBG00FF56P88</v>
      </c>
      <c r="E19" s="165">
        <f t="shared" ca="1" si="0"/>
        <v>43221</v>
      </c>
      <c r="F19" s="165">
        <f t="shared" ca="1" si="0"/>
        <v>43221</v>
      </c>
      <c r="G19" s="178" t="s">
        <v>134</v>
      </c>
      <c r="H19" s="164">
        <v>25</v>
      </c>
      <c r="I19" s="164" t="s">
        <v>102</v>
      </c>
      <c r="J19" s="164" t="s">
        <v>103</v>
      </c>
      <c r="K19" s="164" t="s">
        <v>104</v>
      </c>
      <c r="L19" s="164" t="s">
        <v>106</v>
      </c>
      <c r="M19" s="164" t="s">
        <v>101</v>
      </c>
      <c r="N19" s="164" t="s">
        <v>107</v>
      </c>
      <c r="O19" s="164">
        <v>123</v>
      </c>
      <c r="P19" s="164">
        <v>1111111</v>
      </c>
      <c r="Q19" s="164">
        <v>2</v>
      </c>
      <c r="R19" s="164" t="s">
        <v>105</v>
      </c>
      <c r="S19" s="164" t="s">
        <v>104</v>
      </c>
      <c r="T19" s="178"/>
      <c r="U19" s="129"/>
      <c r="V19" s="134"/>
    </row>
    <row r="20" spans="2:22" x14ac:dyDescent="0.25">
      <c r="B20" s="94">
        <v>5</v>
      </c>
      <c r="C20" s="184" t="s">
        <v>204</v>
      </c>
      <c r="D20" s="164" t="str">
        <f>Setup!D18</f>
        <v>FIGI_BBG00DL98GS4</v>
      </c>
      <c r="E20" s="165">
        <f t="shared" ca="1" si="0"/>
        <v>43221</v>
      </c>
      <c r="F20" s="165">
        <f t="shared" ca="1" si="0"/>
        <v>43221</v>
      </c>
      <c r="G20" s="178" t="s">
        <v>134</v>
      </c>
      <c r="H20" s="164">
        <v>26</v>
      </c>
      <c r="I20" s="164" t="s">
        <v>102</v>
      </c>
      <c r="J20" s="164" t="s">
        <v>103</v>
      </c>
      <c r="K20" s="164" t="s">
        <v>104</v>
      </c>
      <c r="L20" s="164" t="s">
        <v>106</v>
      </c>
      <c r="M20" s="164" t="s">
        <v>101</v>
      </c>
      <c r="N20" s="164" t="s">
        <v>107</v>
      </c>
      <c r="O20" s="164">
        <v>123</v>
      </c>
      <c r="P20" s="164">
        <v>1111111</v>
      </c>
      <c r="Q20" s="164">
        <v>2</v>
      </c>
      <c r="R20" s="164" t="s">
        <v>105</v>
      </c>
      <c r="S20" s="164" t="s">
        <v>104</v>
      </c>
      <c r="T20" s="178"/>
      <c r="U20" s="129"/>
      <c r="V20" s="134"/>
    </row>
    <row r="21" spans="2:22" x14ac:dyDescent="0.25">
      <c r="B21" s="94">
        <v>6</v>
      </c>
      <c r="C21" s="184"/>
      <c r="D21" s="164"/>
      <c r="E21" s="165"/>
      <c r="F21" s="165"/>
      <c r="G21" s="178"/>
      <c r="H21" s="164"/>
      <c r="I21" s="164"/>
      <c r="J21" s="164"/>
      <c r="K21" s="164"/>
      <c r="L21" s="164"/>
      <c r="M21" s="164"/>
      <c r="N21" s="164"/>
      <c r="O21" s="164"/>
      <c r="P21" s="164"/>
      <c r="Q21" s="164"/>
      <c r="R21" s="164"/>
      <c r="S21" s="164"/>
      <c r="T21" s="178"/>
      <c r="U21" s="129"/>
      <c r="V21" s="134"/>
    </row>
    <row r="22" spans="2:22" x14ac:dyDescent="0.25">
      <c r="B22" s="94">
        <v>7</v>
      </c>
      <c r="C22" s="184"/>
      <c r="D22" s="164"/>
      <c r="E22" s="165"/>
      <c r="F22" s="165"/>
      <c r="G22" s="178"/>
      <c r="H22" s="164"/>
      <c r="I22" s="164"/>
      <c r="J22" s="164"/>
      <c r="K22" s="164"/>
      <c r="L22" s="164"/>
      <c r="M22" s="164"/>
      <c r="N22" s="164"/>
      <c r="O22" s="164"/>
      <c r="P22" s="164"/>
      <c r="Q22" s="164"/>
      <c r="R22" s="164"/>
      <c r="S22" s="164"/>
      <c r="T22" s="178"/>
      <c r="U22" s="129"/>
      <c r="V22" s="134"/>
    </row>
    <row r="23" spans="2:22" x14ac:dyDescent="0.25">
      <c r="B23" s="94">
        <v>8</v>
      </c>
      <c r="C23" s="184"/>
      <c r="D23" s="164"/>
      <c r="E23" s="165"/>
      <c r="F23" s="165"/>
      <c r="G23" s="178"/>
      <c r="H23" s="164"/>
      <c r="I23" s="164"/>
      <c r="J23" s="164"/>
      <c r="K23" s="164"/>
      <c r="L23" s="164"/>
      <c r="M23" s="164"/>
      <c r="N23" s="164"/>
      <c r="O23" s="164"/>
      <c r="P23" s="164"/>
      <c r="Q23" s="164"/>
      <c r="R23" s="164"/>
      <c r="S23" s="164"/>
      <c r="T23" s="178"/>
      <c r="U23" s="129"/>
      <c r="V23" s="134"/>
    </row>
    <row r="24" spans="2:22" x14ac:dyDescent="0.25">
      <c r="B24" s="94">
        <v>9</v>
      </c>
      <c r="C24" s="184"/>
      <c r="D24" s="164"/>
      <c r="E24" s="165"/>
      <c r="F24" s="165"/>
      <c r="G24" s="178"/>
      <c r="H24" s="164"/>
      <c r="I24" s="164"/>
      <c r="J24" s="164"/>
      <c r="K24" s="164"/>
      <c r="L24" s="164"/>
      <c r="M24" s="164"/>
      <c r="N24" s="164"/>
      <c r="O24" s="164"/>
      <c r="P24" s="164"/>
      <c r="Q24" s="164"/>
      <c r="R24" s="164"/>
      <c r="S24" s="164"/>
      <c r="T24" s="178"/>
      <c r="U24" s="129"/>
      <c r="V24" s="134"/>
    </row>
    <row r="25" spans="2:22" x14ac:dyDescent="0.25">
      <c r="B25" s="94">
        <v>10</v>
      </c>
      <c r="C25" s="184"/>
      <c r="D25" s="164"/>
      <c r="E25" s="165"/>
      <c r="F25" s="165"/>
      <c r="G25" s="178"/>
      <c r="H25" s="164"/>
      <c r="I25" s="164"/>
      <c r="J25" s="164"/>
      <c r="K25" s="164"/>
      <c r="L25" s="164"/>
      <c r="M25" s="164"/>
      <c r="N25" s="164"/>
      <c r="O25" s="164"/>
      <c r="P25" s="164"/>
      <c r="Q25" s="164"/>
      <c r="R25" s="164"/>
      <c r="S25" s="164"/>
      <c r="T25" s="178"/>
      <c r="U25" s="129"/>
      <c r="V25" s="134"/>
    </row>
    <row r="26" spans="2:22" x14ac:dyDescent="0.25">
      <c r="B26" s="94">
        <v>11</v>
      </c>
      <c r="C26" s="184"/>
      <c r="D26" s="164"/>
      <c r="E26" s="165"/>
      <c r="F26" s="165"/>
      <c r="G26" s="178"/>
      <c r="H26" s="164"/>
      <c r="I26" s="164"/>
      <c r="J26" s="164"/>
      <c r="K26" s="164"/>
      <c r="L26" s="164"/>
      <c r="M26" s="164"/>
      <c r="N26" s="164"/>
      <c r="O26" s="164"/>
      <c r="P26" s="164"/>
      <c r="Q26" s="164"/>
      <c r="R26" s="164"/>
      <c r="S26" s="164"/>
      <c r="T26" s="178"/>
      <c r="U26" s="129"/>
      <c r="V26" s="134"/>
    </row>
    <row r="27" spans="2:22" x14ac:dyDescent="0.25">
      <c r="B27" s="94">
        <v>12</v>
      </c>
      <c r="C27" s="184"/>
      <c r="D27" s="164"/>
      <c r="E27" s="165"/>
      <c r="F27" s="165"/>
      <c r="G27" s="178"/>
      <c r="H27" s="164"/>
      <c r="I27" s="164"/>
      <c r="J27" s="164"/>
      <c r="K27" s="164"/>
      <c r="L27" s="164"/>
      <c r="M27" s="164"/>
      <c r="N27" s="164"/>
      <c r="O27" s="164"/>
      <c r="P27" s="164"/>
      <c r="Q27" s="164"/>
      <c r="R27" s="164"/>
      <c r="S27" s="164"/>
      <c r="T27" s="178"/>
      <c r="U27" s="129"/>
      <c r="V27" s="134"/>
    </row>
    <row r="28" spans="2:22" x14ac:dyDescent="0.25">
      <c r="B28" s="94">
        <v>13</v>
      </c>
      <c r="C28" s="184"/>
      <c r="D28" s="164"/>
      <c r="E28" s="165"/>
      <c r="F28" s="165"/>
      <c r="G28" s="178"/>
      <c r="H28" s="164"/>
      <c r="I28" s="164"/>
      <c r="J28" s="164"/>
      <c r="K28" s="164"/>
      <c r="L28" s="164"/>
      <c r="M28" s="164"/>
      <c r="N28" s="164"/>
      <c r="O28" s="164"/>
      <c r="P28" s="164"/>
      <c r="Q28" s="164"/>
      <c r="R28" s="164"/>
      <c r="S28" s="164"/>
      <c r="T28" s="178"/>
      <c r="U28" s="129"/>
      <c r="V28" s="134"/>
    </row>
    <row r="29" spans="2:22" x14ac:dyDescent="0.25">
      <c r="B29" s="94">
        <v>14</v>
      </c>
      <c r="C29" s="184"/>
      <c r="D29" s="164"/>
      <c r="E29" s="165"/>
      <c r="F29" s="165"/>
      <c r="G29" s="178"/>
      <c r="H29" s="164"/>
      <c r="I29" s="164"/>
      <c r="J29" s="164"/>
      <c r="K29" s="164"/>
      <c r="L29" s="164"/>
      <c r="M29" s="164"/>
      <c r="N29" s="164"/>
      <c r="O29" s="164"/>
      <c r="P29" s="164"/>
      <c r="Q29" s="164"/>
      <c r="R29" s="164"/>
      <c r="S29" s="164"/>
      <c r="T29" s="178"/>
      <c r="U29" s="129"/>
      <c r="V29" s="134"/>
    </row>
    <row r="30" spans="2:22" x14ac:dyDescent="0.25">
      <c r="B30" s="94">
        <v>15</v>
      </c>
      <c r="C30" s="184"/>
      <c r="D30" s="164"/>
      <c r="E30" s="165"/>
      <c r="F30" s="165"/>
      <c r="G30" s="178"/>
      <c r="H30" s="164"/>
      <c r="I30" s="164"/>
      <c r="J30" s="164"/>
      <c r="K30" s="164"/>
      <c r="L30" s="164"/>
      <c r="M30" s="164"/>
      <c r="N30" s="164"/>
      <c r="O30" s="164"/>
      <c r="P30" s="164"/>
      <c r="Q30" s="164"/>
      <c r="R30" s="164"/>
      <c r="S30" s="164"/>
      <c r="T30" s="178"/>
      <c r="U30" s="129"/>
      <c r="V30" s="134"/>
    </row>
    <row r="31" spans="2:22" x14ac:dyDescent="0.25">
      <c r="B31" s="94">
        <v>16</v>
      </c>
      <c r="C31" s="184"/>
      <c r="D31" s="164"/>
      <c r="E31" s="165"/>
      <c r="F31" s="165"/>
      <c r="G31" s="178"/>
      <c r="H31" s="164"/>
      <c r="I31" s="164"/>
      <c r="J31" s="164"/>
      <c r="K31" s="164"/>
      <c r="L31" s="164"/>
      <c r="M31" s="164"/>
      <c r="N31" s="164"/>
      <c r="O31" s="164"/>
      <c r="P31" s="164"/>
      <c r="Q31" s="164"/>
      <c r="R31" s="164"/>
      <c r="S31" s="164"/>
      <c r="T31" s="178"/>
      <c r="U31" s="129"/>
      <c r="V31" s="134"/>
    </row>
    <row r="32" spans="2:22" x14ac:dyDescent="0.25">
      <c r="B32" s="94">
        <v>17</v>
      </c>
      <c r="C32" s="184"/>
      <c r="D32" s="164"/>
      <c r="E32" s="165"/>
      <c r="F32" s="165"/>
      <c r="G32" s="178"/>
      <c r="H32" s="164"/>
      <c r="I32" s="164"/>
      <c r="J32" s="164"/>
      <c r="K32" s="164"/>
      <c r="L32" s="164"/>
      <c r="M32" s="164"/>
      <c r="N32" s="164"/>
      <c r="O32" s="164"/>
      <c r="P32" s="164"/>
      <c r="Q32" s="164"/>
      <c r="R32" s="164"/>
      <c r="S32" s="164"/>
      <c r="T32" s="178"/>
      <c r="U32" s="129"/>
      <c r="V32" s="134"/>
    </row>
    <row r="33" spans="2:22" x14ac:dyDescent="0.25">
      <c r="B33" s="94">
        <v>18</v>
      </c>
      <c r="C33" s="184"/>
      <c r="D33" s="164"/>
      <c r="E33" s="165"/>
      <c r="F33" s="165"/>
      <c r="G33" s="178"/>
      <c r="H33" s="164"/>
      <c r="I33" s="164"/>
      <c r="J33" s="164"/>
      <c r="K33" s="164"/>
      <c r="L33" s="164"/>
      <c r="M33" s="164"/>
      <c r="N33" s="164"/>
      <c r="O33" s="164"/>
      <c r="P33" s="164"/>
      <c r="Q33" s="164"/>
      <c r="R33" s="164"/>
      <c r="S33" s="164"/>
      <c r="T33" s="178"/>
      <c r="U33" s="129"/>
      <c r="V33" s="134"/>
    </row>
    <row r="34" spans="2:22" x14ac:dyDescent="0.25">
      <c r="B34" s="94">
        <v>19</v>
      </c>
      <c r="C34" s="184"/>
      <c r="D34" s="164"/>
      <c r="E34" s="165"/>
      <c r="F34" s="165"/>
      <c r="G34" s="178"/>
      <c r="H34" s="164"/>
      <c r="I34" s="164"/>
      <c r="J34" s="164"/>
      <c r="K34" s="164"/>
      <c r="L34" s="164"/>
      <c r="M34" s="164"/>
      <c r="N34" s="164"/>
      <c r="O34" s="164"/>
      <c r="P34" s="164"/>
      <c r="Q34" s="164"/>
      <c r="R34" s="164"/>
      <c r="S34" s="164"/>
      <c r="T34" s="178"/>
      <c r="U34" s="129"/>
      <c r="V34" s="134"/>
    </row>
    <row r="35" spans="2:22" x14ac:dyDescent="0.25">
      <c r="B35" s="94">
        <v>20</v>
      </c>
      <c r="C35" s="184"/>
      <c r="D35" s="164"/>
      <c r="E35" s="165"/>
      <c r="F35" s="165"/>
      <c r="G35" s="178"/>
      <c r="H35" s="164"/>
      <c r="I35" s="164"/>
      <c r="J35" s="164"/>
      <c r="K35" s="164"/>
      <c r="L35" s="164"/>
      <c r="M35" s="164"/>
      <c r="N35" s="164"/>
      <c r="O35" s="164"/>
      <c r="P35" s="164"/>
      <c r="Q35" s="164"/>
      <c r="R35" s="164"/>
      <c r="S35" s="164"/>
      <c r="T35" s="178"/>
      <c r="U35" s="129"/>
      <c r="V35" s="134"/>
    </row>
    <row r="36" spans="2:22" x14ac:dyDescent="0.25">
      <c r="B36" s="94">
        <v>21</v>
      </c>
      <c r="C36" s="184"/>
      <c r="D36" s="164"/>
      <c r="E36" s="165"/>
      <c r="F36" s="165"/>
      <c r="G36" s="178"/>
      <c r="H36" s="164"/>
      <c r="I36" s="164"/>
      <c r="J36" s="164"/>
      <c r="K36" s="164"/>
      <c r="L36" s="164"/>
      <c r="M36" s="164"/>
      <c r="N36" s="164"/>
      <c r="O36" s="164"/>
      <c r="P36" s="164"/>
      <c r="Q36" s="164"/>
      <c r="R36" s="164"/>
      <c r="S36" s="164"/>
      <c r="T36" s="178"/>
      <c r="U36" s="129"/>
      <c r="V36" s="134"/>
    </row>
    <row r="37" spans="2:22" x14ac:dyDescent="0.25">
      <c r="B37" s="94">
        <v>22</v>
      </c>
      <c r="C37" s="184"/>
      <c r="D37" s="164"/>
      <c r="E37" s="165"/>
      <c r="F37" s="165"/>
      <c r="G37" s="178"/>
      <c r="H37" s="164"/>
      <c r="I37" s="164"/>
      <c r="J37" s="164"/>
      <c r="K37" s="164"/>
      <c r="L37" s="164"/>
      <c r="M37" s="164"/>
      <c r="N37" s="164"/>
      <c r="O37" s="164"/>
      <c r="P37" s="164"/>
      <c r="Q37" s="164"/>
      <c r="R37" s="164"/>
      <c r="S37" s="164"/>
      <c r="T37" s="178"/>
      <c r="U37" s="129"/>
      <c r="V37" s="134"/>
    </row>
    <row r="38" spans="2:22" x14ac:dyDescent="0.25">
      <c r="B38" s="94">
        <v>23</v>
      </c>
      <c r="C38" s="184"/>
      <c r="D38" s="164"/>
      <c r="E38" s="165"/>
      <c r="F38" s="165"/>
      <c r="G38" s="178"/>
      <c r="H38" s="164"/>
      <c r="I38" s="164"/>
      <c r="J38" s="164"/>
      <c r="K38" s="164"/>
      <c r="L38" s="164"/>
      <c r="M38" s="164"/>
      <c r="N38" s="164"/>
      <c r="O38" s="164"/>
      <c r="P38" s="164"/>
      <c r="Q38" s="164"/>
      <c r="R38" s="164"/>
      <c r="S38" s="164"/>
      <c r="T38" s="178"/>
      <c r="U38" s="129"/>
      <c r="V38" s="134"/>
    </row>
    <row r="39" spans="2:22" x14ac:dyDescent="0.25">
      <c r="B39" s="94">
        <v>24</v>
      </c>
      <c r="C39" s="184"/>
      <c r="D39" s="164"/>
      <c r="E39" s="165"/>
      <c r="F39" s="165"/>
      <c r="G39" s="178"/>
      <c r="H39" s="164"/>
      <c r="I39" s="164"/>
      <c r="J39" s="164"/>
      <c r="K39" s="164"/>
      <c r="L39" s="164"/>
      <c r="M39" s="164"/>
      <c r="N39" s="164"/>
      <c r="O39" s="164"/>
      <c r="P39" s="164"/>
      <c r="Q39" s="164"/>
      <c r="R39" s="164"/>
      <c r="S39" s="164"/>
      <c r="T39" s="178"/>
      <c r="U39" s="129"/>
      <c r="V39" s="134"/>
    </row>
    <row r="40" spans="2:22" x14ac:dyDescent="0.25">
      <c r="B40" s="94">
        <v>25</v>
      </c>
      <c r="C40" s="184"/>
      <c r="D40" s="164"/>
      <c r="E40" s="165"/>
      <c r="F40" s="165"/>
      <c r="G40" s="178"/>
      <c r="H40" s="164"/>
      <c r="I40" s="164"/>
      <c r="J40" s="164"/>
      <c r="K40" s="164"/>
      <c r="L40" s="164"/>
      <c r="M40" s="164"/>
      <c r="N40" s="164"/>
      <c r="O40" s="164"/>
      <c r="P40" s="164"/>
      <c r="Q40" s="164"/>
      <c r="R40" s="164"/>
      <c r="S40" s="164"/>
      <c r="T40" s="178"/>
      <c r="U40" s="129"/>
      <c r="V40" s="134"/>
    </row>
    <row r="41" spans="2:22" x14ac:dyDescent="0.25">
      <c r="B41" s="94">
        <v>26</v>
      </c>
      <c r="C41" s="184"/>
      <c r="D41" s="164"/>
      <c r="E41" s="165"/>
      <c r="F41" s="165"/>
      <c r="G41" s="178"/>
      <c r="H41" s="164"/>
      <c r="I41" s="164"/>
      <c r="J41" s="164"/>
      <c r="K41" s="164"/>
      <c r="L41" s="164"/>
      <c r="M41" s="164"/>
      <c r="N41" s="164"/>
      <c r="O41" s="164"/>
      <c r="P41" s="164"/>
      <c r="Q41" s="164"/>
      <c r="R41" s="164"/>
      <c r="S41" s="164"/>
      <c r="T41" s="178"/>
      <c r="U41" s="129"/>
      <c r="V41" s="134"/>
    </row>
    <row r="42" spans="2:22" x14ac:dyDescent="0.25">
      <c r="B42" s="94">
        <v>27</v>
      </c>
      <c r="C42" s="184"/>
      <c r="D42" s="164" t="e">
        <f>Setup!D40</f>
        <v>#N/A</v>
      </c>
      <c r="E42" s="165"/>
      <c r="F42" s="165"/>
      <c r="G42" s="178"/>
      <c r="H42" s="164"/>
      <c r="I42" s="164"/>
      <c r="J42" s="164"/>
      <c r="K42" s="164"/>
      <c r="L42" s="164"/>
      <c r="M42" s="164"/>
      <c r="N42" s="164"/>
      <c r="O42" s="164"/>
      <c r="P42" s="164"/>
      <c r="Q42" s="164"/>
      <c r="R42" s="164"/>
      <c r="S42" s="164"/>
      <c r="T42" s="178"/>
      <c r="U42" s="129"/>
      <c r="V42" s="134"/>
    </row>
    <row r="43" spans="2:22" x14ac:dyDescent="0.25">
      <c r="B43" s="94">
        <v>28</v>
      </c>
      <c r="C43" s="184"/>
      <c r="D43" s="164" t="e">
        <f>Setup!D41</f>
        <v>#N/A</v>
      </c>
      <c r="E43" s="165"/>
      <c r="F43" s="165"/>
      <c r="G43" s="178"/>
      <c r="H43" s="164"/>
      <c r="I43" s="164"/>
      <c r="J43" s="164"/>
      <c r="K43" s="164"/>
      <c r="L43" s="164"/>
      <c r="M43" s="164"/>
      <c r="N43" s="164"/>
      <c r="O43" s="164"/>
      <c r="P43" s="164"/>
      <c r="Q43" s="164"/>
      <c r="R43" s="164"/>
      <c r="S43" s="164"/>
      <c r="T43" s="178"/>
      <c r="U43" s="129"/>
      <c r="V43" s="134"/>
    </row>
    <row r="44" spans="2:22" x14ac:dyDescent="0.25">
      <c r="B44" s="94">
        <v>29</v>
      </c>
      <c r="C44" s="184"/>
      <c r="D44" s="164" t="e">
        <f>Setup!D42</f>
        <v>#N/A</v>
      </c>
      <c r="E44" s="165"/>
      <c r="F44" s="165"/>
      <c r="G44" s="178"/>
      <c r="H44" s="164"/>
      <c r="I44" s="164"/>
      <c r="J44" s="164"/>
      <c r="K44" s="164"/>
      <c r="L44" s="164"/>
      <c r="M44" s="164"/>
      <c r="N44" s="164"/>
      <c r="O44" s="164"/>
      <c r="P44" s="164"/>
      <c r="Q44" s="164"/>
      <c r="R44" s="164"/>
      <c r="S44" s="164"/>
      <c r="T44" s="178"/>
      <c r="U44" s="129"/>
      <c r="V44" s="134"/>
    </row>
    <row r="45" spans="2:22" x14ac:dyDescent="0.25">
      <c r="B45" s="92">
        <v>30</v>
      </c>
      <c r="C45" s="136"/>
      <c r="D45" s="166" t="e">
        <f>Setup!D43</f>
        <v>#N/A</v>
      </c>
      <c r="E45" s="137"/>
      <c r="F45" s="137"/>
      <c r="G45" s="138"/>
      <c r="H45" s="166"/>
      <c r="I45" s="166"/>
      <c r="J45" s="166"/>
      <c r="K45" s="166"/>
      <c r="L45" s="166"/>
      <c r="M45" s="166"/>
      <c r="N45" s="166"/>
      <c r="O45" s="166"/>
      <c r="P45" s="166"/>
      <c r="Q45" s="166"/>
      <c r="R45" s="166"/>
      <c r="S45" s="166"/>
      <c r="T45" s="138"/>
      <c r="U45" s="139"/>
      <c r="V45" s="135"/>
    </row>
    <row r="48" spans="2:22" ht="15" customHeight="1" x14ac:dyDescent="0.25">
      <c r="C48" s="215" t="s">
        <v>110</v>
      </c>
      <c r="D48" s="216"/>
      <c r="E48" s="216"/>
      <c r="F48" s="216"/>
      <c r="G48" s="216"/>
      <c r="H48" s="216"/>
      <c r="I48" s="216"/>
      <c r="J48" s="216"/>
      <c r="K48" s="216"/>
      <c r="L48" s="216"/>
      <c r="M48" s="216"/>
      <c r="N48" s="216"/>
      <c r="O48" s="216"/>
      <c r="P48" s="216"/>
      <c r="Q48" s="216"/>
      <c r="R48" s="216"/>
      <c r="S48" s="216"/>
      <c r="T48" s="216"/>
      <c r="U48" s="217"/>
    </row>
    <row r="49" spans="3:21" x14ac:dyDescent="0.25">
      <c r="C49" s="224"/>
      <c r="D49" s="225"/>
      <c r="E49" s="225"/>
      <c r="F49" s="225"/>
      <c r="G49" s="225"/>
      <c r="H49" s="225"/>
      <c r="I49" s="225"/>
      <c r="J49" s="225"/>
      <c r="K49" s="225"/>
      <c r="L49" s="225"/>
      <c r="M49" s="225"/>
      <c r="N49" s="225"/>
      <c r="O49" s="225"/>
      <c r="P49" s="225"/>
      <c r="Q49" s="225"/>
      <c r="R49" s="225"/>
      <c r="S49" s="225"/>
      <c r="T49" s="225"/>
      <c r="U49" s="226"/>
    </row>
    <row r="50" spans="3:21" x14ac:dyDescent="0.25">
      <c r="C50" s="224"/>
      <c r="D50" s="225"/>
      <c r="E50" s="225"/>
      <c r="F50" s="225"/>
      <c r="G50" s="225"/>
      <c r="H50" s="225"/>
      <c r="I50" s="225"/>
      <c r="J50" s="225"/>
      <c r="K50" s="225"/>
      <c r="L50" s="225"/>
      <c r="M50" s="225"/>
      <c r="N50" s="225"/>
      <c r="O50" s="225"/>
      <c r="P50" s="225"/>
      <c r="Q50" s="225"/>
      <c r="R50" s="225"/>
      <c r="S50" s="225"/>
      <c r="T50" s="225"/>
      <c r="U50" s="226"/>
    </row>
    <row r="51" spans="3:21" x14ac:dyDescent="0.25">
      <c r="C51" s="224"/>
      <c r="D51" s="225"/>
      <c r="E51" s="225"/>
      <c r="F51" s="225"/>
      <c r="G51" s="225"/>
      <c r="H51" s="225"/>
      <c r="I51" s="225"/>
      <c r="J51" s="225"/>
      <c r="K51" s="225"/>
      <c r="L51" s="225"/>
      <c r="M51" s="225"/>
      <c r="N51" s="225"/>
      <c r="O51" s="225"/>
      <c r="P51" s="225"/>
      <c r="Q51" s="225"/>
      <c r="R51" s="225"/>
      <c r="S51" s="225"/>
      <c r="T51" s="225"/>
      <c r="U51" s="226"/>
    </row>
    <row r="52" spans="3:21" x14ac:dyDescent="0.25">
      <c r="C52" s="218"/>
      <c r="D52" s="243"/>
      <c r="E52" s="243"/>
      <c r="F52" s="243"/>
      <c r="G52" s="243"/>
      <c r="H52" s="243"/>
      <c r="I52" s="243"/>
      <c r="J52" s="243"/>
      <c r="K52" s="243"/>
      <c r="L52" s="243"/>
      <c r="M52" s="243"/>
      <c r="N52" s="243"/>
      <c r="O52" s="243"/>
      <c r="P52" s="243"/>
      <c r="Q52" s="243"/>
      <c r="R52" s="243"/>
      <c r="S52" s="243"/>
      <c r="T52" s="243"/>
      <c r="U52" s="220"/>
    </row>
    <row r="55" spans="3:21" x14ac:dyDescent="0.25">
      <c r="J55" s="8"/>
      <c r="K55" s="8"/>
      <c r="L55" s="8"/>
      <c r="M55" s="8"/>
      <c r="N55" s="8"/>
      <c r="O55" s="8"/>
    </row>
  </sheetData>
  <mergeCells count="6">
    <mergeCell ref="C48:U52"/>
    <mergeCell ref="L5:N9"/>
    <mergeCell ref="C7:I8"/>
    <mergeCell ref="C10:F11"/>
    <mergeCell ref="G10:G11"/>
    <mergeCell ref="C13:V1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o_addTrades">
                <anchor moveWithCells="1">
                  <from>
                    <xdr:col>11</xdr:col>
                    <xdr:colOff>390525</xdr:colOff>
                    <xdr:row>6</xdr:row>
                    <xdr:rowOff>66675</xdr:rowOff>
                  </from>
                  <to>
                    <xdr:col>12</xdr:col>
                    <xdr:colOff>323850</xdr:colOff>
                    <xdr:row>8</xdr:row>
                    <xdr:rowOff>9525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6C8A8-884E-4F80-8F87-85D1A5D85139}">
  <sheetPr codeName="Sheet10"/>
  <dimension ref="A1:W56"/>
  <sheetViews>
    <sheetView zoomScale="80" zoomScaleNormal="80" workbookViewId="0">
      <selection activeCell="H10" sqref="H10:N14"/>
    </sheetView>
  </sheetViews>
  <sheetFormatPr defaultRowHeight="15" x14ac:dyDescent="0.25"/>
  <cols>
    <col min="3" max="3" width="9.7109375" bestFit="1" customWidth="1"/>
    <col min="4" max="4" width="23" bestFit="1" customWidth="1"/>
    <col min="5" max="5" width="11.7109375" style="102" bestFit="1" customWidth="1"/>
    <col min="6" max="6" width="16.7109375" style="102" bestFit="1" customWidth="1"/>
    <col min="7" max="7" width="17.85546875" bestFit="1" customWidth="1"/>
    <col min="8" max="8" width="21.7109375" bestFit="1" customWidth="1"/>
    <col min="9" max="9" width="20.7109375" bestFit="1" customWidth="1"/>
    <col min="10" max="10" width="15.85546875" bestFit="1" customWidth="1"/>
    <col min="11" max="11" width="15" bestFit="1" customWidth="1"/>
    <col min="12" max="12" width="17.42578125" bestFit="1" customWidth="1"/>
    <col min="13" max="13" width="10.140625" bestFit="1" customWidth="1"/>
    <col min="14" max="14" width="8.28515625" bestFit="1" customWidth="1"/>
    <col min="15" max="15" width="12.140625" bestFit="1" customWidth="1"/>
    <col min="16" max="16" width="19.7109375" bestFit="1" customWidth="1"/>
    <col min="17" max="18" width="15.85546875" bestFit="1" customWidth="1"/>
    <col min="19" max="19" width="11.7109375" bestFit="1" customWidth="1"/>
    <col min="20" max="20" width="52.5703125" style="100" bestFit="1" customWidth="1"/>
    <col min="21" max="22" width="36.7109375" bestFit="1" customWidth="1"/>
  </cols>
  <sheetData>
    <row r="1" spans="1:22" x14ac:dyDescent="0.25">
      <c r="A1" s="104"/>
    </row>
    <row r="7" spans="1:22" ht="15" customHeight="1" x14ac:dyDescent="0.25">
      <c r="C7" s="232" t="s">
        <v>113</v>
      </c>
      <c r="D7" s="233"/>
      <c r="E7" s="233"/>
      <c r="F7" s="233"/>
      <c r="G7" s="233"/>
      <c r="H7" s="233"/>
      <c r="I7" s="233"/>
      <c r="J7" s="233"/>
      <c r="K7" s="233"/>
      <c r="L7" s="233"/>
      <c r="M7" s="233"/>
      <c r="N7" s="234"/>
      <c r="T7"/>
    </row>
    <row r="8" spans="1:22" ht="15" customHeight="1" x14ac:dyDescent="0.25">
      <c r="C8" s="235"/>
      <c r="D8" s="236"/>
      <c r="E8" s="236"/>
      <c r="F8" s="236"/>
      <c r="G8" s="236"/>
      <c r="H8" s="236"/>
      <c r="I8" s="236"/>
      <c r="J8" s="236"/>
      <c r="K8" s="236"/>
      <c r="L8" s="236"/>
      <c r="M8" s="236"/>
      <c r="N8" s="237"/>
      <c r="T8"/>
    </row>
    <row r="9" spans="1:22" ht="15.75" x14ac:dyDescent="0.25">
      <c r="C9" s="91"/>
      <c r="D9" s="91"/>
      <c r="E9" s="101"/>
      <c r="F9" s="101"/>
      <c r="G9" s="91"/>
      <c r="H9" s="91"/>
      <c r="I9" s="91"/>
      <c r="T9"/>
    </row>
    <row r="10" spans="1:22" ht="15.75" x14ac:dyDescent="0.25">
      <c r="C10" s="269" t="s">
        <v>111</v>
      </c>
      <c r="D10" s="270"/>
      <c r="E10" s="270"/>
      <c r="F10" s="271"/>
      <c r="G10" s="91"/>
      <c r="H10" s="276" t="s">
        <v>216</v>
      </c>
      <c r="I10" s="277"/>
      <c r="J10" s="277"/>
      <c r="K10" s="277"/>
      <c r="L10" s="277"/>
      <c r="M10" s="277"/>
      <c r="N10" s="278"/>
      <c r="T10"/>
    </row>
    <row r="11" spans="1:22" ht="15.75" x14ac:dyDescent="0.25">
      <c r="C11" s="91"/>
      <c r="D11" s="91"/>
      <c r="E11" s="101"/>
      <c r="F11" s="101"/>
      <c r="G11" s="91"/>
      <c r="H11" s="279"/>
      <c r="I11" s="280"/>
      <c r="J11" s="280"/>
      <c r="K11" s="280"/>
      <c r="L11" s="280"/>
      <c r="M11" s="280"/>
      <c r="N11" s="281"/>
      <c r="T11"/>
    </row>
    <row r="12" spans="1:22" x14ac:dyDescent="0.25">
      <c r="C12" s="258" t="s">
        <v>114</v>
      </c>
      <c r="D12" s="259"/>
      <c r="E12" s="259"/>
      <c r="F12" s="260"/>
      <c r="G12" s="268"/>
      <c r="H12" s="279"/>
      <c r="I12" s="280"/>
      <c r="J12" s="280"/>
      <c r="K12" s="280"/>
      <c r="L12" s="280"/>
      <c r="M12" s="280"/>
      <c r="N12" s="281"/>
      <c r="T12"/>
    </row>
    <row r="13" spans="1:22" x14ac:dyDescent="0.25">
      <c r="C13" s="272"/>
      <c r="D13" s="273"/>
      <c r="E13" s="273"/>
      <c r="F13" s="274"/>
      <c r="G13" s="268"/>
      <c r="H13" s="279"/>
      <c r="I13" s="280"/>
      <c r="J13" s="280"/>
      <c r="K13" s="280"/>
      <c r="L13" s="280"/>
      <c r="M13" s="280"/>
      <c r="N13" s="281"/>
      <c r="T13"/>
    </row>
    <row r="14" spans="1:22" x14ac:dyDescent="0.25">
      <c r="C14" s="261"/>
      <c r="D14" s="275"/>
      <c r="E14" s="275"/>
      <c r="F14" s="263"/>
      <c r="G14" s="140"/>
      <c r="H14" s="282"/>
      <c r="I14" s="283"/>
      <c r="J14" s="283"/>
      <c r="K14" s="283"/>
      <c r="L14" s="283"/>
      <c r="M14" s="283"/>
      <c r="N14" s="284"/>
      <c r="T14"/>
      <c r="V14" s="147"/>
    </row>
    <row r="15" spans="1:22" x14ac:dyDescent="0.25">
      <c r="G15" s="4"/>
      <c r="T15" s="148"/>
      <c r="U15" s="148"/>
      <c r="V15" s="147"/>
    </row>
    <row r="16" spans="1:22" x14ac:dyDescent="0.25">
      <c r="B16" s="148"/>
      <c r="C16" s="148"/>
      <c r="D16" s="148"/>
      <c r="E16" s="177"/>
      <c r="F16" s="177"/>
      <c r="G16" s="148"/>
      <c r="H16" s="148"/>
      <c r="I16" s="148"/>
      <c r="J16" s="148"/>
      <c r="K16" s="148"/>
      <c r="L16" s="148"/>
      <c r="M16" s="148"/>
      <c r="N16" s="148"/>
      <c r="O16" s="148"/>
      <c r="P16" s="148"/>
      <c r="Q16" s="148"/>
      <c r="R16" s="148"/>
      <c r="S16" s="148"/>
      <c r="T16" s="176"/>
      <c r="U16" s="148"/>
      <c r="V16" s="148"/>
    </row>
    <row r="17" spans="2:23" x14ac:dyDescent="0.25">
      <c r="B17" s="148"/>
      <c r="C17" s="176"/>
      <c r="D17" s="176"/>
      <c r="E17" s="176"/>
      <c r="F17" s="176"/>
      <c r="G17" s="176"/>
      <c r="H17" s="176"/>
      <c r="I17" s="176"/>
      <c r="J17" s="176"/>
      <c r="K17" s="176"/>
      <c r="L17" s="176"/>
      <c r="M17" s="176"/>
      <c r="N17" s="176"/>
      <c r="O17" s="176"/>
      <c r="P17" s="176"/>
      <c r="Q17" s="176"/>
      <c r="R17" s="176"/>
      <c r="S17" s="176"/>
      <c r="T17" s="185"/>
      <c r="U17" s="185"/>
      <c r="V17" s="185"/>
      <c r="W17" s="185"/>
    </row>
    <row r="18" spans="2:23" x14ac:dyDescent="0.25">
      <c r="B18" s="175"/>
      <c r="C18" s="176"/>
      <c r="D18" s="176"/>
      <c r="E18" s="176"/>
      <c r="F18" s="176"/>
      <c r="G18" s="176"/>
      <c r="H18" s="176"/>
      <c r="I18" s="176"/>
      <c r="J18" s="176"/>
      <c r="K18" s="176"/>
      <c r="L18" s="176"/>
      <c r="M18" s="176"/>
      <c r="N18" s="176"/>
      <c r="O18" s="176"/>
      <c r="P18" s="176"/>
      <c r="Q18" s="176"/>
      <c r="R18" s="176"/>
      <c r="S18" s="176"/>
      <c r="T18" s="185"/>
      <c r="U18" s="185"/>
      <c r="V18" s="185"/>
      <c r="W18" s="185"/>
    </row>
    <row r="19" spans="2:23" x14ac:dyDescent="0.25">
      <c r="B19" s="175"/>
      <c r="C19" s="176"/>
      <c r="D19" s="176"/>
      <c r="E19" s="176"/>
      <c r="F19" s="176"/>
      <c r="G19" s="176"/>
      <c r="H19" s="176"/>
      <c r="I19" s="176"/>
      <c r="J19" s="176"/>
      <c r="K19" s="176"/>
      <c r="L19" s="176"/>
      <c r="M19" s="176"/>
      <c r="N19" s="176"/>
      <c r="O19" s="176"/>
      <c r="P19" s="176"/>
      <c r="Q19" s="176"/>
      <c r="R19" s="176"/>
      <c r="S19" s="176"/>
      <c r="T19" s="185"/>
      <c r="U19" s="185"/>
      <c r="V19" s="185"/>
      <c r="W19" s="185"/>
    </row>
    <row r="20" spans="2:23" x14ac:dyDescent="0.25">
      <c r="B20" s="175"/>
      <c r="C20" s="176"/>
      <c r="D20" s="176"/>
      <c r="E20" s="176"/>
      <c r="F20" s="176"/>
      <c r="G20" s="176"/>
      <c r="H20" s="176"/>
      <c r="I20" s="176"/>
      <c r="J20" s="176"/>
      <c r="K20" s="176"/>
      <c r="L20" s="176"/>
      <c r="M20" s="176"/>
      <c r="N20" s="176"/>
      <c r="O20" s="176"/>
      <c r="P20" s="176"/>
      <c r="Q20" s="176"/>
      <c r="R20" s="176"/>
      <c r="S20" s="176"/>
      <c r="T20" s="185"/>
      <c r="U20" s="185"/>
      <c r="V20" s="185"/>
      <c r="W20" s="185"/>
    </row>
    <row r="21" spans="2:23" x14ac:dyDescent="0.25">
      <c r="B21" s="175"/>
      <c r="C21" s="176"/>
      <c r="D21" s="176"/>
      <c r="E21" s="176"/>
      <c r="F21" s="176"/>
      <c r="G21" s="176"/>
      <c r="H21" s="176"/>
      <c r="I21" s="176"/>
      <c r="J21" s="176"/>
      <c r="K21" s="176"/>
      <c r="L21" s="176"/>
      <c r="M21" s="176"/>
      <c r="N21" s="176"/>
      <c r="O21" s="176"/>
      <c r="P21" s="176"/>
      <c r="Q21" s="176"/>
      <c r="R21" s="176"/>
      <c r="S21" s="176"/>
      <c r="T21" s="185"/>
      <c r="U21" s="185"/>
      <c r="V21" s="185"/>
      <c r="W21" s="185"/>
    </row>
    <row r="22" spans="2:23" x14ac:dyDescent="0.25">
      <c r="B22" s="175"/>
      <c r="C22" s="176"/>
      <c r="D22" s="176"/>
      <c r="E22" s="176"/>
      <c r="F22" s="176"/>
      <c r="G22" s="176"/>
      <c r="H22" s="176"/>
      <c r="I22" s="176"/>
      <c r="J22" s="176"/>
      <c r="K22" s="176"/>
      <c r="L22" s="176"/>
      <c r="M22" s="176"/>
      <c r="N22" s="176"/>
      <c r="O22" s="176"/>
      <c r="P22" s="176"/>
      <c r="Q22" s="176"/>
      <c r="R22" s="176"/>
      <c r="S22" s="176"/>
      <c r="T22" s="185"/>
      <c r="U22" s="185"/>
      <c r="V22" s="185"/>
      <c r="W22" s="185"/>
    </row>
    <row r="23" spans="2:23" x14ac:dyDescent="0.25">
      <c r="B23" s="175"/>
      <c r="C23" s="148"/>
      <c r="D23" s="148"/>
      <c r="E23" s="148"/>
      <c r="F23" s="148"/>
      <c r="G23" s="148"/>
      <c r="H23" s="148"/>
      <c r="I23" s="148"/>
      <c r="J23" s="148"/>
      <c r="K23" s="148"/>
      <c r="L23" s="148"/>
      <c r="M23" s="148"/>
      <c r="N23" s="148"/>
      <c r="O23" s="148"/>
      <c r="P23" s="148"/>
      <c r="Q23" s="148"/>
      <c r="R23" s="148"/>
      <c r="S23" s="148"/>
      <c r="T23" s="185"/>
      <c r="U23" s="185"/>
      <c r="V23" s="185"/>
      <c r="W23" s="185"/>
    </row>
    <row r="24" spans="2:23" x14ac:dyDescent="0.25">
      <c r="B24" s="175"/>
      <c r="C24" s="148"/>
      <c r="D24" s="148"/>
      <c r="E24" s="148"/>
      <c r="F24" s="148"/>
      <c r="G24" s="148"/>
      <c r="H24" s="148"/>
      <c r="I24" s="148"/>
      <c r="J24" s="148"/>
      <c r="K24" s="148"/>
      <c r="L24" s="148"/>
      <c r="M24" s="148"/>
      <c r="N24" s="148"/>
      <c r="O24" s="148"/>
      <c r="P24" s="148"/>
      <c r="Q24" s="148"/>
      <c r="R24" s="148"/>
      <c r="S24" s="148"/>
      <c r="T24" s="185"/>
      <c r="U24" s="185"/>
      <c r="V24" s="185"/>
      <c r="W24" s="185"/>
    </row>
    <row r="25" spans="2:23" x14ac:dyDescent="0.25">
      <c r="B25" s="175"/>
      <c r="C25" s="148"/>
      <c r="D25" s="148"/>
      <c r="E25" s="148"/>
      <c r="F25" s="148"/>
      <c r="G25" s="148"/>
      <c r="H25" s="148"/>
      <c r="I25" s="148"/>
      <c r="J25" s="148"/>
      <c r="K25" s="148"/>
      <c r="L25" s="148"/>
      <c r="M25" s="148"/>
      <c r="N25" s="148"/>
      <c r="O25" s="148"/>
      <c r="P25" s="148"/>
      <c r="Q25" s="148"/>
      <c r="R25" s="148"/>
      <c r="S25" s="148"/>
      <c r="T25" s="185"/>
      <c r="U25" s="185"/>
      <c r="V25" s="185"/>
      <c r="W25" s="185"/>
    </row>
    <row r="26" spans="2:23" x14ac:dyDescent="0.25">
      <c r="B26" s="175"/>
      <c r="C26" s="148"/>
      <c r="D26" s="148"/>
      <c r="E26" s="148"/>
      <c r="F26" s="148"/>
      <c r="G26" s="148"/>
      <c r="H26" s="148"/>
      <c r="I26" s="148"/>
      <c r="J26" s="148"/>
      <c r="K26" s="148"/>
      <c r="L26" s="148"/>
      <c r="M26" s="148"/>
      <c r="N26" s="148"/>
      <c r="O26" s="148"/>
      <c r="P26" s="148"/>
      <c r="Q26" s="148"/>
      <c r="R26" s="148"/>
      <c r="S26" s="148"/>
      <c r="T26" s="185"/>
      <c r="U26" s="185"/>
      <c r="V26" s="185"/>
      <c r="W26" s="185"/>
    </row>
    <row r="27" spans="2:23" x14ac:dyDescent="0.25">
      <c r="B27" s="175"/>
      <c r="C27" s="148"/>
      <c r="D27" s="148"/>
      <c r="E27" s="148"/>
      <c r="F27" s="148"/>
      <c r="G27" s="148"/>
      <c r="H27" s="148"/>
      <c r="I27" s="148"/>
      <c r="J27" s="148"/>
      <c r="K27" s="148"/>
      <c r="L27" s="148"/>
      <c r="M27" s="148"/>
      <c r="N27" s="148"/>
      <c r="O27" s="148"/>
      <c r="P27" s="148"/>
      <c r="Q27" s="148"/>
      <c r="R27" s="148"/>
      <c r="S27" s="148"/>
      <c r="T27" s="185"/>
      <c r="U27" s="185"/>
      <c r="V27" s="185"/>
      <c r="W27" s="185"/>
    </row>
    <row r="28" spans="2:23" x14ac:dyDescent="0.25">
      <c r="B28" s="175"/>
      <c r="E28"/>
      <c r="F28"/>
      <c r="T28" s="185"/>
      <c r="U28" s="185"/>
      <c r="V28" s="185"/>
      <c r="W28" s="185"/>
    </row>
    <row r="29" spans="2:23" x14ac:dyDescent="0.25">
      <c r="B29" s="175"/>
      <c r="E29"/>
      <c r="F29"/>
      <c r="T29" s="185"/>
      <c r="U29" s="185"/>
      <c r="V29" s="185"/>
      <c r="W29" s="185"/>
    </row>
    <row r="30" spans="2:23" x14ac:dyDescent="0.25">
      <c r="B30" s="175"/>
      <c r="E30"/>
      <c r="F30"/>
      <c r="T30" s="185"/>
      <c r="U30" s="185"/>
      <c r="V30" s="185"/>
      <c r="W30" s="185"/>
    </row>
    <row r="31" spans="2:23" x14ac:dyDescent="0.25">
      <c r="B31" s="175"/>
      <c r="E31"/>
      <c r="F31"/>
      <c r="T31" s="185"/>
      <c r="U31" s="185"/>
      <c r="V31" s="185"/>
      <c r="W31" s="185"/>
    </row>
    <row r="32" spans="2:23" x14ac:dyDescent="0.25">
      <c r="B32" s="175"/>
      <c r="E32"/>
      <c r="F32"/>
      <c r="T32" s="185"/>
      <c r="U32" s="185"/>
      <c r="V32" s="185"/>
      <c r="W32" s="185"/>
    </row>
    <row r="33" spans="2:23" x14ac:dyDescent="0.25">
      <c r="B33" s="175"/>
      <c r="E33"/>
      <c r="F33"/>
      <c r="T33" s="185"/>
      <c r="U33" s="185"/>
      <c r="V33" s="185"/>
      <c r="W33" s="185"/>
    </row>
    <row r="34" spans="2:23" x14ac:dyDescent="0.25">
      <c r="B34" s="175"/>
      <c r="E34"/>
      <c r="F34"/>
      <c r="T34" s="185"/>
      <c r="U34" s="185"/>
      <c r="V34" s="185"/>
      <c r="W34" s="185"/>
    </row>
    <row r="35" spans="2:23" x14ac:dyDescent="0.25">
      <c r="B35" s="175"/>
      <c r="E35"/>
      <c r="F35"/>
      <c r="T35" s="185"/>
      <c r="U35" s="185"/>
      <c r="V35" s="185"/>
      <c r="W35" s="185"/>
    </row>
    <row r="36" spans="2:23" x14ac:dyDescent="0.25">
      <c r="B36" s="99"/>
      <c r="E36"/>
      <c r="F36"/>
      <c r="T36" s="185"/>
      <c r="U36" s="185"/>
      <c r="V36" s="185"/>
      <c r="W36" s="185"/>
    </row>
    <row r="37" spans="2:23" x14ac:dyDescent="0.25">
      <c r="B37" s="99"/>
      <c r="E37"/>
      <c r="F37"/>
      <c r="T37" s="185"/>
      <c r="U37" s="185"/>
      <c r="V37" s="185"/>
      <c r="W37" s="185"/>
    </row>
    <row r="38" spans="2:23" x14ac:dyDescent="0.25">
      <c r="B38" s="99"/>
      <c r="E38"/>
      <c r="F38"/>
      <c r="T38" s="185"/>
      <c r="U38" s="185"/>
      <c r="V38" s="185"/>
      <c r="W38" s="185"/>
    </row>
    <row r="39" spans="2:23" x14ac:dyDescent="0.25">
      <c r="B39" s="99"/>
      <c r="E39"/>
      <c r="F39"/>
      <c r="T39" s="185"/>
      <c r="U39" s="185"/>
      <c r="V39" s="185"/>
      <c r="W39" s="185"/>
    </row>
    <row r="40" spans="2:23" x14ac:dyDescent="0.25">
      <c r="B40" s="99"/>
      <c r="E40"/>
      <c r="F40"/>
      <c r="T40" s="185"/>
      <c r="U40" s="185"/>
      <c r="V40" s="185"/>
      <c r="W40" s="185"/>
    </row>
    <row r="41" spans="2:23" x14ac:dyDescent="0.25">
      <c r="B41" s="99"/>
      <c r="E41"/>
      <c r="F41"/>
      <c r="T41" s="185"/>
      <c r="U41" s="185"/>
      <c r="V41" s="185"/>
      <c r="W41" s="185"/>
    </row>
    <row r="42" spans="2:23" x14ac:dyDescent="0.25">
      <c r="B42" s="99"/>
      <c r="E42"/>
      <c r="F42"/>
      <c r="T42" s="185"/>
      <c r="U42" s="185"/>
      <c r="V42" s="185"/>
      <c r="W42" s="185"/>
    </row>
    <row r="43" spans="2:23" x14ac:dyDescent="0.25">
      <c r="B43" s="99"/>
      <c r="E43"/>
      <c r="F43"/>
      <c r="T43" s="185"/>
      <c r="U43" s="185"/>
      <c r="V43" s="185"/>
      <c r="W43" s="185"/>
    </row>
    <row r="44" spans="2:23" x14ac:dyDescent="0.25">
      <c r="B44" s="99"/>
      <c r="E44"/>
      <c r="F44"/>
      <c r="T44" s="185"/>
      <c r="U44" s="185"/>
      <c r="V44" s="185"/>
      <c r="W44" s="185"/>
    </row>
    <row r="45" spans="2:23" x14ac:dyDescent="0.25">
      <c r="B45" s="99"/>
      <c r="E45"/>
      <c r="F45"/>
      <c r="T45" s="185"/>
      <c r="U45" s="185"/>
      <c r="V45" s="185"/>
      <c r="W45" s="185"/>
    </row>
    <row r="46" spans="2:23" x14ac:dyDescent="0.25">
      <c r="B46" s="99"/>
      <c r="E46"/>
      <c r="F46"/>
      <c r="T46" s="185"/>
      <c r="U46" s="185"/>
      <c r="V46" s="185"/>
      <c r="W46" s="185"/>
    </row>
    <row r="47" spans="2:23" x14ac:dyDescent="0.25">
      <c r="B47" s="99"/>
      <c r="E47"/>
      <c r="F47"/>
      <c r="T47" s="185"/>
      <c r="U47" s="185"/>
      <c r="V47" s="185"/>
      <c r="W47" s="185"/>
    </row>
    <row r="48" spans="2:23" x14ac:dyDescent="0.25">
      <c r="C48" s="103"/>
      <c r="D48" s="103"/>
      <c r="E48" s="131"/>
      <c r="F48" s="131"/>
      <c r="G48" s="103"/>
      <c r="H48" s="103"/>
      <c r="I48" s="103"/>
      <c r="J48" s="103"/>
      <c r="K48" s="103"/>
      <c r="L48" s="103"/>
      <c r="M48" s="103"/>
      <c r="N48" s="103"/>
      <c r="O48" s="103"/>
      <c r="P48" s="103"/>
      <c r="Q48" s="103"/>
      <c r="R48" s="103"/>
      <c r="S48" s="103"/>
      <c r="T48" s="103"/>
      <c r="U48" s="103"/>
      <c r="V48" s="1"/>
    </row>
    <row r="49" spans="3:22" x14ac:dyDescent="0.25">
      <c r="C49" s="103"/>
      <c r="D49" s="103"/>
      <c r="E49" s="131"/>
      <c r="F49" s="131"/>
      <c r="G49" s="103"/>
      <c r="H49" s="103"/>
      <c r="I49" s="103"/>
      <c r="J49" s="103"/>
      <c r="K49" s="103"/>
      <c r="L49" s="103"/>
      <c r="M49" s="103"/>
      <c r="N49" s="103"/>
      <c r="O49" s="103"/>
      <c r="P49" s="103"/>
      <c r="Q49" s="103"/>
      <c r="R49" s="103"/>
      <c r="S49" s="103"/>
      <c r="T49" s="103"/>
      <c r="U49" s="103"/>
      <c r="V49" s="1"/>
    </row>
    <row r="50" spans="3:22" x14ac:dyDescent="0.25">
      <c r="C50" s="103"/>
      <c r="D50" s="103"/>
      <c r="E50" s="131"/>
      <c r="F50" s="131"/>
      <c r="G50" s="103"/>
      <c r="H50" s="103"/>
      <c r="I50" s="103"/>
      <c r="J50" s="103"/>
      <c r="K50" s="103"/>
      <c r="L50" s="103"/>
      <c r="M50" s="103"/>
      <c r="N50" s="103"/>
      <c r="O50" s="103"/>
      <c r="P50" s="103"/>
      <c r="Q50" s="103"/>
      <c r="R50" s="103"/>
      <c r="S50" s="103"/>
      <c r="T50" s="103"/>
      <c r="U50" s="103"/>
    </row>
    <row r="51" spans="3:22" x14ac:dyDescent="0.25">
      <c r="C51" s="103"/>
      <c r="D51" s="103"/>
      <c r="E51" s="131"/>
      <c r="F51" s="131"/>
      <c r="G51" s="103"/>
      <c r="H51" s="103"/>
      <c r="I51" s="103"/>
      <c r="J51" s="103"/>
      <c r="K51" s="103"/>
      <c r="L51" s="103"/>
      <c r="M51" s="103"/>
      <c r="N51" s="103"/>
      <c r="O51" s="103"/>
      <c r="P51" s="103"/>
      <c r="Q51" s="103"/>
      <c r="R51" s="103"/>
      <c r="S51" s="103"/>
      <c r="T51" s="103"/>
      <c r="U51" s="103"/>
    </row>
    <row r="52" spans="3:22" x14ac:dyDescent="0.25">
      <c r="C52" s="8"/>
      <c r="D52" s="8"/>
      <c r="E52" s="8"/>
      <c r="F52" s="8"/>
      <c r="G52" s="8"/>
      <c r="H52" s="8"/>
      <c r="I52" s="8"/>
      <c r="J52" s="8"/>
      <c r="K52" s="8"/>
      <c r="L52" s="8"/>
      <c r="M52" s="8"/>
      <c r="N52" s="8"/>
      <c r="O52" s="8"/>
      <c r="P52" s="8"/>
      <c r="Q52" s="8"/>
      <c r="R52" s="8"/>
      <c r="S52" s="8"/>
      <c r="T52" s="103"/>
      <c r="U52" s="103"/>
    </row>
    <row r="53" spans="3:22" x14ac:dyDescent="0.25">
      <c r="C53" s="8"/>
      <c r="D53" s="8"/>
      <c r="E53" s="8"/>
      <c r="F53" s="8"/>
      <c r="G53" s="8"/>
      <c r="H53" s="8"/>
      <c r="I53" s="8"/>
      <c r="J53" s="8"/>
      <c r="K53" s="8"/>
      <c r="L53" s="8"/>
      <c r="M53" s="8"/>
      <c r="N53" s="8"/>
      <c r="O53" s="8"/>
      <c r="P53" s="8"/>
      <c r="Q53" s="8"/>
      <c r="R53" s="8"/>
      <c r="S53" s="8"/>
      <c r="T53" s="103"/>
      <c r="U53" s="10"/>
    </row>
    <row r="54" spans="3:22" x14ac:dyDescent="0.25">
      <c r="C54" s="8"/>
      <c r="D54" s="8"/>
      <c r="E54" s="8"/>
      <c r="F54" s="8"/>
      <c r="G54" s="8"/>
      <c r="H54" s="8"/>
      <c r="I54" s="8"/>
      <c r="J54" s="8"/>
      <c r="K54" s="8"/>
      <c r="L54" s="8"/>
      <c r="M54" s="8"/>
      <c r="N54" s="8"/>
      <c r="O54" s="8"/>
      <c r="P54" s="8"/>
      <c r="Q54" s="8"/>
      <c r="R54" s="8"/>
      <c r="S54" s="8"/>
      <c r="T54" s="103"/>
      <c r="U54" s="10"/>
    </row>
    <row r="55" spans="3:22" x14ac:dyDescent="0.25">
      <c r="C55" s="8"/>
      <c r="D55" s="8"/>
      <c r="E55" s="8"/>
      <c r="F55" s="8"/>
      <c r="G55" s="8"/>
      <c r="H55" s="8"/>
      <c r="I55" s="8"/>
      <c r="J55" s="8"/>
      <c r="K55" s="8"/>
      <c r="L55" s="8"/>
      <c r="M55" s="8"/>
      <c r="N55" s="8"/>
      <c r="O55" s="8"/>
      <c r="P55" s="8"/>
      <c r="Q55" s="8"/>
      <c r="R55" s="8"/>
      <c r="S55" s="8"/>
      <c r="T55" s="103"/>
      <c r="U55" s="10"/>
    </row>
    <row r="56" spans="3:22" x14ac:dyDescent="0.25">
      <c r="C56" s="8"/>
      <c r="D56" s="8"/>
      <c r="E56" s="8"/>
      <c r="F56" s="8"/>
      <c r="G56" s="8"/>
      <c r="H56" s="8"/>
      <c r="I56" s="8"/>
      <c r="J56" s="8"/>
      <c r="K56" s="8"/>
      <c r="L56" s="8"/>
      <c r="M56" s="8"/>
      <c r="N56" s="8"/>
      <c r="O56" s="8"/>
      <c r="P56" s="8"/>
      <c r="Q56" s="8"/>
      <c r="R56" s="8"/>
      <c r="S56" s="8"/>
      <c r="T56" s="103"/>
      <c r="U56" s="10"/>
    </row>
  </sheetData>
  <mergeCells count="5">
    <mergeCell ref="G12:G13"/>
    <mergeCell ref="C7:N8"/>
    <mergeCell ref="C10:F10"/>
    <mergeCell ref="C12:F14"/>
    <mergeCell ref="H10:N1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do_MasterTradesRefresh">
                <anchor moveWithCells="1">
                  <from>
                    <xdr:col>5</xdr:col>
                    <xdr:colOff>85725</xdr:colOff>
                    <xdr:row>11</xdr:row>
                    <xdr:rowOff>95250</xdr:rowOff>
                  </from>
                  <to>
                    <xdr:col>5</xdr:col>
                    <xdr:colOff>857250</xdr:colOff>
                    <xdr:row>13</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51086-323D-487A-86C8-DBEFB1AEB3B1}">
  <sheetPr codeName="Sheet9"/>
  <dimension ref="A2:T51"/>
  <sheetViews>
    <sheetView zoomScale="80" zoomScaleNormal="80" workbookViewId="0">
      <selection activeCell="A16" sqref="A16:H27"/>
    </sheetView>
  </sheetViews>
  <sheetFormatPr defaultRowHeight="15" x14ac:dyDescent="0.25"/>
  <cols>
    <col min="2" max="2" width="21" bestFit="1" customWidth="1"/>
    <col min="3" max="3" width="13.85546875" bestFit="1" customWidth="1"/>
    <col min="4" max="4" width="9.42578125" bestFit="1" customWidth="1"/>
    <col min="5" max="5" width="13.42578125" bestFit="1" customWidth="1"/>
    <col min="6" max="6" width="9.85546875" bestFit="1" customWidth="1"/>
    <col min="7" max="7" width="16.7109375" bestFit="1" customWidth="1"/>
    <col min="8" max="8" width="20.85546875" bestFit="1" customWidth="1"/>
    <col min="9" max="9" width="15.5703125" bestFit="1" customWidth="1"/>
    <col min="10" max="10" width="15.7109375" bestFit="1" customWidth="1"/>
    <col min="11" max="11" width="17.140625" bestFit="1" customWidth="1"/>
    <col min="12" max="12" width="10.28515625" bestFit="1" customWidth="1"/>
    <col min="13" max="13" width="7.7109375" bestFit="1" customWidth="1"/>
    <col min="14" max="14" width="12" bestFit="1" customWidth="1"/>
    <col min="15" max="15" width="20.85546875" bestFit="1" customWidth="1"/>
    <col min="16" max="16" width="15.28515625" bestFit="1" customWidth="1"/>
    <col min="17" max="17" width="16.42578125" bestFit="1" customWidth="1"/>
    <col min="18" max="18" width="12" bestFit="1" customWidth="1"/>
    <col min="19" max="19" width="51.28515625" bestFit="1" customWidth="1"/>
    <col min="20" max="20" width="37.28515625" bestFit="1" customWidth="1"/>
  </cols>
  <sheetData>
    <row r="2" spans="1:20" x14ac:dyDescent="0.25">
      <c r="D2" s="102"/>
      <c r="E2" s="102"/>
    </row>
    <row r="3" spans="1:20" x14ac:dyDescent="0.25">
      <c r="D3" s="102"/>
      <c r="E3" s="102"/>
    </row>
    <row r="4" spans="1:20" x14ac:dyDescent="0.25">
      <c r="D4" s="102"/>
      <c r="E4" s="102"/>
    </row>
    <row r="5" spans="1:20" x14ac:dyDescent="0.25">
      <c r="D5" s="102"/>
      <c r="E5" s="102"/>
    </row>
    <row r="6" spans="1:20" x14ac:dyDescent="0.25">
      <c r="D6" s="102"/>
      <c r="E6" s="102"/>
    </row>
    <row r="7" spans="1:20" x14ac:dyDescent="0.25">
      <c r="B7" s="232" t="s">
        <v>116</v>
      </c>
      <c r="C7" s="233"/>
      <c r="D7" s="233"/>
      <c r="E7" s="233"/>
      <c r="F7" s="233"/>
      <c r="G7" s="233"/>
      <c r="H7" s="233"/>
      <c r="I7" s="233"/>
      <c r="J7" s="233"/>
      <c r="K7" s="233"/>
      <c r="L7" s="233"/>
      <c r="M7" s="234"/>
    </row>
    <row r="8" spans="1:20" x14ac:dyDescent="0.25">
      <c r="B8" s="235"/>
      <c r="C8" s="236"/>
      <c r="D8" s="236"/>
      <c r="E8" s="236"/>
      <c r="F8" s="236"/>
      <c r="G8" s="236"/>
      <c r="H8" s="236"/>
      <c r="I8" s="236"/>
      <c r="J8" s="236"/>
      <c r="K8" s="236"/>
      <c r="L8" s="236"/>
      <c r="M8" s="237"/>
    </row>
    <row r="9" spans="1:20" ht="15.75" x14ac:dyDescent="0.25">
      <c r="B9" s="91"/>
      <c r="C9" s="91"/>
      <c r="D9" s="101"/>
      <c r="E9" s="101"/>
      <c r="F9" s="91"/>
      <c r="G9" s="91"/>
      <c r="H9" s="101"/>
    </row>
    <row r="10" spans="1:20" ht="15.75" x14ac:dyDescent="0.25">
      <c r="B10" s="288" t="s">
        <v>198</v>
      </c>
      <c r="C10" s="289"/>
      <c r="D10" s="289"/>
      <c r="E10" s="289"/>
      <c r="F10" s="290"/>
      <c r="G10" s="91" t="s">
        <v>199</v>
      </c>
      <c r="H10" s="106">
        <f ca="1">TODAY()</f>
        <v>43221</v>
      </c>
    </row>
    <row r="11" spans="1:20" ht="15.75" x14ac:dyDescent="0.25">
      <c r="B11" s="91"/>
      <c r="C11" s="91"/>
      <c r="D11" s="101"/>
      <c r="E11" s="101"/>
      <c r="F11" s="91"/>
      <c r="G11" s="105"/>
      <c r="H11" s="105"/>
    </row>
    <row r="12" spans="1:20" ht="15.75" customHeight="1" x14ac:dyDescent="0.25">
      <c r="B12" s="91"/>
      <c r="C12" s="91"/>
      <c r="D12" s="101"/>
      <c r="E12" s="101"/>
      <c r="F12" s="91"/>
      <c r="G12" s="105"/>
      <c r="H12" s="105"/>
      <c r="I12" s="291" t="s">
        <v>211</v>
      </c>
      <c r="J12" s="292"/>
      <c r="K12" s="292"/>
      <c r="L12" s="292"/>
      <c r="M12" s="293"/>
      <c r="N12" s="141"/>
      <c r="O12" s="141"/>
    </row>
    <row r="13" spans="1:20" ht="15" customHeight="1" x14ac:dyDescent="0.25">
      <c r="B13" s="258" t="s">
        <v>114</v>
      </c>
      <c r="C13" s="259"/>
      <c r="D13" s="259"/>
      <c r="E13" s="260"/>
      <c r="F13" s="285"/>
      <c r="G13" s="286"/>
      <c r="H13" s="105"/>
      <c r="I13" s="294"/>
      <c r="J13" s="280"/>
      <c r="K13" s="280"/>
      <c r="L13" s="280"/>
      <c r="M13" s="295"/>
      <c r="N13" s="141"/>
      <c r="O13" s="141"/>
    </row>
    <row r="14" spans="1:20" ht="15" customHeight="1" x14ac:dyDescent="0.25">
      <c r="B14" s="261"/>
      <c r="C14" s="262"/>
      <c r="D14" s="262"/>
      <c r="E14" s="263"/>
      <c r="F14" s="285"/>
      <c r="G14" s="287"/>
      <c r="H14" s="105"/>
      <c r="I14" s="294"/>
      <c r="J14" s="280"/>
      <c r="K14" s="280"/>
      <c r="L14" s="280"/>
      <c r="M14" s="295"/>
      <c r="N14" s="141"/>
      <c r="O14" s="141"/>
    </row>
    <row r="15" spans="1:20" ht="15" customHeight="1" x14ac:dyDescent="0.25">
      <c r="D15" s="102"/>
      <c r="E15" s="102"/>
      <c r="F15" s="4"/>
      <c r="I15" s="294"/>
      <c r="J15" s="280"/>
      <c r="K15" s="280"/>
      <c r="L15" s="280"/>
      <c r="M15" s="295"/>
      <c r="N15" s="141"/>
      <c r="O15" s="141"/>
    </row>
    <row r="16" spans="1:20" ht="15" customHeight="1" x14ac:dyDescent="0.25">
      <c r="A16" s="148"/>
      <c r="B16" s="148"/>
      <c r="C16" s="148"/>
      <c r="D16" s="148"/>
      <c r="E16" s="148"/>
      <c r="F16" s="148"/>
      <c r="G16" s="148"/>
      <c r="H16" s="148"/>
      <c r="I16" s="296"/>
      <c r="J16" s="296"/>
      <c r="K16" s="296"/>
      <c r="L16" s="296"/>
      <c r="M16" s="297"/>
      <c r="N16" s="141"/>
      <c r="O16" s="141"/>
      <c r="P16" s="10"/>
      <c r="Q16" s="10"/>
      <c r="R16" s="10"/>
      <c r="S16" s="10"/>
      <c r="T16" s="10"/>
    </row>
    <row r="17" spans="1:20" x14ac:dyDescent="0.25">
      <c r="A17" s="148"/>
      <c r="B17" s="176"/>
      <c r="C17" s="176"/>
      <c r="D17" s="176"/>
      <c r="E17" s="176"/>
      <c r="F17" s="176"/>
      <c r="G17" s="176"/>
      <c r="H17" s="148"/>
      <c r="N17" s="103"/>
      <c r="O17" s="103"/>
      <c r="P17" s="103"/>
      <c r="Q17" s="103"/>
      <c r="R17" s="103"/>
      <c r="S17" s="103"/>
      <c r="T17" s="103"/>
    </row>
    <row r="18" spans="1:20" x14ac:dyDescent="0.25">
      <c r="A18" s="148"/>
      <c r="B18" s="176"/>
      <c r="C18" s="176"/>
      <c r="D18" s="176"/>
      <c r="E18" s="176"/>
      <c r="F18" s="176"/>
      <c r="G18" s="176"/>
      <c r="H18" s="148"/>
      <c r="N18" s="103"/>
      <c r="O18" s="103"/>
      <c r="P18" s="103"/>
      <c r="Q18" s="103"/>
      <c r="R18" s="103"/>
      <c r="S18" s="103"/>
      <c r="T18" s="103"/>
    </row>
    <row r="19" spans="1:20" x14ac:dyDescent="0.25">
      <c r="A19" s="148"/>
      <c r="B19" s="176"/>
      <c r="C19" s="176"/>
      <c r="D19" s="176"/>
      <c r="E19" s="176"/>
      <c r="F19" s="176"/>
      <c r="G19" s="176"/>
      <c r="H19" s="148"/>
      <c r="N19" s="103"/>
      <c r="O19" s="103"/>
      <c r="P19" s="103"/>
      <c r="Q19" s="103"/>
      <c r="R19" s="103"/>
      <c r="S19" s="103"/>
      <c r="T19" s="103"/>
    </row>
    <row r="20" spans="1:20" x14ac:dyDescent="0.25">
      <c r="A20" s="148"/>
      <c r="B20" s="176"/>
      <c r="C20" s="176"/>
      <c r="D20" s="176"/>
      <c r="E20" s="176"/>
      <c r="F20" s="176"/>
      <c r="G20" s="176"/>
      <c r="H20" s="148"/>
      <c r="N20" s="103"/>
      <c r="O20" s="103"/>
      <c r="P20" s="103"/>
      <c r="Q20" s="103"/>
      <c r="R20" s="103"/>
      <c r="S20" s="103"/>
      <c r="T20" s="103"/>
    </row>
    <row r="21" spans="1:20" x14ac:dyDescent="0.25">
      <c r="A21" s="148"/>
      <c r="B21" s="176"/>
      <c r="C21" s="176"/>
      <c r="D21" s="176"/>
      <c r="E21" s="176"/>
      <c r="F21" s="176"/>
      <c r="G21" s="176"/>
      <c r="H21" s="148"/>
      <c r="N21" s="103"/>
      <c r="O21" s="103"/>
      <c r="P21" s="103"/>
      <c r="Q21" s="103"/>
      <c r="R21" s="103"/>
      <c r="S21" s="103"/>
      <c r="T21" s="103"/>
    </row>
    <row r="22" spans="1:20" x14ac:dyDescent="0.25">
      <c r="A22" s="148"/>
      <c r="B22" s="176"/>
      <c r="C22" s="176"/>
      <c r="D22" s="176"/>
      <c r="E22" s="176"/>
      <c r="F22" s="176"/>
      <c r="G22" s="176"/>
      <c r="H22" s="148"/>
      <c r="N22" s="103"/>
      <c r="O22" s="103"/>
      <c r="P22" s="103"/>
      <c r="Q22" s="103"/>
      <c r="R22" s="103"/>
      <c r="S22" s="103"/>
      <c r="T22" s="103"/>
    </row>
    <row r="23" spans="1:20" x14ac:dyDescent="0.25">
      <c r="A23" s="148"/>
      <c r="B23" s="176"/>
      <c r="C23" s="176"/>
      <c r="D23" s="176"/>
      <c r="E23" s="176"/>
      <c r="F23" s="176"/>
      <c r="G23" s="176"/>
      <c r="H23" s="148"/>
      <c r="N23" s="103"/>
      <c r="O23" s="103"/>
      <c r="P23" s="103"/>
      <c r="Q23" s="103"/>
      <c r="R23" s="103"/>
      <c r="S23" s="103"/>
      <c r="T23" s="103"/>
    </row>
    <row r="24" spans="1:20" x14ac:dyDescent="0.25">
      <c r="A24" s="148"/>
      <c r="B24" s="148"/>
      <c r="C24" s="148"/>
      <c r="D24" s="148"/>
      <c r="E24" s="148"/>
      <c r="F24" s="148"/>
      <c r="G24" s="148"/>
      <c r="H24" s="148"/>
      <c r="N24" s="103"/>
      <c r="O24" s="103"/>
      <c r="P24" s="103"/>
      <c r="Q24" s="103"/>
      <c r="R24" s="103"/>
      <c r="S24" s="103"/>
      <c r="T24" s="103"/>
    </row>
    <row r="25" spans="1:20" x14ac:dyDescent="0.25">
      <c r="A25" s="148"/>
      <c r="B25" s="148"/>
      <c r="C25" s="148"/>
      <c r="D25" s="148"/>
      <c r="E25" s="148"/>
      <c r="F25" s="148"/>
      <c r="G25" s="148"/>
      <c r="H25" s="148"/>
      <c r="N25" s="103"/>
      <c r="O25" s="103"/>
      <c r="P25" s="103"/>
      <c r="Q25" s="103"/>
      <c r="R25" s="103"/>
      <c r="S25" s="103"/>
      <c r="T25" s="103"/>
    </row>
    <row r="26" spans="1:20" x14ac:dyDescent="0.25">
      <c r="A26" s="148"/>
      <c r="B26" s="148"/>
      <c r="C26" s="148"/>
      <c r="D26" s="148"/>
      <c r="E26" s="148"/>
      <c r="F26" s="148"/>
      <c r="G26" s="148"/>
      <c r="H26" s="148"/>
      <c r="N26" s="103"/>
      <c r="O26" s="103"/>
      <c r="P26" s="103"/>
      <c r="Q26" s="103"/>
      <c r="R26" s="103"/>
      <c r="S26" s="103"/>
      <c r="T26" s="103"/>
    </row>
    <row r="27" spans="1:20" x14ac:dyDescent="0.25">
      <c r="A27" s="148"/>
      <c r="B27" s="148"/>
      <c r="C27" s="148"/>
      <c r="D27" s="148"/>
      <c r="E27" s="148"/>
      <c r="F27" s="148"/>
      <c r="G27" s="148"/>
      <c r="H27" s="148"/>
      <c r="N27" s="103"/>
      <c r="O27" s="103"/>
      <c r="P27" s="103"/>
      <c r="Q27" s="103"/>
      <c r="R27" s="103"/>
      <c r="S27" s="103"/>
      <c r="T27" s="103"/>
    </row>
    <row r="28" spans="1:20" x14ac:dyDescent="0.25">
      <c r="A28" s="146"/>
      <c r="N28" s="103"/>
      <c r="O28" s="103"/>
      <c r="P28" s="103"/>
      <c r="Q28" s="103"/>
      <c r="R28" s="103"/>
      <c r="S28" s="103"/>
      <c r="T28" s="103"/>
    </row>
    <row r="29" spans="1:20" x14ac:dyDescent="0.25">
      <c r="A29" s="146"/>
      <c r="N29" s="103"/>
      <c r="O29" s="103"/>
      <c r="P29" s="103"/>
      <c r="Q29" s="103"/>
      <c r="R29" s="103"/>
      <c r="S29" s="103"/>
      <c r="T29" s="103"/>
    </row>
    <row r="30" spans="1:20" x14ac:dyDescent="0.25">
      <c r="A30" s="146"/>
      <c r="N30" s="103"/>
      <c r="O30" s="103"/>
      <c r="P30" s="103"/>
      <c r="Q30" s="103"/>
      <c r="R30" s="103"/>
      <c r="S30" s="103"/>
      <c r="T30" s="103"/>
    </row>
    <row r="31" spans="1:20" x14ac:dyDescent="0.25">
      <c r="A31" s="146"/>
      <c r="N31" s="103"/>
      <c r="O31" s="103"/>
      <c r="P31" s="103"/>
      <c r="Q31" s="103"/>
      <c r="R31" s="103"/>
      <c r="S31" s="103"/>
      <c r="T31" s="103"/>
    </row>
    <row r="32" spans="1:20" x14ac:dyDescent="0.25">
      <c r="A32" s="146"/>
      <c r="B32" s="146"/>
      <c r="C32" s="146"/>
      <c r="D32" s="146"/>
      <c r="E32" s="146"/>
      <c r="F32" s="146"/>
      <c r="G32" s="146"/>
      <c r="H32" s="146"/>
      <c r="I32" s="146"/>
      <c r="J32" s="103"/>
      <c r="K32" s="103"/>
      <c r="L32" s="103"/>
      <c r="M32" s="103"/>
      <c r="N32" s="103"/>
      <c r="O32" s="103"/>
      <c r="P32" s="103"/>
      <c r="Q32" s="103"/>
      <c r="R32" s="103"/>
      <c r="S32" s="103"/>
      <c r="T32" s="103"/>
    </row>
    <row r="33" spans="1:20" x14ac:dyDescent="0.25">
      <c r="A33" s="146"/>
      <c r="B33" s="146"/>
      <c r="C33" s="146"/>
      <c r="D33" s="146"/>
      <c r="E33" s="146"/>
      <c r="F33" s="146"/>
      <c r="G33" s="146"/>
      <c r="H33" s="146"/>
      <c r="I33" s="146"/>
      <c r="J33" s="103"/>
      <c r="K33" s="103"/>
      <c r="L33" s="103"/>
      <c r="M33" s="103"/>
      <c r="N33" s="103"/>
      <c r="O33" s="103"/>
      <c r="P33" s="103"/>
      <c r="Q33" s="103"/>
      <c r="R33" s="103"/>
      <c r="S33" s="103"/>
      <c r="T33" s="103"/>
    </row>
    <row r="34" spans="1:20" x14ac:dyDescent="0.25">
      <c r="A34" s="146"/>
      <c r="B34" s="146"/>
      <c r="C34" s="146"/>
      <c r="D34" s="146"/>
      <c r="E34" s="146"/>
      <c r="F34" s="146"/>
      <c r="G34" s="146"/>
      <c r="H34" s="146"/>
      <c r="I34" s="146"/>
      <c r="J34" s="103"/>
      <c r="K34" s="103"/>
      <c r="L34" s="103"/>
      <c r="M34" s="103"/>
      <c r="N34" s="103"/>
      <c r="O34" s="103"/>
      <c r="P34" s="103"/>
      <c r="Q34" s="103"/>
      <c r="R34" s="103"/>
      <c r="S34" s="103"/>
      <c r="T34" s="103"/>
    </row>
    <row r="35" spans="1:20" x14ac:dyDescent="0.25">
      <c r="A35" s="146"/>
      <c r="B35" s="146"/>
      <c r="C35" s="146"/>
      <c r="D35" s="146"/>
      <c r="E35" s="146"/>
      <c r="F35" s="146"/>
      <c r="G35" s="146"/>
      <c r="H35" s="146"/>
      <c r="I35" s="146"/>
      <c r="J35" s="103"/>
      <c r="K35" s="103"/>
      <c r="L35" s="103"/>
      <c r="M35" s="103"/>
      <c r="N35" s="103"/>
      <c r="O35" s="103"/>
      <c r="P35" s="103"/>
      <c r="Q35" s="103"/>
      <c r="R35" s="103"/>
      <c r="S35" s="103"/>
      <c r="T35" s="103"/>
    </row>
    <row r="36" spans="1:20" x14ac:dyDescent="0.25">
      <c r="A36" s="146"/>
      <c r="B36" s="146"/>
      <c r="C36" s="146"/>
      <c r="D36" s="146"/>
      <c r="E36" s="146"/>
      <c r="F36" s="146"/>
      <c r="G36" s="146"/>
      <c r="H36" s="146"/>
      <c r="I36" s="146"/>
      <c r="J36" s="103"/>
      <c r="K36" s="103"/>
      <c r="L36" s="103"/>
      <c r="M36" s="103"/>
      <c r="N36" s="103"/>
      <c r="O36" s="103"/>
      <c r="P36" s="103"/>
      <c r="Q36" s="103"/>
      <c r="R36" s="103"/>
      <c r="S36" s="103"/>
      <c r="T36" s="103"/>
    </row>
    <row r="37" spans="1:20" x14ac:dyDescent="0.25">
      <c r="A37" s="146"/>
      <c r="B37" s="146"/>
      <c r="C37" s="146"/>
      <c r="D37" s="146"/>
      <c r="E37" s="146"/>
      <c r="F37" s="146"/>
      <c r="G37" s="146"/>
      <c r="H37" s="146"/>
      <c r="I37" s="146"/>
      <c r="J37" s="103"/>
      <c r="K37" s="103"/>
      <c r="L37" s="103"/>
      <c r="M37" s="103"/>
      <c r="N37" s="103"/>
      <c r="O37" s="103"/>
      <c r="P37" s="103"/>
      <c r="Q37" s="103"/>
      <c r="R37" s="103"/>
      <c r="S37" s="103"/>
      <c r="T37" s="103"/>
    </row>
    <row r="38" spans="1:20" x14ac:dyDescent="0.25">
      <c r="A38" s="146"/>
      <c r="B38" s="146"/>
      <c r="C38" s="146"/>
      <c r="D38" s="146"/>
      <c r="E38" s="146"/>
      <c r="F38" s="146"/>
      <c r="G38" s="146"/>
      <c r="H38" s="146"/>
      <c r="I38" s="146"/>
      <c r="J38" s="103"/>
      <c r="K38" s="103"/>
      <c r="L38" s="103"/>
      <c r="M38" s="103"/>
      <c r="N38" s="103"/>
      <c r="O38" s="103"/>
      <c r="P38" s="103"/>
      <c r="Q38" s="103"/>
      <c r="R38" s="103"/>
      <c r="S38" s="103"/>
      <c r="T38" s="103"/>
    </row>
    <row r="39" spans="1:20" x14ac:dyDescent="0.25">
      <c r="A39" s="146"/>
      <c r="B39" s="146"/>
      <c r="C39" s="146"/>
      <c r="D39" s="146"/>
      <c r="E39" s="146"/>
      <c r="F39" s="146"/>
      <c r="G39" s="146"/>
      <c r="H39" s="146"/>
      <c r="I39" s="146"/>
      <c r="J39" s="103"/>
      <c r="K39" s="103"/>
      <c r="L39" s="103"/>
      <c r="M39" s="103"/>
      <c r="N39" s="103"/>
      <c r="O39" s="103"/>
      <c r="P39" s="103"/>
      <c r="Q39" s="103"/>
      <c r="R39" s="103"/>
      <c r="S39" s="103"/>
      <c r="T39" s="103"/>
    </row>
    <row r="40" spans="1:20" x14ac:dyDescent="0.25">
      <c r="A40" s="146"/>
      <c r="B40" s="146"/>
      <c r="C40" s="146"/>
      <c r="D40" s="146"/>
      <c r="E40" s="146"/>
      <c r="F40" s="146"/>
      <c r="G40" s="146"/>
      <c r="H40" s="146"/>
      <c r="I40" s="146"/>
      <c r="J40" s="103"/>
      <c r="K40" s="103"/>
      <c r="L40" s="103"/>
      <c r="M40" s="103"/>
      <c r="N40" s="103"/>
      <c r="O40" s="103"/>
      <c r="P40" s="103"/>
      <c r="Q40" s="103"/>
      <c r="R40" s="103"/>
      <c r="S40" s="103"/>
      <c r="T40" s="103"/>
    </row>
    <row r="41" spans="1:20" x14ac:dyDescent="0.25">
      <c r="A41" s="146"/>
      <c r="B41" s="146"/>
      <c r="C41" s="146"/>
      <c r="D41" s="146"/>
      <c r="E41" s="146"/>
      <c r="F41" s="146"/>
      <c r="G41" s="146"/>
      <c r="H41" s="146"/>
      <c r="I41" s="146"/>
      <c r="J41" s="103"/>
      <c r="K41" s="103"/>
      <c r="L41" s="103"/>
      <c r="M41" s="103"/>
      <c r="N41" s="103"/>
      <c r="O41" s="103"/>
      <c r="P41" s="103"/>
      <c r="Q41" s="103"/>
      <c r="R41" s="103"/>
      <c r="S41" s="103"/>
      <c r="T41" s="103"/>
    </row>
    <row r="42" spans="1:20" x14ac:dyDescent="0.25">
      <c r="A42" s="146"/>
      <c r="B42" s="146"/>
      <c r="C42" s="146"/>
      <c r="D42" s="146"/>
      <c r="E42" s="146"/>
      <c r="F42" s="146"/>
      <c r="G42" s="146"/>
      <c r="H42" s="146"/>
      <c r="I42" s="146"/>
      <c r="J42" s="103"/>
      <c r="K42" s="103"/>
      <c r="L42" s="103"/>
      <c r="M42" s="103"/>
      <c r="N42" s="103"/>
      <c r="O42" s="103"/>
      <c r="P42" s="103"/>
      <c r="Q42" s="103"/>
      <c r="R42" s="103"/>
      <c r="S42" s="103"/>
      <c r="T42" s="103"/>
    </row>
    <row r="43" spans="1:20" x14ac:dyDescent="0.25">
      <c r="A43" s="146"/>
      <c r="B43" s="146"/>
      <c r="C43" s="146"/>
      <c r="D43" s="146"/>
      <c r="E43" s="146"/>
      <c r="F43" s="146"/>
      <c r="G43" s="146"/>
      <c r="H43" s="146"/>
      <c r="I43" s="146"/>
      <c r="J43" s="103"/>
      <c r="K43" s="103"/>
      <c r="L43" s="103"/>
      <c r="M43" s="103"/>
      <c r="N43" s="103"/>
      <c r="O43" s="103"/>
      <c r="P43" s="103"/>
      <c r="Q43" s="103"/>
      <c r="R43" s="103"/>
      <c r="S43" s="103"/>
      <c r="T43" s="103"/>
    </row>
    <row r="44" spans="1:20" x14ac:dyDescent="0.25">
      <c r="A44" s="146"/>
      <c r="B44" s="146"/>
      <c r="C44" s="146"/>
      <c r="D44" s="146"/>
      <c r="E44" s="146"/>
      <c r="F44" s="146"/>
      <c r="G44" s="146"/>
      <c r="H44" s="146"/>
      <c r="I44" s="146"/>
      <c r="J44" s="103"/>
      <c r="K44" s="103"/>
      <c r="L44" s="103"/>
      <c r="M44" s="103"/>
      <c r="N44" s="103"/>
      <c r="O44" s="103"/>
      <c r="P44" s="103"/>
      <c r="Q44" s="103"/>
      <c r="R44" s="103"/>
      <c r="S44" s="103"/>
      <c r="T44" s="103"/>
    </row>
    <row r="45" spans="1:20" x14ac:dyDescent="0.25">
      <c r="A45" s="146"/>
      <c r="B45" s="146"/>
      <c r="C45" s="146"/>
      <c r="D45" s="146"/>
      <c r="E45" s="146"/>
      <c r="F45" s="146"/>
      <c r="G45" s="146"/>
      <c r="H45" s="146"/>
      <c r="I45" s="146"/>
      <c r="J45" s="103"/>
      <c r="K45" s="103"/>
      <c r="L45" s="103"/>
      <c r="M45" s="103"/>
      <c r="N45" s="103"/>
      <c r="O45" s="103"/>
      <c r="P45" s="103"/>
      <c r="Q45" s="103"/>
      <c r="R45" s="103"/>
      <c r="S45" s="103"/>
      <c r="T45" s="103"/>
    </row>
    <row r="46" spans="1:20" x14ac:dyDescent="0.25">
      <c r="A46" s="146"/>
      <c r="B46" s="146"/>
      <c r="C46" s="146"/>
      <c r="D46" s="146"/>
      <c r="E46" s="146"/>
      <c r="F46" s="146"/>
      <c r="G46" s="146"/>
      <c r="H46" s="146"/>
      <c r="I46" s="146"/>
      <c r="J46" s="103"/>
      <c r="K46" s="103"/>
      <c r="L46" s="103"/>
      <c r="M46" s="103"/>
      <c r="N46" s="103"/>
      <c r="O46" s="103"/>
      <c r="P46" s="103"/>
      <c r="Q46" s="103"/>
      <c r="R46" s="103"/>
      <c r="S46" s="103"/>
      <c r="T46" s="103"/>
    </row>
    <row r="47" spans="1:20" x14ac:dyDescent="0.25">
      <c r="B47" s="103"/>
      <c r="C47" s="103"/>
      <c r="D47" s="103"/>
      <c r="E47" s="103"/>
      <c r="F47" s="103"/>
      <c r="G47" s="103"/>
      <c r="H47" s="103"/>
      <c r="I47" s="103"/>
      <c r="J47" s="103"/>
      <c r="K47" s="103"/>
      <c r="L47" s="103"/>
      <c r="M47" s="103"/>
      <c r="N47" s="103"/>
      <c r="O47" s="103"/>
      <c r="P47" s="103"/>
      <c r="Q47" s="103"/>
      <c r="R47" s="103"/>
      <c r="S47" s="103"/>
      <c r="T47" s="103"/>
    </row>
    <row r="48" spans="1:20" x14ac:dyDescent="0.25">
      <c r="B48" s="103"/>
      <c r="C48" s="103"/>
      <c r="D48" s="103"/>
      <c r="E48" s="103"/>
      <c r="F48" s="103"/>
      <c r="G48" s="103"/>
      <c r="H48" s="103"/>
      <c r="I48" s="103"/>
      <c r="J48" s="103"/>
      <c r="K48" s="103"/>
      <c r="L48" s="103"/>
      <c r="M48" s="103"/>
      <c r="N48" s="103"/>
      <c r="O48" s="103"/>
      <c r="P48" s="103"/>
      <c r="Q48" s="103"/>
      <c r="R48" s="103"/>
      <c r="S48" s="103"/>
      <c r="T48" s="103"/>
    </row>
    <row r="49" spans="2:20" x14ac:dyDescent="0.25">
      <c r="B49" s="103"/>
      <c r="C49" s="103"/>
      <c r="D49" s="103"/>
      <c r="E49" s="103"/>
      <c r="F49" s="103"/>
      <c r="G49" s="103"/>
      <c r="H49" s="103"/>
      <c r="I49" s="103"/>
      <c r="J49" s="103"/>
      <c r="K49" s="103"/>
      <c r="L49" s="103"/>
      <c r="M49" s="103"/>
      <c r="N49" s="103"/>
      <c r="O49" s="103"/>
      <c r="P49" s="103"/>
      <c r="Q49" s="103"/>
      <c r="R49" s="103"/>
      <c r="S49" s="103"/>
      <c r="T49" s="103"/>
    </row>
    <row r="50" spans="2:20" x14ac:dyDescent="0.25">
      <c r="B50" s="103"/>
      <c r="C50" s="103"/>
      <c r="D50" s="103"/>
      <c r="E50" s="103"/>
      <c r="F50" s="103"/>
      <c r="G50" s="103"/>
      <c r="H50" s="103"/>
      <c r="I50" s="103"/>
      <c r="J50" s="103"/>
      <c r="K50" s="103"/>
      <c r="L50" s="103"/>
      <c r="M50" s="103"/>
      <c r="N50" s="103"/>
      <c r="O50" s="103"/>
      <c r="P50" s="103"/>
      <c r="Q50" s="103"/>
      <c r="R50" s="103"/>
      <c r="S50" s="103"/>
      <c r="T50" s="103"/>
    </row>
    <row r="51" spans="2:20" x14ac:dyDescent="0.25">
      <c r="B51" s="103"/>
      <c r="C51" s="103"/>
      <c r="D51" s="103"/>
      <c r="E51" s="103"/>
      <c r="F51" s="103"/>
      <c r="G51" s="103"/>
      <c r="H51" s="103"/>
      <c r="I51" s="103"/>
      <c r="J51" s="103"/>
      <c r="K51" s="103"/>
      <c r="L51" s="103"/>
      <c r="M51" s="103"/>
      <c r="N51" s="103"/>
      <c r="O51" s="103"/>
      <c r="P51" s="103"/>
      <c r="Q51" s="103"/>
      <c r="R51" s="103"/>
      <c r="S51" s="103"/>
      <c r="T51" s="103"/>
    </row>
  </sheetData>
  <mergeCells count="6">
    <mergeCell ref="B7:M8"/>
    <mergeCell ref="B13:E14"/>
    <mergeCell ref="F13:F14"/>
    <mergeCell ref="G13:G14"/>
    <mergeCell ref="B10:F10"/>
    <mergeCell ref="I12:M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do_MasterHoldingsRefresh">
                <anchor moveWithCells="1">
                  <from>
                    <xdr:col>6</xdr:col>
                    <xdr:colOff>200025</xdr:colOff>
                    <xdr:row>12</xdr:row>
                    <xdr:rowOff>76200</xdr:rowOff>
                  </from>
                  <to>
                    <xdr:col>6</xdr:col>
                    <xdr:colOff>990600</xdr:colOff>
                    <xdr:row>13</xdr:row>
                    <xdr:rowOff>152400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8ACB2-29B1-4EA9-94A0-D77BEA89E1AF}">
  <sheetPr codeName="Sheet12"/>
  <dimension ref="B2:O46"/>
  <sheetViews>
    <sheetView zoomScale="80" zoomScaleNormal="80" workbookViewId="0">
      <selection activeCell="E17" sqref="E17"/>
    </sheetView>
  </sheetViews>
  <sheetFormatPr defaultRowHeight="15" x14ac:dyDescent="0.25"/>
  <cols>
    <col min="2" max="2" width="3.28515625" customWidth="1"/>
    <col min="4" max="4" width="11.5703125" bestFit="1" customWidth="1"/>
    <col min="5" max="5" width="20.28515625" customWidth="1"/>
  </cols>
  <sheetData>
    <row r="2" spans="3:15" x14ac:dyDescent="0.25">
      <c r="E2" s="107"/>
    </row>
    <row r="3" spans="3:15" x14ac:dyDescent="0.25">
      <c r="E3" s="107"/>
    </row>
    <row r="4" spans="3:15" x14ac:dyDescent="0.25">
      <c r="E4" s="107"/>
    </row>
    <row r="5" spans="3:15" x14ac:dyDescent="0.25">
      <c r="E5" s="107"/>
    </row>
    <row r="6" spans="3:15" x14ac:dyDescent="0.25">
      <c r="E6" s="107"/>
    </row>
    <row r="7" spans="3:15" ht="15" customHeight="1" x14ac:dyDescent="0.25">
      <c r="C7" s="291" t="s">
        <v>120</v>
      </c>
      <c r="D7" s="292"/>
      <c r="E7" s="292"/>
      <c r="F7" s="292"/>
      <c r="G7" s="292"/>
      <c r="H7" s="292"/>
      <c r="I7" s="292"/>
      <c r="J7" s="292"/>
      <c r="K7" s="292"/>
      <c r="L7" s="292"/>
      <c r="M7" s="292"/>
      <c r="N7" s="292"/>
      <c r="O7" s="293"/>
    </row>
    <row r="8" spans="3:15" ht="15" customHeight="1" x14ac:dyDescent="0.25">
      <c r="C8" s="304"/>
      <c r="D8" s="305"/>
      <c r="E8" s="305"/>
      <c r="F8" s="305"/>
      <c r="G8" s="305"/>
      <c r="H8" s="305"/>
      <c r="I8" s="305"/>
      <c r="J8" s="305"/>
      <c r="K8" s="305"/>
      <c r="L8" s="305"/>
      <c r="M8" s="305"/>
      <c r="N8" s="305"/>
      <c r="O8" s="297"/>
    </row>
    <row r="9" spans="3:15" ht="15.75" x14ac:dyDescent="0.25">
      <c r="C9" s="91"/>
      <c r="D9" s="91"/>
      <c r="E9" s="108"/>
    </row>
    <row r="10" spans="3:15" ht="15.75" x14ac:dyDescent="0.25">
      <c r="C10" s="269" t="s">
        <v>122</v>
      </c>
      <c r="D10" s="270"/>
      <c r="E10" s="270"/>
      <c r="F10" s="270"/>
      <c r="G10" s="270"/>
      <c r="H10" s="270"/>
      <c r="I10" s="270"/>
      <c r="J10" s="271"/>
    </row>
    <row r="11" spans="3:15" ht="15.75" x14ac:dyDescent="0.25">
      <c r="C11" s="91"/>
      <c r="D11" s="91"/>
      <c r="E11" s="108"/>
    </row>
    <row r="12" spans="3:15" x14ac:dyDescent="0.25">
      <c r="C12" s="298" t="s">
        <v>123</v>
      </c>
      <c r="D12" s="299"/>
      <c r="E12" s="299"/>
      <c r="F12" s="299"/>
      <c r="G12" s="299"/>
      <c r="H12" s="300"/>
      <c r="J12" s="291" t="s">
        <v>212</v>
      </c>
      <c r="K12" s="292"/>
      <c r="L12" s="292"/>
      <c r="M12" s="292"/>
      <c r="N12" s="293"/>
    </row>
    <row r="13" spans="3:15" x14ac:dyDescent="0.25">
      <c r="C13" s="301"/>
      <c r="D13" s="302"/>
      <c r="E13" s="302"/>
      <c r="F13" s="302"/>
      <c r="G13" s="302"/>
      <c r="H13" s="303"/>
      <c r="J13" s="294"/>
      <c r="K13" s="280"/>
      <c r="L13" s="280"/>
      <c r="M13" s="280"/>
      <c r="N13" s="295"/>
    </row>
    <row r="14" spans="3:15" x14ac:dyDescent="0.25">
      <c r="J14" s="294"/>
      <c r="K14" s="280"/>
      <c r="L14" s="280"/>
      <c r="M14" s="280"/>
      <c r="N14" s="295"/>
    </row>
    <row r="15" spans="3:15" x14ac:dyDescent="0.25">
      <c r="C15" t="str">
        <f>_xll.fbnAnalyticsStoreAdd_Template()</f>
        <v>OK</v>
      </c>
      <c r="J15" s="294"/>
      <c r="K15" s="280"/>
      <c r="L15" s="280"/>
      <c r="M15" s="280"/>
      <c r="N15" s="295"/>
    </row>
    <row r="16" spans="3:15" x14ac:dyDescent="0.25">
      <c r="C16" s="116" t="s">
        <v>3</v>
      </c>
      <c r="D16" s="117" t="s">
        <v>121</v>
      </c>
      <c r="E16" s="111" t="s">
        <v>5</v>
      </c>
      <c r="J16" s="304"/>
      <c r="K16" s="296"/>
      <c r="L16" s="296"/>
      <c r="M16" s="296"/>
      <c r="N16" s="297"/>
    </row>
    <row r="17" spans="2:12" x14ac:dyDescent="0.25">
      <c r="B17" s="93">
        <v>1</v>
      </c>
      <c r="C17" s="109" t="str">
        <f>Scope</f>
        <v>MyNameSpace1</v>
      </c>
      <c r="D17" s="113">
        <f ca="1">Setup!M36</f>
        <v>43221</v>
      </c>
      <c r="E17" s="179"/>
    </row>
    <row r="18" spans="2:12" x14ac:dyDescent="0.25">
      <c r="B18" s="94">
        <v>2</v>
      </c>
      <c r="C18" s="109"/>
      <c r="D18" s="41"/>
      <c r="E18" s="112"/>
    </row>
    <row r="19" spans="2:12" x14ac:dyDescent="0.25">
      <c r="B19" s="94">
        <v>3</v>
      </c>
      <c r="C19" s="109"/>
      <c r="D19" s="41"/>
      <c r="E19" s="112"/>
    </row>
    <row r="20" spans="2:12" x14ac:dyDescent="0.25">
      <c r="B20" s="94">
        <v>4</v>
      </c>
      <c r="C20" s="109"/>
      <c r="D20" s="41"/>
      <c r="E20" s="112"/>
    </row>
    <row r="21" spans="2:12" x14ac:dyDescent="0.25">
      <c r="B21" s="94">
        <v>5</v>
      </c>
      <c r="C21" s="109"/>
      <c r="D21" s="41"/>
      <c r="E21" s="112"/>
    </row>
    <row r="22" spans="2:12" x14ac:dyDescent="0.25">
      <c r="B22" s="94">
        <v>6</v>
      </c>
      <c r="C22" s="109"/>
      <c r="D22" s="41"/>
      <c r="E22" s="112"/>
    </row>
    <row r="23" spans="2:12" x14ac:dyDescent="0.25">
      <c r="B23" s="94">
        <v>7</v>
      </c>
      <c r="C23" s="109"/>
      <c r="D23" s="41"/>
      <c r="E23" s="112"/>
      <c r="I23" s="239" t="s">
        <v>124</v>
      </c>
      <c r="J23" s="239"/>
      <c r="K23" s="239"/>
      <c r="L23" s="239"/>
    </row>
    <row r="24" spans="2:12" x14ac:dyDescent="0.25">
      <c r="B24" s="94">
        <v>8</v>
      </c>
      <c r="C24" s="109"/>
      <c r="D24" s="41"/>
      <c r="E24" s="112"/>
      <c r="I24" s="239"/>
      <c r="J24" s="239"/>
      <c r="K24" s="239"/>
      <c r="L24" s="239"/>
    </row>
    <row r="25" spans="2:12" x14ac:dyDescent="0.25">
      <c r="B25" s="94">
        <v>9</v>
      </c>
      <c r="C25" s="109"/>
      <c r="D25" s="41"/>
      <c r="E25" s="112"/>
      <c r="I25" s="239"/>
      <c r="J25" s="239"/>
      <c r="K25" s="239"/>
      <c r="L25" s="239"/>
    </row>
    <row r="26" spans="2:12" x14ac:dyDescent="0.25">
      <c r="B26" s="94">
        <v>10</v>
      </c>
      <c r="C26" s="109"/>
      <c r="D26" s="41"/>
      <c r="E26" s="112"/>
      <c r="I26" s="239"/>
      <c r="J26" s="239"/>
      <c r="K26" s="239"/>
      <c r="L26" s="239"/>
    </row>
    <row r="27" spans="2:12" x14ac:dyDescent="0.25">
      <c r="B27" s="94">
        <v>11</v>
      </c>
      <c r="C27" s="109"/>
      <c r="D27" s="41"/>
      <c r="E27" s="112"/>
      <c r="I27" s="239"/>
      <c r="J27" s="239"/>
      <c r="K27" s="239"/>
      <c r="L27" s="239"/>
    </row>
    <row r="28" spans="2:12" x14ac:dyDescent="0.25">
      <c r="B28" s="94">
        <v>12</v>
      </c>
      <c r="C28" s="109"/>
      <c r="D28" s="41"/>
      <c r="E28" s="112"/>
      <c r="I28" s="239"/>
      <c r="J28" s="239"/>
      <c r="K28" s="239"/>
      <c r="L28" s="239"/>
    </row>
    <row r="29" spans="2:12" x14ac:dyDescent="0.25">
      <c r="B29" s="94">
        <v>13</v>
      </c>
      <c r="C29" s="109"/>
      <c r="D29" s="41"/>
      <c r="E29" s="112"/>
      <c r="I29" s="239"/>
      <c r="J29" s="239"/>
      <c r="K29" s="239"/>
      <c r="L29" s="239"/>
    </row>
    <row r="30" spans="2:12" x14ac:dyDescent="0.25">
      <c r="B30" s="94">
        <v>14</v>
      </c>
      <c r="C30" s="109"/>
      <c r="D30" s="41"/>
      <c r="E30" s="112"/>
      <c r="I30" s="239"/>
      <c r="J30" s="239"/>
      <c r="K30" s="239"/>
      <c r="L30" s="239"/>
    </row>
    <row r="31" spans="2:12" x14ac:dyDescent="0.25">
      <c r="B31" s="94">
        <v>15</v>
      </c>
      <c r="C31" s="109"/>
      <c r="D31" s="41"/>
      <c r="E31" s="112"/>
      <c r="I31" s="239"/>
      <c r="J31" s="239"/>
      <c r="K31" s="239"/>
      <c r="L31" s="239"/>
    </row>
    <row r="32" spans="2:12" x14ac:dyDescent="0.25">
      <c r="B32" s="94">
        <v>16</v>
      </c>
      <c r="C32" s="109"/>
      <c r="D32" s="41"/>
      <c r="E32" s="112"/>
    </row>
    <row r="33" spans="2:5" x14ac:dyDescent="0.25">
      <c r="B33" s="94">
        <v>17</v>
      </c>
      <c r="C33" s="109"/>
      <c r="D33" s="41"/>
      <c r="E33" s="112"/>
    </row>
    <row r="34" spans="2:5" x14ac:dyDescent="0.25">
      <c r="B34" s="94">
        <v>18</v>
      </c>
      <c r="C34" s="109"/>
      <c r="D34" s="41"/>
      <c r="E34" s="112"/>
    </row>
    <row r="35" spans="2:5" x14ac:dyDescent="0.25">
      <c r="B35" s="94">
        <v>19</v>
      </c>
      <c r="C35" s="109"/>
      <c r="D35" s="41"/>
      <c r="E35" s="112"/>
    </row>
    <row r="36" spans="2:5" x14ac:dyDescent="0.25">
      <c r="B36" s="94">
        <v>20</v>
      </c>
      <c r="C36" s="109"/>
      <c r="D36" s="41"/>
      <c r="E36" s="112"/>
    </row>
    <row r="37" spans="2:5" x14ac:dyDescent="0.25">
      <c r="B37" s="94">
        <v>21</v>
      </c>
      <c r="C37" s="109"/>
      <c r="D37" s="41"/>
      <c r="E37" s="112"/>
    </row>
    <row r="38" spans="2:5" x14ac:dyDescent="0.25">
      <c r="B38" s="94">
        <v>22</v>
      </c>
      <c r="C38" s="109"/>
      <c r="D38" s="41"/>
      <c r="E38" s="112"/>
    </row>
    <row r="39" spans="2:5" x14ac:dyDescent="0.25">
      <c r="B39" s="94">
        <v>23</v>
      </c>
      <c r="C39" s="109"/>
      <c r="D39" s="41"/>
      <c r="E39" s="112"/>
    </row>
    <row r="40" spans="2:5" x14ac:dyDescent="0.25">
      <c r="B40" s="94">
        <v>24</v>
      </c>
      <c r="C40" s="109"/>
      <c r="D40" s="41"/>
      <c r="E40" s="112"/>
    </row>
    <row r="41" spans="2:5" x14ac:dyDescent="0.25">
      <c r="B41" s="94">
        <v>25</v>
      </c>
      <c r="C41" s="109"/>
      <c r="D41" s="41"/>
      <c r="E41" s="112"/>
    </row>
    <row r="42" spans="2:5" x14ac:dyDescent="0.25">
      <c r="B42" s="94">
        <v>26</v>
      </c>
      <c r="C42" s="109"/>
      <c r="D42" s="41"/>
      <c r="E42" s="114"/>
    </row>
    <row r="43" spans="2:5" x14ac:dyDescent="0.25">
      <c r="B43" s="94">
        <v>27</v>
      </c>
      <c r="C43" s="109"/>
      <c r="D43" s="41"/>
      <c r="E43" s="114"/>
    </row>
    <row r="44" spans="2:5" x14ac:dyDescent="0.25">
      <c r="B44" s="94">
        <v>28</v>
      </c>
      <c r="C44" s="109"/>
      <c r="D44" s="41"/>
      <c r="E44" s="114"/>
    </row>
    <row r="45" spans="2:5" x14ac:dyDescent="0.25">
      <c r="B45" s="94">
        <v>29</v>
      </c>
      <c r="C45" s="109"/>
      <c r="D45" s="41"/>
      <c r="E45" s="114"/>
    </row>
    <row r="46" spans="2:5" x14ac:dyDescent="0.25">
      <c r="B46" s="92">
        <v>30</v>
      </c>
      <c r="C46" s="110"/>
      <c r="D46" s="45"/>
      <c r="E46" s="115"/>
    </row>
  </sheetData>
  <mergeCells count="5">
    <mergeCell ref="C12:H13"/>
    <mergeCell ref="I23:L31"/>
    <mergeCell ref="C7:O8"/>
    <mergeCell ref="C10:J10"/>
    <mergeCell ref="J12:N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do_UploadAnalyticsStores">
                <anchor moveWithCells="1">
                  <from>
                    <xdr:col>9</xdr:col>
                    <xdr:colOff>66675</xdr:colOff>
                    <xdr:row>24</xdr:row>
                    <xdr:rowOff>161925</xdr:rowOff>
                  </from>
                  <to>
                    <xdr:col>11</xdr:col>
                    <xdr:colOff>95250</xdr:colOff>
                    <xdr:row>28</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ADA4-C7ED-4A7A-BF8B-2BF28DDFAA80}">
  <sheetPr codeName="Sheet11"/>
  <dimension ref="C8:L56"/>
  <sheetViews>
    <sheetView zoomScale="80" zoomScaleNormal="80" workbookViewId="0">
      <selection activeCell="I13" sqref="I13:J14"/>
    </sheetView>
  </sheetViews>
  <sheetFormatPr defaultRowHeight="15" x14ac:dyDescent="0.25"/>
  <cols>
    <col min="2" max="2" width="4.140625" customWidth="1"/>
    <col min="3" max="3" width="7.85546875" customWidth="1"/>
    <col min="4" max="4" width="5.7109375" customWidth="1"/>
    <col min="5" max="5" width="43.85546875" customWidth="1"/>
    <col min="6" max="6" width="21.28515625" style="107" customWidth="1"/>
    <col min="7" max="7" width="9.140625" style="100"/>
    <col min="8" max="8" width="11.5703125" bestFit="1" customWidth="1"/>
  </cols>
  <sheetData>
    <row r="8" spans="3:10" ht="15.75" customHeight="1" x14ac:dyDescent="0.25">
      <c r="C8" s="232" t="s">
        <v>117</v>
      </c>
      <c r="D8" s="233"/>
      <c r="E8" s="233"/>
      <c r="F8" s="233"/>
      <c r="G8" s="233"/>
      <c r="H8" s="233"/>
      <c r="I8" s="233"/>
      <c r="J8" s="234"/>
    </row>
    <row r="9" spans="3:10" ht="15" customHeight="1" x14ac:dyDescent="0.25">
      <c r="C9" s="235"/>
      <c r="D9" s="236"/>
      <c r="E9" s="236"/>
      <c r="F9" s="236"/>
      <c r="G9" s="236"/>
      <c r="H9" s="236"/>
      <c r="I9" s="236"/>
      <c r="J9" s="237"/>
    </row>
    <row r="10" spans="3:10" ht="15" customHeight="1" x14ac:dyDescent="0.25">
      <c r="C10" s="91"/>
      <c r="D10" s="91"/>
      <c r="E10" s="91"/>
      <c r="F10" s="108"/>
    </row>
    <row r="11" spans="3:10" ht="15.75" x14ac:dyDescent="0.25">
      <c r="C11" s="269" t="s">
        <v>111</v>
      </c>
      <c r="D11" s="270"/>
      <c r="E11" s="270"/>
      <c r="F11" s="271"/>
    </row>
    <row r="12" spans="3:10" ht="15.75" x14ac:dyDescent="0.25">
      <c r="C12" s="91"/>
      <c r="D12" s="91"/>
      <c r="E12" s="91"/>
      <c r="F12" s="108"/>
    </row>
    <row r="13" spans="3:10" ht="15" customHeight="1" x14ac:dyDescent="0.25">
      <c r="C13" s="309" t="s">
        <v>205</v>
      </c>
      <c r="D13" s="310"/>
      <c r="E13" s="310"/>
      <c r="F13" s="310"/>
      <c r="G13" s="311"/>
      <c r="H13" s="102"/>
      <c r="I13" s="315">
        <f ca="1">'Setup Analytics'!D17</f>
        <v>43221</v>
      </c>
      <c r="J13" s="316"/>
    </row>
    <row r="14" spans="3:10" x14ac:dyDescent="0.25">
      <c r="C14" s="312"/>
      <c r="D14" s="313"/>
      <c r="E14" s="313"/>
      <c r="F14" s="313"/>
      <c r="G14" s="314"/>
      <c r="I14" s="317"/>
      <c r="J14" s="318"/>
    </row>
    <row r="16" spans="3:10" ht="15" customHeight="1" x14ac:dyDescent="0.25">
      <c r="C16" s="306" t="s">
        <v>125</v>
      </c>
      <c r="D16" s="307"/>
      <c r="E16" s="307"/>
      <c r="F16" s="307"/>
      <c r="G16" s="308"/>
      <c r="H16" s="1"/>
      <c r="I16" s="1"/>
      <c r="J16" s="1"/>
    </row>
    <row r="17" spans="3:12" x14ac:dyDescent="0.25">
      <c r="E17" t="str">
        <f>_xll.fbnAnalyticsAdd_Template()</f>
        <v>OK</v>
      </c>
      <c r="H17" s="103"/>
      <c r="I17" s="103"/>
      <c r="J17" s="103"/>
    </row>
    <row r="18" spans="3:12" ht="15.75" thickBot="1" x14ac:dyDescent="0.3">
      <c r="C18" s="6"/>
      <c r="D18" s="6"/>
      <c r="E18" s="120" t="s">
        <v>9</v>
      </c>
      <c r="F18" s="121" t="s">
        <v>118</v>
      </c>
      <c r="G18" s="123" t="s">
        <v>49</v>
      </c>
      <c r="H18" s="103"/>
      <c r="I18" s="103"/>
      <c r="J18" s="103"/>
    </row>
    <row r="19" spans="3:12" ht="15.75" thickTop="1" x14ac:dyDescent="0.25">
      <c r="D19" s="36">
        <v>1</v>
      </c>
      <c r="E19" s="159" t="str">
        <f>IF(Setup!D14="",NA(),Setup!D14)</f>
        <v>FIGI_BBG00JVK5K09</v>
      </c>
      <c r="F19" s="122">
        <v>2</v>
      </c>
      <c r="G19" s="182"/>
    </row>
    <row r="20" spans="3:12" x14ac:dyDescent="0.25">
      <c r="D20" s="36">
        <v>2</v>
      </c>
      <c r="E20" s="159" t="str">
        <f>IF(Setup!D15="",NA(),Setup!D15)</f>
        <v>FIGI_BBG00DL94N94</v>
      </c>
      <c r="F20" s="122">
        <v>2</v>
      </c>
      <c r="G20" s="118"/>
    </row>
    <row r="21" spans="3:12" x14ac:dyDescent="0.25">
      <c r="D21" s="36">
        <v>3</v>
      </c>
      <c r="E21" s="159" t="str">
        <f>IF(Setup!D16="",NA(),Setup!D16)</f>
        <v>FIGI_BBG00DL98GH6</v>
      </c>
      <c r="F21" s="122">
        <v>2</v>
      </c>
      <c r="G21" s="118"/>
    </row>
    <row r="22" spans="3:12" x14ac:dyDescent="0.25">
      <c r="D22" s="36">
        <v>4</v>
      </c>
      <c r="E22" s="159" t="str">
        <f>IF(Setup!D17="",NA(),Setup!D17)</f>
        <v>FIGI_BBG00FF56P88</v>
      </c>
      <c r="F22" s="122">
        <v>2</v>
      </c>
      <c r="G22" s="118"/>
    </row>
    <row r="23" spans="3:12" x14ac:dyDescent="0.25">
      <c r="D23" s="36">
        <v>5</v>
      </c>
      <c r="E23" s="159" t="str">
        <f>IF(Setup!D18="",NA(),Setup!D18)</f>
        <v>FIGI_BBG00DL98GS4</v>
      </c>
      <c r="F23" s="122">
        <v>2</v>
      </c>
      <c r="G23" s="118"/>
    </row>
    <row r="24" spans="3:12" x14ac:dyDescent="0.25">
      <c r="D24" s="36">
        <v>6</v>
      </c>
      <c r="E24" s="159" t="str">
        <f>IF(Setup!D19="",NA(),Setup!D19)</f>
        <v>FIGI_BBG00FB4V5K7</v>
      </c>
      <c r="F24" s="122">
        <v>2</v>
      </c>
      <c r="G24" s="118"/>
    </row>
    <row r="25" spans="3:12" x14ac:dyDescent="0.25">
      <c r="D25" s="36">
        <v>7</v>
      </c>
      <c r="E25" s="159" t="str">
        <f>IF(Setup!D20="",NA(),Setup!D20)</f>
        <v>FIGI_BBG00FJ5T5T0</v>
      </c>
      <c r="F25" s="122">
        <v>2</v>
      </c>
      <c r="G25" s="118"/>
    </row>
    <row r="26" spans="3:12" x14ac:dyDescent="0.25">
      <c r="D26" s="36">
        <v>8</v>
      </c>
      <c r="E26" s="159" t="str">
        <f>IF(Setup!D21="",NA(),Setup!D21)</f>
        <v>FIGI_BBG00FJ5T5V7</v>
      </c>
      <c r="F26" s="122">
        <v>2</v>
      </c>
      <c r="G26" s="118"/>
    </row>
    <row r="27" spans="3:12" x14ac:dyDescent="0.25">
      <c r="D27" s="36">
        <v>9</v>
      </c>
      <c r="E27" s="159" t="str">
        <f>IF(Setup!D22="",NA(),Setup!D22)</f>
        <v>FIGI_BBG001STKP50</v>
      </c>
      <c r="F27" s="122">
        <v>2</v>
      </c>
      <c r="G27" s="118"/>
    </row>
    <row r="28" spans="3:12" x14ac:dyDescent="0.25">
      <c r="D28" s="36">
        <v>10</v>
      </c>
      <c r="E28" s="159" t="str">
        <f>IF(Setup!D23="",NA(),Setup!D23)</f>
        <v>FIGI_BBG001SRSD26</v>
      </c>
      <c r="F28" s="122">
        <v>2</v>
      </c>
      <c r="G28" s="118"/>
    </row>
    <row r="29" spans="3:12" x14ac:dyDescent="0.25">
      <c r="D29" s="36">
        <v>11</v>
      </c>
      <c r="E29" s="159" t="str">
        <f>IF(Setup!D24="",NA(),Setup!D24)</f>
        <v>FIGI_BBG00H15BY93</v>
      </c>
      <c r="F29" s="122">
        <v>2</v>
      </c>
      <c r="G29" s="118"/>
      <c r="J29" s="239" t="s">
        <v>126</v>
      </c>
      <c r="K29" s="239"/>
      <c r="L29" s="239"/>
    </row>
    <row r="30" spans="3:12" x14ac:dyDescent="0.25">
      <c r="D30" s="36">
        <v>12</v>
      </c>
      <c r="E30" s="159" t="str">
        <f>IF(Setup!D25="",NA(),Setup!D25)</f>
        <v>FIGI_BBG00H15BYQ4</v>
      </c>
      <c r="F30" s="122">
        <v>2</v>
      </c>
      <c r="G30" s="118"/>
      <c r="J30" s="239"/>
      <c r="K30" s="239"/>
      <c r="L30" s="239"/>
    </row>
    <row r="31" spans="3:12" x14ac:dyDescent="0.25">
      <c r="D31" s="36">
        <v>13</v>
      </c>
      <c r="E31" s="159" t="str">
        <f>IF(Setup!D26="",NA(),Setup!D26)</f>
        <v>FIGI_BBG007V3VDV6</v>
      </c>
      <c r="F31" s="122">
        <v>2</v>
      </c>
      <c r="G31" s="118"/>
      <c r="J31" s="239"/>
      <c r="K31" s="239"/>
      <c r="L31" s="239"/>
    </row>
    <row r="32" spans="3:12" x14ac:dyDescent="0.25">
      <c r="D32" s="36">
        <v>14</v>
      </c>
      <c r="E32" s="159" t="str">
        <f>IF(Setup!D27="",NA(),Setup!D27)</f>
        <v>FIGI_BBG001T0SRJ5</v>
      </c>
      <c r="F32" s="122">
        <v>2</v>
      </c>
      <c r="G32" s="118"/>
      <c r="J32" s="239"/>
      <c r="K32" s="239"/>
      <c r="L32" s="239"/>
    </row>
    <row r="33" spans="3:12" x14ac:dyDescent="0.25">
      <c r="D33" s="36">
        <v>15</v>
      </c>
      <c r="E33" s="159" t="str">
        <f>IF(Setup!D28="",NA(),Setup!D28)</f>
        <v>FIGI_BBG001T1P853</v>
      </c>
      <c r="F33" s="122">
        <v>2</v>
      </c>
      <c r="G33" s="118"/>
      <c r="J33" s="239"/>
      <c r="K33" s="239"/>
      <c r="L33" s="239"/>
    </row>
    <row r="34" spans="3:12" x14ac:dyDescent="0.25">
      <c r="D34" s="36">
        <v>16</v>
      </c>
      <c r="E34" s="159" t="str">
        <f>IF(Setup!D29="",NA(),Setup!D29)</f>
        <v>FIGI_BBG001T8ZB05</v>
      </c>
      <c r="F34" s="122">
        <v>2</v>
      </c>
      <c r="G34" s="118"/>
      <c r="J34" s="239"/>
      <c r="K34" s="239"/>
      <c r="L34" s="239"/>
    </row>
    <row r="35" spans="3:12" x14ac:dyDescent="0.25">
      <c r="D35" s="36">
        <v>17</v>
      </c>
      <c r="E35" s="159" t="str">
        <f>IF(Setup!D30="",NA(),Setup!D30)</f>
        <v>FIGI_BBG001STMN80</v>
      </c>
      <c r="F35" s="122">
        <v>2</v>
      </c>
      <c r="G35" s="118"/>
      <c r="J35" s="239"/>
      <c r="K35" s="239"/>
      <c r="L35" s="239"/>
    </row>
    <row r="36" spans="3:12" x14ac:dyDescent="0.25">
      <c r="D36" s="36">
        <v>18</v>
      </c>
      <c r="E36" s="159" t="str">
        <f>IF(Setup!D31="",NA(),Setup!D31)</f>
        <v>FIGI_BBG001T8ZB14</v>
      </c>
      <c r="F36" s="122">
        <v>2</v>
      </c>
      <c r="G36" s="118"/>
    </row>
    <row r="37" spans="3:12" x14ac:dyDescent="0.25">
      <c r="D37" s="36">
        <v>19</v>
      </c>
      <c r="E37" s="159" t="str">
        <f>IF(Setup!D32="",NA(),Setup!D32)</f>
        <v>FIGI_BBG001V0BND5</v>
      </c>
      <c r="F37" s="122">
        <v>2</v>
      </c>
      <c r="G37" s="118"/>
    </row>
    <row r="38" spans="3:12" x14ac:dyDescent="0.25">
      <c r="D38" s="36">
        <v>20</v>
      </c>
      <c r="E38" s="159" t="str">
        <f>IF(Setup!D33="",NA(),Setup!D33)</f>
        <v>FIGI_BBG0037S1FF3</v>
      </c>
      <c r="F38" s="122">
        <v>2</v>
      </c>
      <c r="G38" s="118"/>
    </row>
    <row r="39" spans="3:12" x14ac:dyDescent="0.25">
      <c r="D39" s="36">
        <v>21</v>
      </c>
      <c r="E39" s="159" t="str">
        <f>IF(Setup!D34="",NA(),Setup!D34)</f>
        <v>FIGI_BBG001TJMQW7</v>
      </c>
      <c r="F39" s="122">
        <v>2</v>
      </c>
      <c r="G39" s="118"/>
    </row>
    <row r="40" spans="3:12" x14ac:dyDescent="0.25">
      <c r="D40" s="36">
        <v>22</v>
      </c>
      <c r="E40" s="159" t="str">
        <f>IF(Setup!D35="",NA(),Setup!D35)</f>
        <v>FIGI_BBG0034YPJH7</v>
      </c>
      <c r="F40" s="122">
        <v>2</v>
      </c>
      <c r="G40" s="118"/>
    </row>
    <row r="41" spans="3:12" x14ac:dyDescent="0.25">
      <c r="D41" s="36">
        <v>23</v>
      </c>
      <c r="E41" s="159" t="str">
        <f>IF(Setup!D36="",NA(),Setup!D36)</f>
        <v>FIGI_BBG0034YQ817</v>
      </c>
      <c r="F41" s="122">
        <v>2</v>
      </c>
      <c r="G41" s="118"/>
    </row>
    <row r="42" spans="3:12" x14ac:dyDescent="0.25">
      <c r="D42" s="36">
        <v>24</v>
      </c>
      <c r="E42" s="159" t="str">
        <f>IF(Setup!D37="",NA(),Setup!D37)</f>
        <v>FIGI_BBG004733G08</v>
      </c>
      <c r="F42" s="122">
        <v>2</v>
      </c>
      <c r="G42" s="118"/>
    </row>
    <row r="43" spans="3:12" x14ac:dyDescent="0.25">
      <c r="D43" s="36">
        <v>25</v>
      </c>
      <c r="E43" s="159" t="str">
        <f>IF(Setup!D38="",NA(),Setup!D38)</f>
        <v>FIGI_BBG004XQG9G3</v>
      </c>
      <c r="F43" s="122">
        <v>2</v>
      </c>
      <c r="G43" s="118"/>
    </row>
    <row r="44" spans="3:12" x14ac:dyDescent="0.25">
      <c r="D44" s="36">
        <v>26</v>
      </c>
      <c r="E44" s="159" t="str">
        <f>IF(Setup!D39="",NA(),Setup!D39)</f>
        <v>FIGI_BBG003BJ6K53</v>
      </c>
      <c r="F44" s="122">
        <v>2</v>
      </c>
      <c r="G44" s="118"/>
    </row>
    <row r="45" spans="3:12" x14ac:dyDescent="0.25">
      <c r="D45" s="36">
        <v>27</v>
      </c>
      <c r="E45" s="159" t="e">
        <f>IF(Setup!D40="",NA(),Setup!D40)</f>
        <v>#N/A</v>
      </c>
      <c r="F45" s="122">
        <v>2</v>
      </c>
      <c r="G45" s="118"/>
    </row>
    <row r="46" spans="3:12" x14ac:dyDescent="0.25">
      <c r="D46" s="36">
        <v>28</v>
      </c>
      <c r="E46" s="159" t="e">
        <f>IF(Setup!D41="",NA(),Setup!D41)</f>
        <v>#N/A</v>
      </c>
      <c r="F46" s="122">
        <v>2</v>
      </c>
      <c r="G46" s="118"/>
    </row>
    <row r="47" spans="3:12" x14ac:dyDescent="0.25">
      <c r="D47" s="36">
        <v>29</v>
      </c>
      <c r="E47" s="159" t="e">
        <f>IF(Setup!D42="",NA(),Setup!D42)</f>
        <v>#N/A</v>
      </c>
      <c r="F47" s="122">
        <v>2</v>
      </c>
      <c r="G47" s="118"/>
    </row>
    <row r="48" spans="3:12" x14ac:dyDescent="0.25">
      <c r="C48" s="38"/>
      <c r="D48" s="36">
        <v>30</v>
      </c>
      <c r="E48" s="198" t="e">
        <f>IF(Setup!D43="",NA(),Setup!D43)</f>
        <v>#N/A</v>
      </c>
      <c r="F48" s="199">
        <v>2</v>
      </c>
      <c r="G48" s="119"/>
    </row>
    <row r="52" spans="5:9" x14ac:dyDescent="0.25">
      <c r="E52" s="291" t="s">
        <v>213</v>
      </c>
      <c r="F52" s="292"/>
      <c r="G52" s="292"/>
      <c r="H52" s="292"/>
      <c r="I52" s="293"/>
    </row>
    <row r="53" spans="5:9" x14ac:dyDescent="0.25">
      <c r="E53" s="294"/>
      <c r="F53" s="280"/>
      <c r="G53" s="280"/>
      <c r="H53" s="280"/>
      <c r="I53" s="295"/>
    </row>
    <row r="54" spans="5:9" x14ac:dyDescent="0.25">
      <c r="E54" s="294"/>
      <c r="F54" s="280"/>
      <c r="G54" s="280"/>
      <c r="H54" s="280"/>
      <c r="I54" s="295"/>
    </row>
    <row r="55" spans="5:9" x14ac:dyDescent="0.25">
      <c r="E55" s="294"/>
      <c r="F55" s="280"/>
      <c r="G55" s="280"/>
      <c r="H55" s="280"/>
      <c r="I55" s="295"/>
    </row>
    <row r="56" spans="5:9" x14ac:dyDescent="0.25">
      <c r="E56" s="304"/>
      <c r="F56" s="296"/>
      <c r="G56" s="296"/>
      <c r="H56" s="296"/>
      <c r="I56" s="297"/>
    </row>
  </sheetData>
  <mergeCells count="7">
    <mergeCell ref="C8:J9"/>
    <mergeCell ref="C11:F11"/>
    <mergeCell ref="E52:I56"/>
    <mergeCell ref="J29:L35"/>
    <mergeCell ref="C16:G16"/>
    <mergeCell ref="C13:G14"/>
    <mergeCell ref="I13:J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do_ApplyAnalytics">
                <anchor moveWithCells="1">
                  <from>
                    <xdr:col>9</xdr:col>
                    <xdr:colOff>247650</xdr:colOff>
                    <xdr:row>30</xdr:row>
                    <xdr:rowOff>9525</xdr:rowOff>
                  </from>
                  <to>
                    <xdr:col>11</xdr:col>
                    <xdr:colOff>152400</xdr:colOff>
                    <xdr:row>32</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7BE58-732E-42F7-A2BA-F546DB397F12}">
  <sheetPr codeName="Sheet13"/>
  <dimension ref="B2:N39"/>
  <sheetViews>
    <sheetView zoomScale="80" zoomScaleNormal="80" workbookViewId="0">
      <selection activeCell="B29" sqref="B29:F39"/>
    </sheetView>
  </sheetViews>
  <sheetFormatPr defaultRowHeight="15" x14ac:dyDescent="0.25"/>
  <cols>
    <col min="2" max="2" width="34.5703125" bestFit="1" customWidth="1"/>
    <col min="3" max="3" width="85.7109375" customWidth="1"/>
    <col min="4" max="4" width="9.42578125" bestFit="1" customWidth="1"/>
    <col min="5" max="5" width="13.85546875" bestFit="1" customWidth="1"/>
    <col min="10" max="10" width="20.140625" customWidth="1"/>
    <col min="11" max="11" width="83.85546875" customWidth="1"/>
  </cols>
  <sheetData>
    <row r="2" spans="2:14" x14ac:dyDescent="0.25">
      <c r="D2" s="107"/>
    </row>
    <row r="3" spans="2:14" x14ac:dyDescent="0.25">
      <c r="D3" s="107"/>
    </row>
    <row r="4" spans="2:14" x14ac:dyDescent="0.25">
      <c r="D4" s="107"/>
    </row>
    <row r="5" spans="2:14" x14ac:dyDescent="0.25">
      <c r="D5" s="107"/>
    </row>
    <row r="6" spans="2:14" ht="15" customHeight="1" x14ac:dyDescent="0.25">
      <c r="B6" s="291" t="s">
        <v>195</v>
      </c>
      <c r="C6" s="292"/>
      <c r="D6" s="292"/>
      <c r="E6" s="292"/>
      <c r="F6" s="292"/>
      <c r="G6" s="292"/>
      <c r="H6" s="293"/>
      <c r="I6" s="130"/>
      <c r="L6" s="130"/>
      <c r="M6" s="130"/>
      <c r="N6" s="130"/>
    </row>
    <row r="7" spans="2:14" ht="15" customHeight="1" x14ac:dyDescent="0.25">
      <c r="B7" s="294"/>
      <c r="C7" s="280"/>
      <c r="D7" s="280"/>
      <c r="E7" s="280"/>
      <c r="F7" s="280"/>
      <c r="G7" s="280"/>
      <c r="H7" s="295"/>
      <c r="I7" s="130"/>
      <c r="L7" s="130"/>
      <c r="M7" s="130"/>
      <c r="N7" s="130"/>
    </row>
    <row r="8" spans="2:14" ht="15.75" customHeight="1" x14ac:dyDescent="0.25">
      <c r="B8" s="304"/>
      <c r="C8" s="296"/>
      <c r="D8" s="296"/>
      <c r="E8" s="296"/>
      <c r="F8" s="296"/>
      <c r="G8" s="296"/>
      <c r="H8" s="297"/>
      <c r="I8" s="25"/>
    </row>
    <row r="10" spans="2:14" ht="15.75" x14ac:dyDescent="0.25">
      <c r="B10" s="288" t="s">
        <v>122</v>
      </c>
      <c r="C10" s="289"/>
      <c r="D10" s="289"/>
      <c r="E10" s="289"/>
      <c r="F10" s="289"/>
      <c r="G10" s="289"/>
      <c r="H10" s="290"/>
      <c r="I10" s="141"/>
    </row>
    <row r="11" spans="2:14" ht="15.75" x14ac:dyDescent="0.25">
      <c r="B11" s="91"/>
      <c r="C11" s="91"/>
      <c r="D11" s="91"/>
      <c r="E11" s="91"/>
      <c r="F11" s="91"/>
      <c r="G11" s="91"/>
      <c r="H11" s="91"/>
      <c r="I11" s="91"/>
    </row>
    <row r="12" spans="2:14" ht="15.75" customHeight="1" x14ac:dyDescent="0.25">
      <c r="B12" s="319" t="s">
        <v>194</v>
      </c>
      <c r="C12" s="320"/>
      <c r="D12" s="320"/>
      <c r="E12" s="320"/>
      <c r="F12" s="320"/>
      <c r="G12" s="320"/>
      <c r="H12" s="321"/>
      <c r="I12" s="91"/>
    </row>
    <row r="13" spans="2:14" ht="15.75" x14ac:dyDescent="0.25">
      <c r="B13" s="322"/>
      <c r="C13" s="323"/>
      <c r="D13" s="323"/>
      <c r="E13" s="323"/>
      <c r="F13" s="323"/>
      <c r="G13" s="323"/>
      <c r="H13" s="324"/>
      <c r="I13" s="91"/>
    </row>
    <row r="14" spans="2:14" ht="15.75" x14ac:dyDescent="0.25">
      <c r="D14" s="91"/>
      <c r="E14" s="91"/>
      <c r="F14" s="91"/>
      <c r="G14" s="91"/>
      <c r="H14" s="91"/>
      <c r="I14" s="91"/>
    </row>
    <row r="15" spans="2:14" ht="16.5" customHeight="1" thickBot="1" x14ac:dyDescent="0.3">
      <c r="B15" s="126" t="s">
        <v>1</v>
      </c>
      <c r="C15" s="127" t="s">
        <v>118</v>
      </c>
      <c r="D15" s="91"/>
      <c r="E15" s="291" t="s">
        <v>214</v>
      </c>
      <c r="F15" s="292"/>
      <c r="G15" s="292"/>
      <c r="H15" s="293"/>
      <c r="I15" s="141"/>
    </row>
    <row r="16" spans="2:14" ht="16.5" customHeight="1" thickTop="1" x14ac:dyDescent="0.25">
      <c r="B16" s="124" t="s">
        <v>127</v>
      </c>
      <c r="C16" s="98" t="str">
        <f>Scope</f>
        <v>MyNameSpace1</v>
      </c>
      <c r="D16" s="91"/>
      <c r="E16" s="294"/>
      <c r="F16" s="280"/>
      <c r="G16" s="280"/>
      <c r="H16" s="295"/>
      <c r="I16" s="141"/>
    </row>
    <row r="17" spans="2:10" ht="15.75" customHeight="1" x14ac:dyDescent="0.25">
      <c r="B17" s="124" t="s">
        <v>128</v>
      </c>
      <c r="C17" s="98" t="str">
        <f>Scope</f>
        <v>MyNameSpace1</v>
      </c>
      <c r="D17" s="91"/>
      <c r="E17" s="294"/>
      <c r="F17" s="280"/>
      <c r="G17" s="280"/>
      <c r="H17" s="295"/>
      <c r="I17" s="141"/>
    </row>
    <row r="18" spans="2:10" ht="15.75" customHeight="1" x14ac:dyDescent="0.25">
      <c r="B18" s="124" t="s">
        <v>129</v>
      </c>
      <c r="C18" s="98" t="s">
        <v>130</v>
      </c>
      <c r="D18" s="91"/>
      <c r="E18" s="294"/>
      <c r="F18" s="280"/>
      <c r="G18" s="280"/>
      <c r="H18" s="295"/>
      <c r="I18" s="141"/>
    </row>
    <row r="19" spans="2:10" ht="15.75" customHeight="1" x14ac:dyDescent="0.25">
      <c r="B19" s="124" t="s">
        <v>131</v>
      </c>
      <c r="C19" s="192" t="s">
        <v>209</v>
      </c>
      <c r="D19" s="91"/>
      <c r="E19" s="294"/>
      <c r="F19" s="280"/>
      <c r="G19" s="280"/>
      <c r="H19" s="295"/>
      <c r="I19" s="141"/>
      <c r="J19" s="189"/>
    </row>
    <row r="20" spans="2:10" ht="15.75" customHeight="1" x14ac:dyDescent="0.25">
      <c r="B20" s="124" t="s">
        <v>47</v>
      </c>
      <c r="C20" s="188" t="s">
        <v>132</v>
      </c>
      <c r="D20" s="91"/>
      <c r="E20" s="294"/>
      <c r="F20" s="280"/>
      <c r="G20" s="280"/>
      <c r="H20" s="295"/>
      <c r="I20" s="91"/>
      <c r="J20" s="149"/>
    </row>
    <row r="21" spans="2:10" ht="15.75" customHeight="1" x14ac:dyDescent="0.25">
      <c r="B21" s="125" t="s">
        <v>133</v>
      </c>
      <c r="C21" s="128">
        <f ca="1">AnalyticsStoreDate</f>
        <v>43221</v>
      </c>
      <c r="D21" s="91"/>
      <c r="E21" s="304"/>
      <c r="F21" s="296"/>
      <c r="G21" s="296"/>
      <c r="H21" s="297"/>
      <c r="I21" s="91"/>
      <c r="J21" s="148"/>
    </row>
    <row r="22" spans="2:10" ht="15.75" x14ac:dyDescent="0.25">
      <c r="D22" s="91"/>
      <c r="E22" s="91"/>
      <c r="F22" s="91"/>
      <c r="G22" s="91"/>
      <c r="H22" s="91"/>
      <c r="I22" s="91"/>
    </row>
    <row r="23" spans="2:10" ht="15.75" x14ac:dyDescent="0.25">
      <c r="D23" s="91"/>
      <c r="E23" s="91"/>
      <c r="F23" s="91"/>
      <c r="G23" s="91"/>
      <c r="H23" s="91"/>
      <c r="I23" s="91"/>
    </row>
    <row r="24" spans="2:10" ht="15.75" customHeight="1" x14ac:dyDescent="0.25">
      <c r="B24" s="258" t="s">
        <v>193</v>
      </c>
      <c r="C24" s="259"/>
      <c r="D24" s="259"/>
      <c r="E24" s="260"/>
      <c r="F24" s="105"/>
      <c r="G24" s="105"/>
      <c r="H24" s="91"/>
      <c r="I24" s="91"/>
    </row>
    <row r="25" spans="2:10" ht="15.75" customHeight="1" x14ac:dyDescent="0.25">
      <c r="B25" s="272"/>
      <c r="C25" s="273"/>
      <c r="D25" s="273"/>
      <c r="E25" s="274"/>
      <c r="F25" s="105"/>
      <c r="G25" s="105"/>
      <c r="H25" s="91"/>
      <c r="I25" s="91"/>
    </row>
    <row r="26" spans="2:10" ht="15.75" x14ac:dyDescent="0.25">
      <c r="B26" s="261"/>
      <c r="C26" s="275"/>
      <c r="D26" s="275"/>
      <c r="E26" s="263"/>
      <c r="F26" s="105"/>
      <c r="G26" s="105"/>
      <c r="H26" s="91"/>
      <c r="I26" s="91"/>
    </row>
    <row r="27" spans="2:10" ht="15.75" x14ac:dyDescent="0.25">
      <c r="D27" s="91"/>
      <c r="E27" s="91"/>
      <c r="F27" s="91"/>
      <c r="G27" s="91"/>
      <c r="H27" s="91"/>
      <c r="I27" s="91"/>
    </row>
    <row r="28" spans="2:10" ht="15.75" x14ac:dyDescent="0.25">
      <c r="B28" s="201" t="s">
        <v>196</v>
      </c>
      <c r="D28" s="91"/>
      <c r="E28" s="91"/>
      <c r="F28" s="91"/>
      <c r="G28" s="91"/>
      <c r="H28" s="91"/>
      <c r="I28" s="91"/>
    </row>
    <row r="29" spans="2:10" ht="15.75" x14ac:dyDescent="0.25">
      <c r="B29" s="148"/>
      <c r="C29" s="148"/>
      <c r="D29" s="91"/>
      <c r="E29" s="91"/>
      <c r="F29" s="91"/>
      <c r="G29" s="91"/>
      <c r="H29" s="91"/>
      <c r="I29" s="91"/>
    </row>
    <row r="30" spans="2:10" ht="15.75" x14ac:dyDescent="0.25">
      <c r="B30" s="200"/>
      <c r="C30" s="200"/>
      <c r="D30" s="200"/>
      <c r="E30" s="200"/>
      <c r="F30" s="148"/>
      <c r="G30" s="91"/>
      <c r="H30" s="91"/>
      <c r="I30" s="91"/>
    </row>
    <row r="31" spans="2:10" ht="15.75" x14ac:dyDescent="0.25">
      <c r="B31" s="200"/>
      <c r="C31" s="200"/>
      <c r="D31" s="200"/>
      <c r="E31" s="200"/>
      <c r="F31" s="148"/>
      <c r="G31" s="91"/>
      <c r="H31" s="91"/>
      <c r="I31" s="91"/>
    </row>
    <row r="32" spans="2:10" ht="15.75" x14ac:dyDescent="0.25">
      <c r="B32" s="200"/>
      <c r="C32" s="200"/>
      <c r="D32" s="200"/>
      <c r="E32" s="200"/>
      <c r="F32" s="148"/>
      <c r="G32" s="91"/>
      <c r="H32" s="91"/>
      <c r="I32" s="91"/>
    </row>
    <row r="33" spans="2:6" x14ac:dyDescent="0.25">
      <c r="B33" s="200"/>
      <c r="C33" s="200"/>
      <c r="D33" s="200"/>
      <c r="E33" s="200"/>
      <c r="F33" s="148"/>
    </row>
    <row r="34" spans="2:6" x14ac:dyDescent="0.25">
      <c r="B34" s="200"/>
      <c r="C34" s="200"/>
      <c r="D34" s="200"/>
      <c r="E34" s="200"/>
      <c r="F34" s="148"/>
    </row>
    <row r="35" spans="2:6" x14ac:dyDescent="0.25">
      <c r="B35" s="200"/>
      <c r="C35" s="200"/>
      <c r="D35" s="200"/>
      <c r="E35" s="200"/>
      <c r="F35" s="148"/>
    </row>
    <row r="36" spans="2:6" ht="15" customHeight="1" x14ac:dyDescent="0.25">
      <c r="B36" s="200"/>
      <c r="C36" s="200"/>
      <c r="D36" s="200"/>
      <c r="E36" s="200"/>
      <c r="F36" s="148"/>
    </row>
    <row r="37" spans="2:6" x14ac:dyDescent="0.25">
      <c r="B37" s="148"/>
      <c r="C37" s="148"/>
      <c r="D37" s="148"/>
      <c r="E37" s="148"/>
      <c r="F37" s="148"/>
    </row>
    <row r="38" spans="2:6" x14ac:dyDescent="0.25">
      <c r="B38" s="148"/>
      <c r="C38" s="148"/>
      <c r="D38" s="148"/>
      <c r="E38" s="148"/>
      <c r="F38" s="148"/>
    </row>
    <row r="39" spans="2:6" x14ac:dyDescent="0.25">
      <c r="B39" s="148"/>
      <c r="C39" s="148"/>
      <c r="D39" s="148"/>
      <c r="E39" s="148"/>
      <c r="F39" s="148"/>
    </row>
  </sheetData>
  <mergeCells count="5">
    <mergeCell ref="B6:H8"/>
    <mergeCell ref="B24:E26"/>
    <mergeCell ref="B10:H10"/>
    <mergeCell ref="B12:H13"/>
    <mergeCell ref="E15:H2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do_GetAggregation">
                <anchor moveWithCells="1">
                  <from>
                    <xdr:col>2</xdr:col>
                    <xdr:colOff>409575</xdr:colOff>
                    <xdr:row>23</xdr:row>
                    <xdr:rowOff>114300</xdr:rowOff>
                  </from>
                  <to>
                    <xdr:col>2</xdr:col>
                    <xdr:colOff>1600200</xdr:colOff>
                    <xdr:row>25</xdr:row>
                    <xdr:rowOff>95250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C7:O50"/>
  <sheetViews>
    <sheetView zoomScale="80" zoomScaleNormal="80" workbookViewId="0">
      <selection activeCell="G47" sqref="G47"/>
    </sheetView>
  </sheetViews>
  <sheetFormatPr defaultRowHeight="15" x14ac:dyDescent="0.25"/>
  <cols>
    <col min="1" max="1" width="6.28515625" customWidth="1"/>
    <col min="2" max="2" width="7.5703125" customWidth="1"/>
    <col min="3" max="3" width="22" customWidth="1"/>
    <col min="4" max="4" width="31.7109375" customWidth="1"/>
    <col min="5" max="5" width="24.140625" customWidth="1"/>
    <col min="6" max="6" width="11" customWidth="1"/>
    <col min="7" max="7" width="38.5703125" customWidth="1"/>
    <col min="8" max="8" width="19.140625" customWidth="1"/>
  </cols>
  <sheetData>
    <row r="7" spans="3:8" ht="15" customHeight="1" x14ac:dyDescent="0.25">
      <c r="C7" s="328" t="s">
        <v>80</v>
      </c>
      <c r="D7" s="329"/>
      <c r="E7" s="330"/>
      <c r="F7" s="23"/>
    </row>
    <row r="8" spans="3:8" x14ac:dyDescent="0.25">
      <c r="C8" s="331"/>
      <c r="D8" s="332"/>
      <c r="E8" s="333"/>
      <c r="F8" s="23"/>
    </row>
    <row r="9" spans="3:8" x14ac:dyDescent="0.25">
      <c r="C9" s="334"/>
      <c r="D9" s="335"/>
      <c r="E9" s="336"/>
    </row>
    <row r="11" spans="3:8" ht="16.5" customHeight="1" x14ac:dyDescent="0.25">
      <c r="C11" s="325" t="s">
        <v>11</v>
      </c>
      <c r="D11" s="326"/>
      <c r="E11" s="327"/>
      <c r="G11" s="325" t="s">
        <v>4</v>
      </c>
      <c r="H11" s="327"/>
    </row>
    <row r="12" spans="3:8" x14ac:dyDescent="0.25">
      <c r="C12" t="str">
        <f>_xll.fbnSecuritiesAdd_Template()</f>
        <v>OK</v>
      </c>
    </row>
    <row r="13" spans="3:8" ht="15.75" thickBot="1" x14ac:dyDescent="0.3">
      <c r="C13" s="151" t="s">
        <v>0</v>
      </c>
      <c r="D13" s="152" t="s">
        <v>1</v>
      </c>
      <c r="E13" s="153" t="s">
        <v>2</v>
      </c>
      <c r="F13" s="1"/>
      <c r="G13" s="54" t="s">
        <v>5</v>
      </c>
      <c r="H13" s="55" t="s">
        <v>50</v>
      </c>
    </row>
    <row r="14" spans="3:8" ht="15.75" thickTop="1" x14ac:dyDescent="0.25">
      <c r="C14" s="154" t="s">
        <v>191</v>
      </c>
      <c r="D14" s="155" t="s">
        <v>192</v>
      </c>
      <c r="E14" s="156"/>
      <c r="F14" s="2"/>
      <c r="G14" s="56"/>
      <c r="H14" s="57"/>
    </row>
    <row r="15" spans="3:8" x14ac:dyDescent="0.25">
      <c r="C15" s="154"/>
      <c r="D15" s="155"/>
      <c r="E15" s="156"/>
      <c r="F15" s="3"/>
      <c r="G15" s="18"/>
      <c r="H15" s="19"/>
    </row>
    <row r="16" spans="3:8" x14ac:dyDescent="0.25">
      <c r="C16" s="154"/>
      <c r="D16" s="155"/>
      <c r="E16" s="156"/>
      <c r="F16" s="3"/>
      <c r="G16" s="18"/>
      <c r="H16" s="19"/>
    </row>
    <row r="17" spans="3:15" x14ac:dyDescent="0.25">
      <c r="C17" s="154"/>
      <c r="D17" s="155"/>
      <c r="E17" s="156"/>
      <c r="F17" s="3"/>
      <c r="G17" s="18"/>
      <c r="H17" s="19"/>
    </row>
    <row r="18" spans="3:15" x14ac:dyDescent="0.25">
      <c r="C18" s="154"/>
      <c r="D18" s="155"/>
      <c r="E18" s="156"/>
      <c r="F18" s="3"/>
      <c r="G18" s="18"/>
      <c r="H18" s="19"/>
    </row>
    <row r="19" spans="3:15" x14ac:dyDescent="0.25">
      <c r="C19" s="154"/>
      <c r="D19" s="155"/>
      <c r="E19" s="156"/>
      <c r="F19" s="3"/>
      <c r="G19" s="18"/>
      <c r="H19" s="19"/>
    </row>
    <row r="20" spans="3:15" x14ac:dyDescent="0.25">
      <c r="C20" s="154"/>
      <c r="D20" s="155"/>
      <c r="E20" s="156"/>
      <c r="F20" s="3"/>
      <c r="G20" s="18"/>
      <c r="H20" s="19"/>
      <c r="K20" s="257" t="s">
        <v>72</v>
      </c>
      <c r="L20" s="257"/>
      <c r="M20" s="257"/>
      <c r="N20" s="257"/>
      <c r="O20" s="257"/>
    </row>
    <row r="21" spans="3:15" x14ac:dyDescent="0.25">
      <c r="C21" s="154"/>
      <c r="D21" s="155"/>
      <c r="E21" s="156"/>
      <c r="F21" s="3"/>
      <c r="G21" s="18"/>
      <c r="H21" s="19"/>
      <c r="K21" s="257"/>
      <c r="L21" s="257"/>
      <c r="M21" s="257"/>
      <c r="N21" s="257"/>
      <c r="O21" s="257"/>
    </row>
    <row r="22" spans="3:15" x14ac:dyDescent="0.25">
      <c r="C22" s="154"/>
      <c r="D22" s="155"/>
      <c r="E22" s="156"/>
      <c r="F22" s="3"/>
      <c r="G22" s="18"/>
      <c r="H22" s="19"/>
      <c r="K22" s="257"/>
      <c r="L22" s="257"/>
      <c r="M22" s="257"/>
      <c r="N22" s="257"/>
      <c r="O22" s="257"/>
    </row>
    <row r="23" spans="3:15" x14ac:dyDescent="0.25">
      <c r="C23" s="154"/>
      <c r="D23" s="155"/>
      <c r="E23" s="156"/>
      <c r="F23" s="3"/>
      <c r="G23" s="18"/>
      <c r="H23" s="19"/>
      <c r="K23" s="257"/>
      <c r="L23" s="257"/>
      <c r="M23" s="257"/>
      <c r="N23" s="257"/>
      <c r="O23" s="257"/>
    </row>
    <row r="24" spans="3:15" x14ac:dyDescent="0.25">
      <c r="C24" s="154"/>
      <c r="D24" s="155"/>
      <c r="E24" s="156"/>
      <c r="F24" s="3"/>
      <c r="G24" s="18"/>
      <c r="H24" s="19"/>
      <c r="K24" s="257"/>
      <c r="L24" s="257"/>
      <c r="M24" s="257"/>
      <c r="N24" s="257"/>
      <c r="O24" s="257"/>
    </row>
    <row r="25" spans="3:15" x14ac:dyDescent="0.25">
      <c r="C25" s="154"/>
      <c r="D25" s="155"/>
      <c r="E25" s="156"/>
      <c r="F25" s="3"/>
      <c r="G25" s="18"/>
      <c r="H25" s="19"/>
    </row>
    <row r="26" spans="3:15" x14ac:dyDescent="0.25">
      <c r="C26" s="154"/>
      <c r="D26" s="155"/>
      <c r="E26" s="156"/>
      <c r="F26" s="3"/>
      <c r="G26" s="18"/>
      <c r="H26" s="19"/>
    </row>
    <row r="27" spans="3:15" x14ac:dyDescent="0.25">
      <c r="C27" s="154"/>
      <c r="D27" s="155"/>
      <c r="E27" s="156"/>
      <c r="F27" s="3"/>
      <c r="G27" s="18"/>
      <c r="H27" s="19"/>
    </row>
    <row r="28" spans="3:15" x14ac:dyDescent="0.25">
      <c r="C28" s="154"/>
      <c r="D28" s="155"/>
      <c r="E28" s="156"/>
      <c r="F28" s="3"/>
      <c r="G28" s="18"/>
      <c r="H28" s="19"/>
    </row>
    <row r="29" spans="3:15" x14ac:dyDescent="0.25">
      <c r="C29" s="154"/>
      <c r="D29" s="155"/>
      <c r="E29" s="156"/>
      <c r="F29" s="3"/>
      <c r="G29" s="18"/>
      <c r="H29" s="19"/>
    </row>
    <row r="30" spans="3:15" x14ac:dyDescent="0.25">
      <c r="C30" s="154"/>
      <c r="D30" s="155"/>
      <c r="E30" s="156"/>
      <c r="F30" s="3"/>
      <c r="G30" s="18"/>
      <c r="H30" s="19"/>
    </row>
    <row r="31" spans="3:15" x14ac:dyDescent="0.25">
      <c r="C31" s="154"/>
      <c r="D31" s="155"/>
      <c r="E31" s="156"/>
      <c r="F31" s="3"/>
      <c r="G31" s="18"/>
      <c r="H31" s="19"/>
    </row>
    <row r="32" spans="3:15" x14ac:dyDescent="0.25">
      <c r="C32" s="154"/>
      <c r="D32" s="155"/>
      <c r="E32" s="156"/>
      <c r="F32" s="3"/>
      <c r="G32" s="18"/>
      <c r="H32" s="19"/>
    </row>
    <row r="33" spans="3:8" x14ac:dyDescent="0.25">
      <c r="C33" s="154"/>
      <c r="D33" s="155"/>
      <c r="E33" s="156"/>
      <c r="F33" s="3"/>
      <c r="G33" s="18"/>
      <c r="H33" s="19"/>
    </row>
    <row r="34" spans="3:8" x14ac:dyDescent="0.25">
      <c r="C34" s="154"/>
      <c r="D34" s="155"/>
      <c r="E34" s="156"/>
      <c r="F34" s="3"/>
      <c r="G34" s="18"/>
      <c r="H34" s="19"/>
    </row>
    <row r="35" spans="3:8" x14ac:dyDescent="0.25">
      <c r="C35" s="154"/>
      <c r="D35" s="155"/>
      <c r="E35" s="156"/>
      <c r="F35" s="3"/>
      <c r="G35" s="18"/>
      <c r="H35" s="19"/>
    </row>
    <row r="36" spans="3:8" x14ac:dyDescent="0.25">
      <c r="C36" s="154"/>
      <c r="D36" s="155"/>
      <c r="E36" s="156"/>
      <c r="F36" s="3"/>
      <c r="G36" s="18"/>
      <c r="H36" s="19"/>
    </row>
    <row r="37" spans="3:8" x14ac:dyDescent="0.25">
      <c r="C37" s="154"/>
      <c r="D37" s="155"/>
      <c r="E37" s="156"/>
      <c r="F37" s="3"/>
      <c r="G37" s="18"/>
      <c r="H37" s="19"/>
    </row>
    <row r="38" spans="3:8" x14ac:dyDescent="0.25">
      <c r="C38" s="154"/>
      <c r="D38" s="155"/>
      <c r="E38" s="156"/>
      <c r="F38" s="3"/>
      <c r="G38" s="18"/>
      <c r="H38" s="19"/>
    </row>
    <row r="39" spans="3:8" x14ac:dyDescent="0.25">
      <c r="C39" s="154"/>
      <c r="D39" s="155"/>
      <c r="E39" s="156"/>
      <c r="F39" s="3"/>
      <c r="G39" s="18"/>
      <c r="H39" s="19"/>
    </row>
    <row r="40" spans="3:8" x14ac:dyDescent="0.25">
      <c r="C40" s="154"/>
      <c r="D40" s="155"/>
      <c r="E40" s="156"/>
      <c r="F40" s="3"/>
      <c r="G40" s="18"/>
      <c r="H40" s="19"/>
    </row>
    <row r="41" spans="3:8" x14ac:dyDescent="0.25">
      <c r="C41" s="157"/>
      <c r="D41" s="53"/>
      <c r="E41" s="158"/>
      <c r="F41" s="3"/>
      <c r="G41" s="20"/>
      <c r="H41" s="21"/>
    </row>
    <row r="44" spans="3:8" x14ac:dyDescent="0.25">
      <c r="C44" s="291" t="s">
        <v>215</v>
      </c>
      <c r="D44" s="292"/>
      <c r="E44" s="292"/>
      <c r="F44" s="293"/>
    </row>
    <row r="45" spans="3:8" x14ac:dyDescent="0.25">
      <c r="C45" s="294"/>
      <c r="D45" s="280"/>
      <c r="E45" s="280"/>
      <c r="F45" s="295"/>
    </row>
    <row r="46" spans="3:8" x14ac:dyDescent="0.25">
      <c r="C46" s="294"/>
      <c r="D46" s="280"/>
      <c r="E46" s="280"/>
      <c r="F46" s="295"/>
    </row>
    <row r="47" spans="3:8" x14ac:dyDescent="0.25">
      <c r="C47" s="294"/>
      <c r="D47" s="280"/>
      <c r="E47" s="280"/>
      <c r="F47" s="295"/>
    </row>
    <row r="48" spans="3:8" x14ac:dyDescent="0.25">
      <c r="C48" s="294"/>
      <c r="D48" s="280"/>
      <c r="E48" s="280"/>
      <c r="F48" s="295"/>
    </row>
    <row r="49" spans="3:6" x14ac:dyDescent="0.25">
      <c r="C49" s="294"/>
      <c r="D49" s="280"/>
      <c r="E49" s="280"/>
      <c r="F49" s="295"/>
    </row>
    <row r="50" spans="3:6" x14ac:dyDescent="0.25">
      <c r="C50" s="304"/>
      <c r="D50" s="296"/>
      <c r="E50" s="296"/>
      <c r="F50" s="297"/>
    </row>
  </sheetData>
  <mergeCells count="5">
    <mergeCell ref="C11:E11"/>
    <mergeCell ref="G11:H11"/>
    <mergeCell ref="K20:O24"/>
    <mergeCell ref="C7:E9"/>
    <mergeCell ref="C44:F5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Upload_Securities" altText="Create Securities">
                <anchor moveWithCells="1">
                  <from>
                    <xdr:col>11</xdr:col>
                    <xdr:colOff>200025</xdr:colOff>
                    <xdr:row>21</xdr:row>
                    <xdr:rowOff>19050</xdr:rowOff>
                  </from>
                  <to>
                    <xdr:col>14</xdr:col>
                    <xdr:colOff>57150</xdr:colOff>
                    <xdr:row>22</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40</vt:i4>
      </vt:variant>
    </vt:vector>
  </HeadingPairs>
  <TitlesOfParts>
    <vt:vector size="53" baseType="lpstr">
      <vt:lpstr>LICENSE</vt:lpstr>
      <vt:lpstr>Setup</vt:lpstr>
      <vt:lpstr>Define Portfolio</vt:lpstr>
      <vt:lpstr>Define Classifications</vt:lpstr>
      <vt:lpstr>Apply classifications to Exist</vt:lpstr>
      <vt:lpstr>Master Securities View</vt:lpstr>
      <vt:lpstr>Add Trades On Security</vt:lpstr>
      <vt:lpstr>Master Trades View</vt:lpstr>
      <vt:lpstr>Master Holdings View</vt:lpstr>
      <vt:lpstr>Setup Analytics</vt:lpstr>
      <vt:lpstr>Insert Analytics</vt:lpstr>
      <vt:lpstr>Aggregation</vt:lpstr>
      <vt:lpstr>Define New Securities</vt:lpstr>
      <vt:lpstr>AddTradesResults</vt:lpstr>
      <vt:lpstr>AddTradesSelection</vt:lpstr>
      <vt:lpstr>AggregationParameters</vt:lpstr>
      <vt:lpstr>AnalyticsStoreDate</vt:lpstr>
      <vt:lpstr>AnalyticsStoreUploadData</vt:lpstr>
      <vt:lpstr>AnalyticsStoreUploadDataResults</vt:lpstr>
      <vt:lpstr>ApplyAnalyticsUploadData</vt:lpstr>
      <vt:lpstr>ApplyAnalyticsUploadDataResult</vt:lpstr>
      <vt:lpstr>ApplyClassificationsResult</vt:lpstr>
      <vt:lpstr>ApplyClassificationUploadData</vt:lpstr>
      <vt:lpstr>BluePortfoliosRange</vt:lpstr>
      <vt:lpstr>BlueSecuritiesRange</vt:lpstr>
      <vt:lpstr>ClassificationKeys</vt:lpstr>
      <vt:lpstr>CreateSecurityPropertiesUploadData</vt:lpstr>
      <vt:lpstr>CustomSecuritiesMasterViewUpdate</vt:lpstr>
      <vt:lpstr>DELETEME</vt:lpstr>
      <vt:lpstr>'Insert Analytics'!fbnAnalytics_Template_ref</vt:lpstr>
      <vt:lpstr>'Setup Analytics'!fbnAnalyticsStore_Template_ref</vt:lpstr>
      <vt:lpstr>'Apply classifications to Exist'!fbnClassifications_Template_ref</vt:lpstr>
      <vt:lpstr>'Define New Securities'!fbnClassifications_Template_ref</vt:lpstr>
      <vt:lpstr>'Insert Analytics'!fbnClassifications_Template_ref</vt:lpstr>
      <vt:lpstr>'Add Trades On Security'!fbnHoldings_Template_ref</vt:lpstr>
      <vt:lpstr>'Define Portfolio'!fbnPortfoliosAdd_Template_ref</vt:lpstr>
      <vt:lpstr>'Define Classifications'!fbnPropertiesAdd_Template_ref</vt:lpstr>
      <vt:lpstr>'Define New Securities'!fbnSecurities_Template_ref</vt:lpstr>
      <vt:lpstr>'Master Securities View'!fbnSecurities_Template_ref</vt:lpstr>
      <vt:lpstr>'Add Trades On Security'!fbnTradesAdd_Template_ref</vt:lpstr>
      <vt:lpstr>MasterAggregationUpdateView</vt:lpstr>
      <vt:lpstr>MasterHoldingsUpdateView</vt:lpstr>
      <vt:lpstr>MasterSecurityUpdateView</vt:lpstr>
      <vt:lpstr>MasterTradesUpdateView</vt:lpstr>
      <vt:lpstr>PortfolioCode</vt:lpstr>
      <vt:lpstr>PortfolioName</vt:lpstr>
      <vt:lpstr>PortfoliosCreatedResults</vt:lpstr>
      <vt:lpstr>RawSecuritiesRange</vt:lpstr>
      <vt:lpstr>Scope</vt:lpstr>
      <vt:lpstr>SecurityCreatedResult</vt:lpstr>
      <vt:lpstr>SecurityMasterUid</vt:lpstr>
      <vt:lpstr>SecurityPropertyNames</vt:lpstr>
      <vt:lpstr>UploadResults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Stuart Mathews</dc:creator>
  <cp:lastModifiedBy>Rizwan Saeed</cp:lastModifiedBy>
  <dcterms:created xsi:type="dcterms:W3CDTF">2018-03-27T09:49:44Z</dcterms:created>
  <dcterms:modified xsi:type="dcterms:W3CDTF">2018-05-01T13:51:34Z</dcterms:modified>
</cp:coreProperties>
</file>