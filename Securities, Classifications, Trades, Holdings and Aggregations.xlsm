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07472D0E-BA1A-43AA-8261-534AEA0741AD}" xr6:coauthVersionLast="33" xr6:coauthVersionMax="33" xr10:uidLastSave="{00000000-0000-0000-0000-000000000000}"/>
  <bookViews>
    <workbookView xWindow="0" yWindow="0" windowWidth="28800" windowHeight="12210" tabRatio="915" activeTab="7"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rual amounts" sheetId="18" r:id="rId14"/>
    <sheet name="Aggregation" sheetId="14" r:id="rId15"/>
    <sheet name="Define New Securities" sheetId="2" r:id="rId16"/>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3">'Insert Accrual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6" i="16" l="1"/>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9" i="13" l="1"/>
  <c r="K6" i="18" l="1"/>
  <c r="D19" i="13"/>
  <c r="C18" i="13"/>
  <c r="D15" i="18"/>
  <c r="C17" i="13" l="1"/>
  <c r="K6" i="17"/>
  <c r="C15" i="13"/>
  <c r="D15" i="17"/>
  <c r="E17" i="12"/>
  <c r="F13" i="16" l="1"/>
  <c r="C15" i="16"/>
  <c r="E15" i="4" l="1"/>
  <c r="C15"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D39" i="1"/>
  <c r="E23" i="1"/>
  <c r="E36" i="1"/>
  <c r="D35" i="1"/>
  <c r="D29" i="1"/>
  <c r="E16" i="1"/>
  <c r="E29" i="1"/>
  <c r="E35" i="1"/>
  <c r="E39" i="1"/>
  <c r="D22" i="1"/>
  <c r="E15" i="1"/>
  <c r="E40" i="1"/>
  <c r="D43" i="1"/>
  <c r="D18" i="1"/>
  <c r="D19" i="1"/>
  <c r="E19" i="1"/>
  <c r="E21" i="1"/>
  <c r="D25" i="1"/>
  <c r="E30" i="1"/>
  <c r="D32" i="1"/>
  <c r="E27" i="1"/>
  <c r="D21" i="1"/>
  <c r="D41" i="1"/>
  <c r="D34" i="1"/>
  <c r="D36" i="1"/>
  <c r="E20" i="1"/>
  <c r="D37" i="1"/>
  <c r="E42" i="1"/>
  <c r="D16" i="1"/>
  <c r="D33" i="1"/>
  <c r="E31" i="1"/>
  <c r="E14" i="1"/>
  <c r="E38" i="1"/>
  <c r="E22" i="1"/>
  <c r="D38" i="1"/>
  <c r="E41" i="1"/>
  <c r="D42" i="1"/>
  <c r="D14" i="1"/>
  <c r="E17" i="1"/>
  <c r="D15" i="1"/>
  <c r="E28" i="1"/>
  <c r="D28" i="1"/>
  <c r="D26" i="1"/>
  <c r="E26" i="1"/>
  <c r="D31" i="1"/>
  <c r="E32" i="1"/>
  <c r="D40" i="1"/>
  <c r="E13" i="1"/>
  <c r="E37" i="1"/>
  <c r="E18" i="1"/>
  <c r="D30" i="1"/>
  <c r="E34" i="1"/>
  <c r="D23" i="1"/>
  <c r="E33" i="1"/>
  <c r="E25" i="1"/>
  <c r="E43" i="1"/>
  <c r="D24" i="1"/>
  <c r="E24" i="1"/>
  <c r="D13" i="1"/>
  <c r="D20" i="1"/>
  <c r="D17" i="1"/>
  <c r="D27" i="1"/>
  <c r="D39" i="18" l="1"/>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<sst xmlns="http://schemas.openxmlformats.org/spreadsheetml/2006/main" count="336" uniqueCount="247">
  <si>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</si>
  <si>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</si>
  <si>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</si>
  <si>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</si>
  <si>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</si>
  <si>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</si>
  <si>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</si>
  <si>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</si>
  <si>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</si>
  <si>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</si>
  <si>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</si>
  <si>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</si>
  <si>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</si>
  <si>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</si>
  <si>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</si>
  <si>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</si>
  <si>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</si>
  <si>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</si>
  <si>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</si>
  <si>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</si>
  <si>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</si>
  <si>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</si>
  <si>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</si>
  <si>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</si>
  <si>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</si>
  <si>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</si>
  <si>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</si>
  <si>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</si>
  <si>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</si>
  <si>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</si>
  <si>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</si>
  <si>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</si>
  <si>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</si>
  <si>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</si>
  <si>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</si>
  <si>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</si>
  <si>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</si>
  <si>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</si>
  <si>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</si>
  <si>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</si>
  <si>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</si>
  <si>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</si>
  <si>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</si>
  <si>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</si>
  <si>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</si>
  <si>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</si>
  <si>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</si>
  <si>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</si>
  <si>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</si>
  <si>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</si>
  <si>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</si>
  <si>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</si>
  <si>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</si>
  <si>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</si>
  <si>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</si>
  <si>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</si>
  <si>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</si>
  <si>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</si>
  <si>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</si>
  <si>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</si>
  <si>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</si>
  <si>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</si>
  <si>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</si>
  <si>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</si>
  <si>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</si>
  <si>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</si>
  <si>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</si>
  <si>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</si>
  <si>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</si>
  <si>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</si>
  <si>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</si>
  <si>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</si>
  <si>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</si>
  <si>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</si>
  <si>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</si>
  <si>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</si>
  <si>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</si>
  <si>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</si>
  <si>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</si>
  <si>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</si>
  <si>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</si>
  <si>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</si>
  <si>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</si>
  <si>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</si>
  <si>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</si>
  <si>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</si>
  <si>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</si>
  <si>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</si>
  <si>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</si>
  <si>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</si>
  <si>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</si>
  <si>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</si>
  <si>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</si>
  <si>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</si>
  <si>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</si>
  <si>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</si>
  <si>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</si>
  <si>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</si>
  <si>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</si>
  <si>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</si>
  <si>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</si>
  <si>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</si>
  <si>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</si>
  <si>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</si>
  <si>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</si>
  <si>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</si>
  <si>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</si>
  <si>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</si>
  <si>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</si>
  <si>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</si>
  <si>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</si>
  <si>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</si>
  <si>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</si>
  <si>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</si>
  <si>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</si>
  <si>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</si>
  <si>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</si>
  <si>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</si>
  <si>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</si>
  <si>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</si>
  <si>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</si>
  <si>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</si>
  <si>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</si>
  <si>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</si>
  <si>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</si>
  <si>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</si>
  <si>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</si>
  <si>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</si>
  <si>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</si>
  <si>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</si>
  <si>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</si>
  <si>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</si>
  <si>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</si>
  <si>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</si>
  <si>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</si>
  <si>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</si>
  <si>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</si>
  <si>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</si>
  <si>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</si>
  <si>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</si>
  <si>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</si>
  <si>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</si>
  <si>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</si>
  <si>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</si>
  <si>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</si>
  <si>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</si>
  <si>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</si>
  <si>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</si>
  <si>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</si>
  <si>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</si>
  <si>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</si>
  <si>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</si>
  <si>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</si>
  <si>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</si>
  <si>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</si>
  <si>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</si>
  <si>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</si>
  <si>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</si>
  <si>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</si>
  <si>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</si>
  <si>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</si>
  <si>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</si>
  <si>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</si>
  <si>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</si>
  <si>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</si>
  <si>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</si>
  <si>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</si>
  <si>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</si>
  <si>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</si>
  <si>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</si>
  <si>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</si>
  <si>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</si>
  <si>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</si>
  <si>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</si>
  <si>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</si>
  <si>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</si>
  <si>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</si>
  <si>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</si>
  <si>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</si>
  <si>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</si>
  <si>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</si>
  <si>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</si>
  <si>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</si>
  <si>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</si>
  <si>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</si>
  <si>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</si>
  <si>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</si>
  <si>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</si>
  <si>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</si>
  <si>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</si>
  <si>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</si>
  <si>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</si>
  <si>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</si>
  <si>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</si>
  <si>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</si>
  <si>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</si>
  <si>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</si>
  <si>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</si>
  <si>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</si>
  <si>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</si>
  <si>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</si>
  <si>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</si>
  <si>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</si>
  <si>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</si>
  <si>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</si>
  <si>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</si>
  <si>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</si>
  <si>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</si>
  <si>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</si>
  <si>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</si>
  <si>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</si>
  <si>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</si>
  <si>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</si>
  <si>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</si>
  <si>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</si>
  <si>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rPr>
        <b/>
        <sz val="11"/>
        <color rgb="FF9C5700"/>
        <rFont val="Calibri"/>
        <family val="2"/>
        <scheme val="minor"/>
      </rPr>
      <t>1)</t>
    </r>
    <r>
      <rPr>
        <sz val="11"/>
        <color rgb="FF9C5700"/>
        <rFont val="Calibri"/>
        <family val="2"/>
        <scheme val="minor"/>
      </rPr>
      <t xml:space="preserve"> You can add trades against specific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</si>
  <si>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</si>
  <si>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</si>
  <si>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</si>
  <si>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</si>
  <si>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</si>
  <si>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</si>
  <si>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</si>
  <si>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</si>
  <si>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</si>
  <si>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</si>
  <si>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</si>
  <si>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</si>
  <si>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</si>
  <si>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</si>
  <si>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</si>
  <si>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</si>
  <si>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MyNameSpace</t>
  </si>
  <si>
    <t>FirstPortfolio</t>
  </si>
  <si>
    <t>ID_FirstPortfolio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</si>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</sst>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indexed="64"/>
      </right>
      <top style="thin">
        <color indexed="64"/>
      </top>
      <bottom style="double">
        <color theme="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9">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5" xfId="7" applyBorder="1" applyProtection="1">
      <protection locked="0"/>
    </xf>
    <xf numFmtId="0" fontId="0" fillId="9" borderId="36" xfId="7" applyFont="1" applyBorder="1" applyAlignment="1"/>
    <xf numFmtId="0" fontId="14" fillId="0" borderId="0" xfId="0" applyFont="1" applyAlignment="1">
      <alignment wrapText="1"/>
    </xf>
    <xf numFmtId="0" fontId="15" fillId="0" borderId="0" xfId="0" applyFont="1" applyAlignment="1">
      <alignment wrapText="1"/>
    </xf>
    <xf numFmtId="0" fontId="0" fillId="13" borderId="7" xfId="0" applyFill="1" applyBorder="1" applyAlignment="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0" borderId="0" xfId="0" applyAlignment="1">
      <alignment horizont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0" fontId="0" fillId="0" borderId="3" xfId="0" applyFill="1" applyBorder="1" applyAlignment="1"/>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0" borderId="0" xfId="0" applyFill="1" applyBorder="1" applyAlignment="1">
      <alignment wrapText="1"/>
    </xf>
    <xf numFmtId="0" fontId="0" fillId="9" borderId="9" xfId="7" applyFont="1" applyBorder="1"/>
    <xf numFmtId="0" fontId="5" fillId="4" borderId="37" xfId="6" applyFill="1" applyBorder="1"/>
    <xf numFmtId="0" fontId="0" fillId="5" borderId="19" xfId="4" applyFont="1" applyBorder="1" applyProtection="1"/>
    <xf numFmtId="0" fontId="0" fillId="5" borderId="20" xfId="4" applyFont="1" applyBorder="1" applyProtection="1"/>
    <xf numFmtId="2" fontId="5" fillId="4" borderId="37"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8" fillId="0" borderId="32" xfId="7" applyFont="1" applyFill="1" applyBorder="1" applyAlignment="1">
      <alignment vertical="center" wrapText="1"/>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left" vertical="center"/>
    </xf>
    <xf numFmtId="0" fontId="2" fillId="2" borderId="27" xfId="1" applyBorder="1" applyAlignment="1">
      <alignment horizontal="left" vertical="center"/>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14" fontId="12" fillId="14" borderId="28" xfId="11" applyNumberFormat="1" applyAlignment="1">
      <alignment horizontal="center" vertical="center" wrapText="1"/>
    </xf>
    <xf numFmtId="0" fontId="12"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5dd4bd7a1c274553a3a1d0eb45c69ff7">
      <tp>
        <v>-1</v>
        <stp/>
        <stp>b4cd8e55-839f-45aa-9f17-9a3229adb9ff</stp>
        <tr r="D27" s="1"/>
        <tr r="D17" s="1"/>
        <tr r="D20" s="1"/>
        <tr r="D13" s="1"/>
        <tr r="E24" s="1"/>
        <tr r="D24" s="1"/>
        <tr r="E43" s="1"/>
        <tr r="E25" s="1"/>
        <tr r="E33" s="1"/>
        <tr r="D23" s="1"/>
        <tr r="E34" s="1"/>
        <tr r="D30" s="1"/>
        <tr r="E18" s="1"/>
        <tr r="E37" s="1"/>
        <tr r="E13" s="1"/>
        <tr r="D40" s="1"/>
        <tr r="E32" s="1"/>
        <tr r="D31" s="1"/>
        <tr r="E26" s="1"/>
        <tr r="D26" s="1"/>
        <tr r="D28" s="1"/>
        <tr r="E28" s="1"/>
        <tr r="D15" s="1"/>
        <tr r="E17" s="1"/>
        <tr r="D14" s="1"/>
        <tr r="D42" s="1"/>
        <tr r="E41" s="1"/>
        <tr r="D38" s="1"/>
        <tr r="E22" s="1"/>
        <tr r="E38" s="1"/>
        <tr r="E14" s="1"/>
        <tr r="E31" s="1"/>
        <tr r="D33" s="1"/>
        <tr r="D16" s="1"/>
        <tr r="E42" s="1"/>
        <tr r="D37" s="1"/>
        <tr r="E20" s="1"/>
        <tr r="D36" s="1"/>
        <tr r="D34" s="1"/>
        <tr r="D41" s="1"/>
        <tr r="D21" s="1"/>
        <tr r="E27" s="1"/>
        <tr r="D32" s="1"/>
        <tr r="E30" s="1"/>
        <tr r="D25" s="1"/>
        <tr r="E21" s="1"/>
        <tr r="E19" s="1"/>
        <tr r="D19" s="1"/>
        <tr r="D18" s="1"/>
        <tr r="D43" s="1"/>
        <tr r="E40" s="1"/>
        <tr r="E15" s="1"/>
        <tr r="D22" s="1"/>
        <tr r="E39" s="1"/>
        <tr r="E35" s="1"/>
        <tr r="E29" s="1"/>
        <tr r="E16" s="1"/>
        <tr r="D29" s="1"/>
        <tr r="D35" s="1"/>
        <tr r="E36" s="1"/>
        <tr r="E23" s="1"/>
        <tr r="D39"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11</xdr:row>
          <xdr:rowOff>47625</xdr:rowOff>
        </xdr:from>
        <xdr:to>
          <xdr:col>10</xdr:col>
          <xdr:colOff>219075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3</xdr:col>
      <xdr:colOff>106394</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Accural Amounts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3" customWidth="1"/>
  </cols>
  <sheetData>
    <row r="3" spans="2:2" ht="21" x14ac:dyDescent="0.35">
      <c r="B3" s="210" t="s">
        <v>209</v>
      </c>
    </row>
    <row r="4" spans="2:2" ht="21" x14ac:dyDescent="0.35">
      <c r="B4" s="211"/>
    </row>
    <row r="5" spans="2:2" ht="126" x14ac:dyDescent="0.35">
      <c r="B5" s="211" t="s">
        <v>210</v>
      </c>
    </row>
    <row r="6" spans="2:2" ht="21" x14ac:dyDescent="0.35">
      <c r="B6" s="211"/>
    </row>
    <row r="7" spans="2:2" ht="42" x14ac:dyDescent="0.35">
      <c r="B7" s="211" t="s">
        <v>211</v>
      </c>
    </row>
    <row r="8" spans="2:2" ht="21" x14ac:dyDescent="0.35">
      <c r="B8" s="211"/>
    </row>
    <row r="9" spans="2:2" ht="168" x14ac:dyDescent="0.35">
      <c r="B9" s="211" t="s">
        <v>212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40" sqref="L40"/>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60" t="s">
        <v>113</v>
      </c>
      <c r="C11" s="261"/>
      <c r="D11" s="261"/>
      <c r="E11" s="262"/>
    </row>
    <row r="13" spans="2:21" x14ac:dyDescent="0.25">
      <c r="B13" s="27" t="s">
        <v>69</v>
      </c>
      <c r="C13" s="1"/>
      <c r="D13" s="185" t="str">
        <f t="array" ref="D13:E43">_xll.fbnSecuritiesLookup("Isin",RawSecuritiesRange)</f>
        <v>Uid</v>
      </c>
      <c r="E13" s="186" t="str">
        <v>CommonName</v>
      </c>
    </row>
    <row r="14" spans="2:21" x14ac:dyDescent="0.25">
      <c r="B14" s="28" t="s">
        <v>12</v>
      </c>
      <c r="D14" s="144" t="str">
        <v>FIGI_BBG00JVK5K09</v>
      </c>
      <c r="E14" s="143" t="str">
        <v>LG EM MK GOV BOND US-KEURAUH</v>
      </c>
    </row>
    <row r="15" spans="2:21" ht="15" customHeight="1" x14ac:dyDescent="0.25">
      <c r="B15" s="29" t="s">
        <v>13</v>
      </c>
      <c r="D15" s="144" t="str">
        <v>FIGI_BBG00DL94N94</v>
      </c>
      <c r="E15" s="143" t="str">
        <v>LG EM MK GOV BOND-ZEURAUNH</v>
      </c>
      <c r="L15" s="254" t="s">
        <v>65</v>
      </c>
      <c r="M15" s="255"/>
      <c r="N15" s="255"/>
      <c r="O15" s="255"/>
      <c r="P15" s="255"/>
      <c r="Q15" s="255"/>
      <c r="R15" s="255"/>
      <c r="S15" s="255"/>
      <c r="T15" s="255"/>
      <c r="U15" s="256"/>
    </row>
    <row r="16" spans="2:21" x14ac:dyDescent="0.25">
      <c r="B16" s="29" t="s">
        <v>14</v>
      </c>
      <c r="D16" s="144" t="str">
        <v>FIGI_BBG00DL98GH6</v>
      </c>
      <c r="E16" s="143" t="str">
        <v>LG EMERGING MARKET-NEURACC</v>
      </c>
      <c r="L16" s="263"/>
      <c r="M16" s="264"/>
      <c r="N16" s="264"/>
      <c r="O16" s="264"/>
      <c r="P16" s="264"/>
      <c r="Q16" s="264"/>
      <c r="R16" s="264"/>
      <c r="S16" s="264"/>
      <c r="T16" s="264"/>
      <c r="U16" s="265"/>
    </row>
    <row r="17" spans="2:21" x14ac:dyDescent="0.25">
      <c r="B17" s="29" t="s">
        <v>15</v>
      </c>
      <c r="D17" s="144" t="str">
        <v>FIGI_BBG00FF56P88</v>
      </c>
      <c r="E17" s="143" t="str">
        <v>LG EMERGING MKTS EQ-ZEURACC</v>
      </c>
      <c r="L17" s="257"/>
      <c r="M17" s="258"/>
      <c r="N17" s="258"/>
      <c r="O17" s="258"/>
      <c r="P17" s="258"/>
      <c r="Q17" s="258"/>
      <c r="R17" s="258"/>
      <c r="S17" s="258"/>
      <c r="T17" s="258"/>
      <c r="U17" s="259"/>
    </row>
    <row r="18" spans="2:21" x14ac:dyDescent="0.25">
      <c r="B18" s="29" t="s">
        <v>16</v>
      </c>
      <c r="D18" s="144" t="str">
        <v>FIGI_BBG00DL98GS4</v>
      </c>
      <c r="E18" s="143" t="str">
        <v>LG EMERGING MARKET-ZGBPACC</v>
      </c>
    </row>
    <row r="19" spans="2:21" x14ac:dyDescent="0.25">
      <c r="B19" s="29" t="s">
        <v>17</v>
      </c>
      <c r="D19" s="144" t="str">
        <v>FIGI_BBG00FB4V5K7</v>
      </c>
      <c r="E19" s="143" t="str">
        <v>LG EUR TREAS BD IN-N EUR ACC</v>
      </c>
    </row>
    <row r="20" spans="2:21" x14ac:dyDescent="0.25">
      <c r="B20" s="29" t="s">
        <v>18</v>
      </c>
      <c r="D20" s="144" t="str">
        <v>FIGI_BBG00FJ5T5T0</v>
      </c>
      <c r="E20" s="143" t="str">
        <v>M&amp;G LUX ABS RET BD-CH GBP AC</v>
      </c>
      <c r="L20" s="254" t="s">
        <v>66</v>
      </c>
      <c r="M20" s="255"/>
      <c r="N20" s="255"/>
      <c r="O20" s="255"/>
      <c r="P20" s="255"/>
      <c r="Q20" s="255"/>
      <c r="R20" s="255"/>
      <c r="S20" s="255"/>
      <c r="T20" s="255"/>
      <c r="U20" s="256"/>
    </row>
    <row r="21" spans="2:21" x14ac:dyDescent="0.25">
      <c r="B21" s="29" t="s">
        <v>19</v>
      </c>
      <c r="D21" s="144" t="str">
        <v>FIGI_BBG00FJ5T5V7</v>
      </c>
      <c r="E21" s="143" t="str">
        <v>M&amp;G LUX ABS RET BD-CH GBP IN</v>
      </c>
      <c r="L21" s="257"/>
      <c r="M21" s="258"/>
      <c r="N21" s="258"/>
      <c r="O21" s="258"/>
      <c r="P21" s="258"/>
      <c r="Q21" s="258"/>
      <c r="R21" s="258"/>
      <c r="S21" s="258"/>
      <c r="T21" s="258"/>
      <c r="U21" s="259"/>
    </row>
    <row r="22" spans="2:21" x14ac:dyDescent="0.25">
      <c r="B22" s="29" t="s">
        <v>20</v>
      </c>
      <c r="D22" s="144" t="str">
        <v>FIGI_BBG001STKP50</v>
      </c>
      <c r="E22" s="143" t="str">
        <v>LEGAL &amp; GENERAL EURO IND-I A</v>
      </c>
    </row>
    <row r="23" spans="2:21" x14ac:dyDescent="0.25">
      <c r="B23" s="29" t="s">
        <v>21</v>
      </c>
      <c r="D23" s="144" t="str">
        <v>FIGI_BBG001SRSD26</v>
      </c>
      <c r="E23" s="143" t="str">
        <v>LEGAL &amp; GENERAL US INDEX-I-A</v>
      </c>
      <c r="L23" s="253" t="s">
        <v>61</v>
      </c>
      <c r="M23" s="253"/>
      <c r="N23" s="253"/>
      <c r="O23" s="253"/>
    </row>
    <row r="24" spans="2:21" x14ac:dyDescent="0.25">
      <c r="B24" s="29" t="s">
        <v>22</v>
      </c>
      <c r="D24" s="144" t="str">
        <v>FIGI_BBG00H15BY93</v>
      </c>
      <c r="E24" s="143" t="str">
        <v>WINTON-DIVERSIFIED UC-USD I</v>
      </c>
      <c r="L24" s="266" t="s">
        <v>63</v>
      </c>
      <c r="M24" s="266"/>
      <c r="N24" s="266"/>
      <c r="O24" s="266"/>
    </row>
    <row r="25" spans="2:21" x14ac:dyDescent="0.25">
      <c r="B25" s="29" t="s">
        <v>23</v>
      </c>
      <c r="D25" s="144" t="str">
        <v>FIGI_BBG00H15BYQ4</v>
      </c>
      <c r="E25" s="143" t="str">
        <v>WINTON-DIVERSIFIED UC-GBP ID</v>
      </c>
      <c r="L25" s="267" t="s">
        <v>62</v>
      </c>
      <c r="M25" s="267"/>
      <c r="N25" s="267"/>
      <c r="O25" s="267"/>
    </row>
    <row r="26" spans="2:21" x14ac:dyDescent="0.25">
      <c r="B26" s="29" t="s">
        <v>24</v>
      </c>
      <c r="D26" s="144" t="str">
        <v>FIGI_BBG007V3VDV6</v>
      </c>
      <c r="E26" s="143" t="str">
        <v>DIVER GRW-FRANCK MULL-A EUR</v>
      </c>
      <c r="L26" s="268" t="s">
        <v>60</v>
      </c>
      <c r="M26" s="268"/>
      <c r="N26" s="268"/>
      <c r="O26" s="268"/>
    </row>
    <row r="27" spans="2:21" x14ac:dyDescent="0.25">
      <c r="B27" s="29" t="s">
        <v>25</v>
      </c>
      <c r="D27" s="144" t="str">
        <v>FIGI_BBG001T0SRJ5</v>
      </c>
      <c r="E27" s="143" t="str">
        <v>LEGAL &amp; GENERAL PAC IDX-I AC</v>
      </c>
      <c r="L27" s="252" t="s">
        <v>64</v>
      </c>
      <c r="M27" s="252"/>
      <c r="N27" s="252"/>
      <c r="O27" s="252"/>
    </row>
    <row r="28" spans="2:21" x14ac:dyDescent="0.25">
      <c r="B28" s="29" t="s">
        <v>26</v>
      </c>
      <c r="D28" s="144" t="str">
        <v>FIGI_BBG001T1P853</v>
      </c>
      <c r="E28" s="143" t="str">
        <v>LEGAL&amp;GENERAL UK 100 INDX-IA</v>
      </c>
      <c r="L28" s="10"/>
      <c r="M28" s="10"/>
      <c r="N28" s="10"/>
      <c r="O28" s="10"/>
    </row>
    <row r="29" spans="2:21" x14ac:dyDescent="0.25">
      <c r="B29" s="29" t="s">
        <v>27</v>
      </c>
      <c r="D29" s="144" t="str">
        <v>FIGI_BBG001T8ZB05</v>
      </c>
      <c r="E29" s="143" t="str">
        <v>LEGAL &amp; GENERAL FXD INT-IA</v>
      </c>
      <c r="L29" s="10"/>
      <c r="M29" s="10"/>
      <c r="N29" s="10"/>
      <c r="O29" s="10"/>
    </row>
    <row r="30" spans="2:21" x14ac:dyDescent="0.25">
      <c r="B30" s="29" t="s">
        <v>28</v>
      </c>
      <c r="D30" s="144" t="str">
        <v>FIGI_BBG001STMN80</v>
      </c>
      <c r="E30" s="143" t="str">
        <v>STANDARD LIFE UK EQ INC UN-A</v>
      </c>
      <c r="L30" s="10"/>
      <c r="M30" s="10"/>
      <c r="N30" s="10"/>
      <c r="O30" s="10"/>
    </row>
    <row r="31" spans="2:21" x14ac:dyDescent="0.25">
      <c r="B31" s="29" t="s">
        <v>29</v>
      </c>
      <c r="D31" s="144" t="str">
        <v>FIGI_BBG001T8ZB14</v>
      </c>
      <c r="E31" s="143" t="str">
        <v>LEGAL&amp;GENERAL INTL INX T-I A</v>
      </c>
      <c r="L31" t="s">
        <v>191</v>
      </c>
      <c r="N31" s="10"/>
      <c r="O31" s="10"/>
    </row>
    <row r="32" spans="2:21" x14ac:dyDescent="0.25">
      <c r="B32" s="29" t="s">
        <v>30</v>
      </c>
      <c r="D32" s="144" t="str">
        <v>FIGI_BBG001V0BND5</v>
      </c>
      <c r="E32" s="143" t="str">
        <v>FIDELITY UK SMALLER COMP-AA</v>
      </c>
      <c r="L32" s="58" t="s">
        <v>73</v>
      </c>
      <c r="M32" s="131" t="s">
        <v>232</v>
      </c>
      <c r="N32" s="10"/>
      <c r="O32" s="10"/>
    </row>
    <row r="33" spans="2:15" x14ac:dyDescent="0.25">
      <c r="B33" s="29" t="s">
        <v>31</v>
      </c>
      <c r="D33" s="144" t="str">
        <v>FIGI_BBG0037S1FF3</v>
      </c>
      <c r="E33" s="143" t="str">
        <v>LEGAL &amp; GENERAL STERLING-I-A</v>
      </c>
      <c r="L33" s="58" t="s">
        <v>129</v>
      </c>
      <c r="M33" s="131" t="s">
        <v>233</v>
      </c>
      <c r="N33" s="10"/>
      <c r="O33" s="10"/>
    </row>
    <row r="34" spans="2:15" x14ac:dyDescent="0.25">
      <c r="B34" s="29" t="s">
        <v>32</v>
      </c>
      <c r="D34" s="144" t="str">
        <v>FIGI_BBG001TJMQW7</v>
      </c>
      <c r="E34" s="143" t="str">
        <v>L&amp;G GLB EMERG MKT INDEX-I IN</v>
      </c>
      <c r="L34" s="58" t="s">
        <v>130</v>
      </c>
      <c r="M34" s="131" t="s">
        <v>234</v>
      </c>
    </row>
    <row r="35" spans="2:15" x14ac:dyDescent="0.25">
      <c r="B35" s="29" t="s">
        <v>33</v>
      </c>
      <c r="D35" s="144" t="str">
        <v>FIGI_BBG0034YPJH7</v>
      </c>
      <c r="E35" s="143" t="str">
        <v>M&amp;G GBL HI YLD BOND GBP-I-A</v>
      </c>
      <c r="L35" s="58" t="s">
        <v>131</v>
      </c>
      <c r="M35" s="132">
        <f ca="1">TODAY()</f>
        <v>43269</v>
      </c>
    </row>
    <row r="36" spans="2:15" x14ac:dyDescent="0.25">
      <c r="B36" s="30" t="s">
        <v>34</v>
      </c>
      <c r="C36" s="1"/>
      <c r="D36" s="144" t="str">
        <v>FIGI_BBG0034YQ817</v>
      </c>
      <c r="E36" s="143" t="str">
        <v>M&amp;G EPISODE GROWTH-GBP-I-A</v>
      </c>
      <c r="L36" s="58" t="s">
        <v>115</v>
      </c>
      <c r="M36" s="132">
        <f ca="1">TODAY()</f>
        <v>43269</v>
      </c>
    </row>
    <row r="37" spans="2:15" x14ac:dyDescent="0.25">
      <c r="B37" s="29" t="s">
        <v>35</v>
      </c>
      <c r="D37" s="144" t="str">
        <v>FIGI_BBG004733G08</v>
      </c>
      <c r="E37" s="143" t="str">
        <v>STNDRD LIFE-GL ABS RETS-P1GA</v>
      </c>
    </row>
    <row r="38" spans="2:15" x14ac:dyDescent="0.25">
      <c r="B38" s="29" t="s">
        <v>36</v>
      </c>
      <c r="D38" s="144" t="str">
        <v>FIGI_BBG004XQG9G3</v>
      </c>
      <c r="E38" s="143" t="str">
        <v>STANDARD LIFE GL SM COMP-P1A</v>
      </c>
    </row>
    <row r="39" spans="2:15" x14ac:dyDescent="0.25">
      <c r="B39" s="29" t="s">
        <v>37</v>
      </c>
      <c r="D39" s="144" t="str">
        <v>FIGI_BBG003BJ6K53</v>
      </c>
      <c r="E39" s="143" t="str">
        <v>FIDELITY SPECIAL SITS-W-ACC</v>
      </c>
    </row>
    <row r="40" spans="2:15" x14ac:dyDescent="0.25">
      <c r="B40" s="29" t="s">
        <v>38</v>
      </c>
      <c r="D40" s="144" t="e">
        <v>#N/A</v>
      </c>
      <c r="E40" s="143" t="e">
        <v>#N/A</v>
      </c>
    </row>
    <row r="41" spans="2:15" x14ac:dyDescent="0.25">
      <c r="B41" s="29" t="s">
        <v>39</v>
      </c>
      <c r="D41" s="144" t="e">
        <v>#N/A</v>
      </c>
      <c r="E41" s="143" t="e">
        <v>#N/A</v>
      </c>
    </row>
    <row r="42" spans="2:15" x14ac:dyDescent="0.25">
      <c r="B42" s="29" t="s">
        <v>40</v>
      </c>
      <c r="D42" s="144" t="e">
        <v>#N/A</v>
      </c>
      <c r="E42" s="143" t="e">
        <v>#N/A</v>
      </c>
    </row>
    <row r="43" spans="2:15" x14ac:dyDescent="0.25">
      <c r="B43" s="31" t="s">
        <v>41</v>
      </c>
      <c r="D43" s="142" t="e">
        <v>#N/A</v>
      </c>
      <c r="E43" s="141"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opLeftCell="A4" zoomScale="80" zoomScaleNormal="80" workbookViewId="0">
      <selection activeCell="I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71" t="s">
        <v>76</v>
      </c>
      <c r="D8" s="272"/>
      <c r="E8" s="272"/>
      <c r="F8" s="272"/>
      <c r="G8" s="272"/>
      <c r="H8" s="272"/>
      <c r="I8" s="272"/>
      <c r="J8" s="273"/>
    </row>
    <row r="9" spans="3:10" x14ac:dyDescent="0.25">
      <c r="C9" s="274"/>
      <c r="D9" s="275"/>
      <c r="E9" s="275"/>
      <c r="F9" s="275"/>
      <c r="G9" s="275"/>
      <c r="H9" s="275"/>
      <c r="I9" s="275"/>
      <c r="J9" s="276"/>
    </row>
    <row r="12" spans="3:10" x14ac:dyDescent="0.25">
      <c r="C12" s="279" t="s">
        <v>77</v>
      </c>
      <c r="D12" s="280"/>
      <c r="E12" s="280"/>
      <c r="F12" s="280"/>
      <c r="G12" s="281"/>
      <c r="I12" s="269" t="s">
        <v>5</v>
      </c>
      <c r="J12" s="270"/>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v>
      </c>
      <c r="D15" s="79"/>
      <c r="E15" s="80" t="str">
        <f>PortfolioName</f>
        <v>FirstPortfolio</v>
      </c>
      <c r="F15" s="80">
        <f ca="1">TODAY()</f>
        <v>43269</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77" t="s">
        <v>82</v>
      </c>
      <c r="M22" s="278"/>
      <c r="N22" s="278"/>
      <c r="O22" s="278"/>
    </row>
    <row r="23" spans="3:15" x14ac:dyDescent="0.25">
      <c r="C23" s="78"/>
      <c r="D23" s="79"/>
      <c r="E23" s="82"/>
      <c r="F23" s="79"/>
      <c r="G23" s="81"/>
      <c r="I23" s="68"/>
      <c r="J23" s="19"/>
      <c r="L23" s="278"/>
      <c r="M23" s="278"/>
      <c r="N23" s="278"/>
      <c r="O23" s="278"/>
    </row>
    <row r="24" spans="3:15" x14ac:dyDescent="0.25">
      <c r="C24" s="78"/>
      <c r="D24" s="79"/>
      <c r="E24" s="82"/>
      <c r="F24" s="79"/>
      <c r="G24" s="81"/>
      <c r="I24" s="68"/>
      <c r="J24" s="19"/>
      <c r="L24" s="278"/>
      <c r="M24" s="278"/>
      <c r="N24" s="278"/>
      <c r="O24" s="278"/>
    </row>
    <row r="25" spans="3:15" x14ac:dyDescent="0.25">
      <c r="C25" s="78"/>
      <c r="D25" s="79"/>
      <c r="E25" s="82"/>
      <c r="F25" s="79"/>
      <c r="G25" s="81"/>
      <c r="I25" s="68"/>
      <c r="J25" s="19"/>
      <c r="L25" s="278"/>
      <c r="M25" s="278"/>
      <c r="N25" s="278"/>
      <c r="O25" s="278"/>
    </row>
    <row r="26" spans="3:15" x14ac:dyDescent="0.25">
      <c r="C26" s="78"/>
      <c r="D26" s="79"/>
      <c r="E26" s="82"/>
      <c r="F26" s="79"/>
      <c r="G26" s="81"/>
      <c r="I26" s="68"/>
      <c r="J26" s="19"/>
      <c r="L26" s="278"/>
      <c r="M26" s="278"/>
      <c r="N26" s="278"/>
      <c r="O26" s="278"/>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54" t="s">
        <v>199</v>
      </c>
      <c r="D44" s="255"/>
      <c r="E44" s="255"/>
      <c r="F44" s="255"/>
      <c r="G44" s="255"/>
      <c r="H44" s="255"/>
      <c r="I44" s="255"/>
      <c r="J44" s="256"/>
      <c r="K44" s="8"/>
      <c r="L44" s="8"/>
      <c r="M44" s="8"/>
      <c r="N44" s="8"/>
      <c r="O44" s="8"/>
    </row>
    <row r="45" spans="3:15" x14ac:dyDescent="0.25">
      <c r="C45" s="263"/>
      <c r="D45" s="264"/>
      <c r="E45" s="264"/>
      <c r="F45" s="264"/>
      <c r="G45" s="264"/>
      <c r="H45" s="264"/>
      <c r="I45" s="264"/>
      <c r="J45" s="265"/>
      <c r="K45" s="8"/>
      <c r="L45" s="8"/>
      <c r="M45" s="8"/>
      <c r="N45" s="8"/>
      <c r="O45" s="8"/>
    </row>
    <row r="46" spans="3:15" x14ac:dyDescent="0.25">
      <c r="C46" s="263"/>
      <c r="D46" s="264"/>
      <c r="E46" s="264"/>
      <c r="F46" s="264"/>
      <c r="G46" s="264"/>
      <c r="H46" s="264"/>
      <c r="I46" s="264"/>
      <c r="J46" s="265"/>
      <c r="K46" s="8"/>
      <c r="L46" s="8"/>
      <c r="M46" s="8"/>
      <c r="N46" s="8"/>
      <c r="O46" s="8"/>
    </row>
    <row r="47" spans="3:15" x14ac:dyDescent="0.25">
      <c r="C47" s="263"/>
      <c r="D47" s="264"/>
      <c r="E47" s="264"/>
      <c r="F47" s="264"/>
      <c r="G47" s="264"/>
      <c r="H47" s="264"/>
      <c r="I47" s="264"/>
      <c r="J47" s="265"/>
      <c r="K47" s="8"/>
      <c r="L47" s="8"/>
      <c r="M47" s="8"/>
      <c r="N47" s="8"/>
      <c r="O47" s="8"/>
    </row>
    <row r="48" spans="3:15" x14ac:dyDescent="0.25">
      <c r="C48" s="257"/>
      <c r="D48" s="282"/>
      <c r="E48" s="282"/>
      <c r="F48" s="282"/>
      <c r="G48" s="282"/>
      <c r="H48" s="282"/>
      <c r="I48" s="282"/>
      <c r="J48" s="259"/>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O25" sqref="O25"/>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71" t="s">
        <v>67</v>
      </c>
      <c r="D9" s="272"/>
      <c r="E9" s="272"/>
      <c r="F9" s="272"/>
      <c r="G9" s="272"/>
      <c r="H9" s="272"/>
      <c r="I9" s="273"/>
      <c r="J9" s="8"/>
      <c r="K9" s="8"/>
      <c r="L9" s="8"/>
      <c r="M9" s="8"/>
      <c r="N9" s="8"/>
      <c r="O9" s="8"/>
    </row>
    <row r="10" spans="3:15" ht="15" customHeight="1" x14ac:dyDescent="0.25">
      <c r="C10" s="274"/>
      <c r="D10" s="275"/>
      <c r="E10" s="275"/>
      <c r="F10" s="275"/>
      <c r="G10" s="275"/>
      <c r="H10" s="275"/>
      <c r="I10" s="276"/>
      <c r="J10" s="8"/>
      <c r="K10" s="8"/>
      <c r="L10" s="8"/>
      <c r="M10" s="8"/>
      <c r="N10" s="8"/>
      <c r="O10" s="8"/>
    </row>
    <row r="11" spans="3:15" ht="15" customHeight="1" x14ac:dyDescent="0.25"/>
    <row r="12" spans="3:15" x14ac:dyDescent="0.25">
      <c r="C12" s="26" t="s">
        <v>68</v>
      </c>
      <c r="E12" s="283" t="s">
        <v>56</v>
      </c>
      <c r="F12" s="283"/>
      <c r="G12" s="283"/>
      <c r="H12" s="283"/>
      <c r="I12" s="283"/>
      <c r="J12" s="283"/>
      <c r="K12" s="283"/>
      <c r="L12" s="283"/>
      <c r="N12" s="284" t="s">
        <v>55</v>
      </c>
      <c r="O12" s="284"/>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208</v>
      </c>
      <c r="E15" s="59" t="str">
        <f>IF(C15="","","Security")</f>
        <v>Security</v>
      </c>
      <c r="F15" s="60" t="str">
        <f t="shared" ref="F15:F43" si="0">IF(C15="","",Scope)</f>
        <v>MyNameSpace</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78" t="s">
        <v>58</v>
      </c>
      <c r="R26" s="278"/>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78"/>
      <c r="R27" s="278"/>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78"/>
      <c r="R28" s="278"/>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78"/>
      <c r="R29" s="278"/>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54" t="s">
        <v>57</v>
      </c>
      <c r="D45" s="255"/>
      <c r="E45" s="255"/>
      <c r="F45" s="255"/>
      <c r="G45" s="255"/>
      <c r="H45" s="255"/>
      <c r="I45" s="255"/>
      <c r="J45" s="255"/>
      <c r="K45" s="255"/>
      <c r="L45" s="255"/>
      <c r="M45" s="255"/>
      <c r="N45" s="255"/>
      <c r="O45" s="256"/>
    </row>
    <row r="46" spans="3:18" x14ac:dyDescent="0.25">
      <c r="C46" s="263"/>
      <c r="D46" s="264"/>
      <c r="E46" s="264"/>
      <c r="F46" s="264"/>
      <c r="G46" s="264"/>
      <c r="H46" s="264"/>
      <c r="I46" s="264"/>
      <c r="J46" s="264"/>
      <c r="K46" s="264"/>
      <c r="L46" s="264"/>
      <c r="M46" s="264"/>
      <c r="N46" s="264"/>
      <c r="O46" s="265"/>
    </row>
    <row r="47" spans="3:18" x14ac:dyDescent="0.25">
      <c r="C47" s="263"/>
      <c r="D47" s="264"/>
      <c r="E47" s="264"/>
      <c r="F47" s="264"/>
      <c r="G47" s="264"/>
      <c r="H47" s="264"/>
      <c r="I47" s="264"/>
      <c r="J47" s="264"/>
      <c r="K47" s="264"/>
      <c r="L47" s="264"/>
      <c r="M47" s="264"/>
      <c r="N47" s="264"/>
      <c r="O47" s="265"/>
    </row>
    <row r="48" spans="3:18" x14ac:dyDescent="0.25">
      <c r="C48" s="263"/>
      <c r="D48" s="264"/>
      <c r="E48" s="264"/>
      <c r="F48" s="264"/>
      <c r="G48" s="264"/>
      <c r="H48" s="264"/>
      <c r="I48" s="264"/>
      <c r="J48" s="264"/>
      <c r="K48" s="264"/>
      <c r="L48" s="264"/>
      <c r="M48" s="264"/>
      <c r="N48" s="264"/>
      <c r="O48" s="265"/>
    </row>
    <row r="49" spans="3:15" x14ac:dyDescent="0.25">
      <c r="C49" s="257"/>
      <c r="D49" s="258"/>
      <c r="E49" s="258"/>
      <c r="F49" s="258"/>
      <c r="G49" s="258"/>
      <c r="H49" s="258"/>
      <c r="I49" s="258"/>
      <c r="J49" s="258"/>
      <c r="K49" s="258"/>
      <c r="L49" s="258"/>
      <c r="M49" s="258"/>
      <c r="N49" s="258"/>
      <c r="O49" s="259"/>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85" t="s">
        <v>83</v>
      </c>
      <c r="D9" s="286"/>
      <c r="E9" s="286"/>
      <c r="F9" s="287"/>
    </row>
    <row r="10" spans="2:10" x14ac:dyDescent="0.25">
      <c r="C10" s="288"/>
      <c r="D10" s="289"/>
      <c r="E10" s="289"/>
      <c r="F10" s="290"/>
    </row>
    <row r="11" spans="2:10" x14ac:dyDescent="0.25">
      <c r="C11" s="9"/>
      <c r="D11" s="9"/>
      <c r="E11" s="9"/>
      <c r="F11" s="9"/>
    </row>
    <row r="12" spans="2:10" x14ac:dyDescent="0.25">
      <c r="C12" s="291" t="s">
        <v>78</v>
      </c>
      <c r="D12" s="292"/>
      <c r="E12" s="292"/>
      <c r="F12" s="292"/>
      <c r="G12" s="292"/>
      <c r="H12" s="292"/>
      <c r="I12" s="293"/>
    </row>
    <row r="13" spans="2:10" x14ac:dyDescent="0.25">
      <c r="C13" t="str">
        <f>_xll.fbnClassificationsAdd_Template()</f>
        <v>OK</v>
      </c>
    </row>
    <row r="14" spans="2:10" ht="15.75" customHeight="1" thickBot="1" x14ac:dyDescent="0.3">
      <c r="B14" s="6"/>
      <c r="C14" s="119" t="s">
        <v>9</v>
      </c>
      <c r="D14" s="200" t="s">
        <v>10</v>
      </c>
      <c r="E14" s="201" t="str">
        <f t="array" ref="E14:I14">TRANSPOSE(IF(ClassificationKeys="","",ClassificationKeys))</f>
        <v/>
      </c>
      <c r="F14" s="201" t="str">
        <v/>
      </c>
      <c r="G14" s="201" t="str">
        <v/>
      </c>
      <c r="H14" s="201" t="str">
        <v/>
      </c>
      <c r="I14" s="202" t="str">
        <v/>
      </c>
      <c r="J14" s="5"/>
    </row>
    <row r="15" spans="2:10" ht="15.75" thickTop="1" x14ac:dyDescent="0.25">
      <c r="B15" s="36">
        <v>1</v>
      </c>
      <c r="C15" s="158" t="str">
        <f>IF(Setup!D14=0,NA(),Setup!D14)</f>
        <v>FIGI_BBG00JVK5K09</v>
      </c>
      <c r="D15" s="77">
        <f ca="1">IF(C15="","",TODAY())</f>
        <v>43269</v>
      </c>
      <c r="E15" s="196"/>
      <c r="F15" s="159"/>
      <c r="G15" s="159"/>
      <c r="H15" s="159"/>
      <c r="I15" s="203"/>
      <c r="J15" s="181" t="s">
        <v>54</v>
      </c>
    </row>
    <row r="16" spans="2:10" x14ac:dyDescent="0.25">
      <c r="B16" s="36">
        <v>2</v>
      </c>
      <c r="C16" s="158" t="str">
        <f>IF(Setup!D15=0,NA(),Setup!D15)</f>
        <v>FIGI_BBG00DL94N94</v>
      </c>
      <c r="D16" s="77">
        <f t="shared" ref="D16:D44" ca="1" si="0">IF(C16="","",TODAY())</f>
        <v>43269</v>
      </c>
      <c r="E16" s="196"/>
      <c r="F16" s="159"/>
      <c r="G16" s="159"/>
      <c r="H16" s="159"/>
      <c r="I16" s="203"/>
      <c r="J16" s="69"/>
    </row>
    <row r="17" spans="2:13" x14ac:dyDescent="0.25">
      <c r="B17" s="36">
        <v>3</v>
      </c>
      <c r="C17" s="158" t="str">
        <f>IF(Setup!D16=0,NA(),Setup!D16)</f>
        <v>FIGI_BBG00DL98GH6</v>
      </c>
      <c r="D17" s="77">
        <f ca="1">IF(C17="","",TODAY())</f>
        <v>43269</v>
      </c>
      <c r="E17" s="196"/>
      <c r="F17" s="159"/>
      <c r="G17" s="159"/>
      <c r="H17" s="159"/>
      <c r="I17" s="203"/>
      <c r="J17" s="69"/>
    </row>
    <row r="18" spans="2:13" x14ac:dyDescent="0.25">
      <c r="B18" s="36">
        <v>4</v>
      </c>
      <c r="C18" s="158" t="str">
        <f>IF(Setup!D17=0,NA(),Setup!D17)</f>
        <v>FIGI_BBG00FF56P88</v>
      </c>
      <c r="D18" s="77">
        <f t="shared" ca="1" si="0"/>
        <v>43269</v>
      </c>
      <c r="E18" s="196"/>
      <c r="F18" s="159"/>
      <c r="G18" s="159"/>
      <c r="H18" s="159"/>
      <c r="I18" s="203"/>
      <c r="J18" s="69"/>
    </row>
    <row r="19" spans="2:13" x14ac:dyDescent="0.25">
      <c r="B19" s="36">
        <v>5</v>
      </c>
      <c r="C19" s="158" t="str">
        <f>IF(Setup!D18=0,NA(),Setup!D18)</f>
        <v>FIGI_BBG00DL98GS4</v>
      </c>
      <c r="D19" s="77">
        <f t="shared" ca="1" si="0"/>
        <v>43269</v>
      </c>
      <c r="E19" s="196"/>
      <c r="F19" s="159"/>
      <c r="G19" s="159"/>
      <c r="H19" s="159"/>
      <c r="I19" s="203"/>
      <c r="J19" s="69"/>
    </row>
    <row r="20" spans="2:13" x14ac:dyDescent="0.25">
      <c r="B20" s="36">
        <v>6</v>
      </c>
      <c r="C20" s="158" t="str">
        <f>IF(Setup!D19=0,NA(),Setup!D19)</f>
        <v>FIGI_BBG00FB4V5K7</v>
      </c>
      <c r="D20" s="77">
        <f t="shared" ca="1" si="0"/>
        <v>43269</v>
      </c>
      <c r="E20" s="196"/>
      <c r="F20" s="159"/>
      <c r="G20" s="159"/>
      <c r="H20" s="159"/>
      <c r="I20" s="203"/>
      <c r="J20" s="69"/>
    </row>
    <row r="21" spans="2:13" x14ac:dyDescent="0.25">
      <c r="B21" s="36">
        <v>7</v>
      </c>
      <c r="C21" s="158" t="str">
        <f>IF(Setup!D20=0,NA(),Setup!D20)</f>
        <v>FIGI_BBG00FJ5T5T0</v>
      </c>
      <c r="D21" s="77">
        <f t="shared" ca="1" si="0"/>
        <v>43269</v>
      </c>
      <c r="E21" s="196"/>
      <c r="F21" s="159"/>
      <c r="G21" s="159"/>
      <c r="H21" s="159"/>
      <c r="I21" s="203"/>
      <c r="J21" s="69"/>
    </row>
    <row r="22" spans="2:13" x14ac:dyDescent="0.25">
      <c r="B22" s="36">
        <v>8</v>
      </c>
      <c r="C22" s="158" t="str">
        <f>IF(Setup!D21=0,NA(),Setup!D21)</f>
        <v>FIGI_BBG00FJ5T5V7</v>
      </c>
      <c r="D22" s="77">
        <f t="shared" ca="1" si="0"/>
        <v>43269</v>
      </c>
      <c r="E22" s="196"/>
      <c r="F22" s="159"/>
      <c r="G22" s="159"/>
      <c r="H22" s="159"/>
      <c r="I22" s="203"/>
      <c r="J22" s="69"/>
    </row>
    <row r="23" spans="2:13" x14ac:dyDescent="0.25">
      <c r="B23" s="36">
        <v>9</v>
      </c>
      <c r="C23" s="158" t="str">
        <f>IF(Setup!D22=0,NA(),Setup!D22)</f>
        <v>FIGI_BBG001STKP50</v>
      </c>
      <c r="D23" s="77">
        <f t="shared" ca="1" si="0"/>
        <v>43269</v>
      </c>
      <c r="E23" s="196"/>
      <c r="F23" s="159"/>
      <c r="G23" s="159"/>
      <c r="H23" s="159"/>
      <c r="I23" s="203"/>
      <c r="J23" s="69"/>
    </row>
    <row r="24" spans="2:13" x14ac:dyDescent="0.25">
      <c r="B24" s="36">
        <v>10</v>
      </c>
      <c r="C24" s="158" t="str">
        <f>IF(Setup!D23=0,NA(),Setup!D23)</f>
        <v>FIGI_BBG001SRSD26</v>
      </c>
      <c r="D24" s="77">
        <f t="shared" ca="1" si="0"/>
        <v>43269</v>
      </c>
      <c r="E24" s="196"/>
      <c r="F24" s="159"/>
      <c r="G24" s="159"/>
      <c r="H24" s="159"/>
      <c r="I24" s="203"/>
      <c r="J24" s="69"/>
    </row>
    <row r="25" spans="2:13" x14ac:dyDescent="0.25">
      <c r="B25" s="36">
        <v>11</v>
      </c>
      <c r="C25" s="158" t="str">
        <f>IF(Setup!D24=0,NA(),Setup!D24)</f>
        <v>FIGI_BBG00H15BY93</v>
      </c>
      <c r="D25" s="77">
        <f t="shared" ca="1" si="0"/>
        <v>43269</v>
      </c>
      <c r="E25" s="196"/>
      <c r="F25" s="159"/>
      <c r="G25" s="159"/>
      <c r="H25" s="159"/>
      <c r="I25" s="203"/>
      <c r="J25" s="69"/>
    </row>
    <row r="26" spans="2:13" x14ac:dyDescent="0.25">
      <c r="B26" s="36">
        <v>12</v>
      </c>
      <c r="C26" s="158" t="str">
        <f>IF(Setup!D25=0,NA(),Setup!D25)</f>
        <v>FIGI_BBG00H15BYQ4</v>
      </c>
      <c r="D26" s="77">
        <f t="shared" ca="1" si="0"/>
        <v>43269</v>
      </c>
      <c r="E26" s="196"/>
      <c r="F26" s="159"/>
      <c r="G26" s="159"/>
      <c r="H26" s="159"/>
      <c r="I26" s="203"/>
      <c r="J26" s="69"/>
    </row>
    <row r="27" spans="2:13" x14ac:dyDescent="0.25">
      <c r="B27" s="36">
        <v>13</v>
      </c>
      <c r="C27" s="158" t="str">
        <f>IF(Setup!D26=0,NA(),Setup!D26)</f>
        <v>FIGI_BBG007V3VDV6</v>
      </c>
      <c r="D27" s="77">
        <f t="shared" ca="1" si="0"/>
        <v>43269</v>
      </c>
      <c r="E27" s="196"/>
      <c r="F27" s="159"/>
      <c r="G27" s="159"/>
      <c r="H27" s="159"/>
      <c r="I27" s="203"/>
      <c r="J27" s="69"/>
      <c r="L27" s="278" t="s">
        <v>59</v>
      </c>
      <c r="M27" s="278"/>
    </row>
    <row r="28" spans="2:13" x14ac:dyDescent="0.25">
      <c r="B28" s="36">
        <v>14</v>
      </c>
      <c r="C28" s="158" t="str">
        <f>IF(Setup!D27=0,NA(),Setup!D27)</f>
        <v>FIGI_BBG001T0SRJ5</v>
      </c>
      <c r="D28" s="77">
        <f ca="1">IF(C28="","",TODAY())</f>
        <v>43269</v>
      </c>
      <c r="E28" s="196"/>
      <c r="F28" s="159"/>
      <c r="G28" s="159"/>
      <c r="H28" s="159"/>
      <c r="I28" s="203"/>
      <c r="J28" s="69"/>
      <c r="L28" s="278"/>
      <c r="M28" s="278"/>
    </row>
    <row r="29" spans="2:13" x14ac:dyDescent="0.25">
      <c r="B29" s="36">
        <v>15</v>
      </c>
      <c r="C29" s="158" t="str">
        <f>IF(Setup!D28=0,NA(),Setup!D28)</f>
        <v>FIGI_BBG001T1P853</v>
      </c>
      <c r="D29" s="77">
        <f t="shared" ca="1" si="0"/>
        <v>43269</v>
      </c>
      <c r="E29" s="196"/>
      <c r="F29" s="159"/>
      <c r="G29" s="159"/>
      <c r="H29" s="159"/>
      <c r="I29" s="203"/>
      <c r="J29" s="69"/>
      <c r="L29" s="278"/>
      <c r="M29" s="278"/>
    </row>
    <row r="30" spans="2:13" x14ac:dyDescent="0.25">
      <c r="B30" s="36">
        <v>16</v>
      </c>
      <c r="C30" s="158" t="str">
        <f>IF(Setup!D29=0,NA(),Setup!D29)</f>
        <v>FIGI_BBG001T8ZB05</v>
      </c>
      <c r="D30" s="77">
        <f t="shared" ca="1" si="0"/>
        <v>43269</v>
      </c>
      <c r="E30" s="196"/>
      <c r="F30" s="159"/>
      <c r="G30" s="159"/>
      <c r="H30" s="159"/>
      <c r="I30" s="203"/>
      <c r="J30" s="69"/>
      <c r="L30" s="278"/>
      <c r="M30" s="278"/>
    </row>
    <row r="31" spans="2:13" x14ac:dyDescent="0.25">
      <c r="B31" s="36">
        <v>17</v>
      </c>
      <c r="C31" s="158" t="str">
        <f>IF(Setup!D30=0,NA(),Setup!D30)</f>
        <v>FIGI_BBG001STMN80</v>
      </c>
      <c r="D31" s="77">
        <f t="shared" ca="1" si="0"/>
        <v>43269</v>
      </c>
      <c r="E31" s="196"/>
      <c r="F31" s="159"/>
      <c r="G31" s="159"/>
      <c r="H31" s="159"/>
      <c r="I31" s="203"/>
      <c r="J31" s="69"/>
      <c r="L31" s="278"/>
      <c r="M31" s="278"/>
    </row>
    <row r="32" spans="2:13" x14ac:dyDescent="0.25">
      <c r="B32" s="36">
        <v>18</v>
      </c>
      <c r="C32" s="158" t="str">
        <f>IF(Setup!D31=0,NA(),Setup!D31)</f>
        <v>FIGI_BBG001T8ZB14</v>
      </c>
      <c r="D32" s="77">
        <f t="shared" ca="1" si="0"/>
        <v>43269</v>
      </c>
      <c r="E32" s="196"/>
      <c r="F32" s="159"/>
      <c r="G32" s="159"/>
      <c r="H32" s="159"/>
      <c r="I32" s="203"/>
      <c r="J32" s="69"/>
    </row>
    <row r="33" spans="2:15" x14ac:dyDescent="0.25">
      <c r="B33" s="36">
        <v>19</v>
      </c>
      <c r="C33" s="158" t="str">
        <f>IF(Setup!D32=0,NA(),Setup!D32)</f>
        <v>FIGI_BBG001V0BND5</v>
      </c>
      <c r="D33" s="77">
        <f t="shared" ca="1" si="0"/>
        <v>43269</v>
      </c>
      <c r="E33" s="196"/>
      <c r="F33" s="159"/>
      <c r="G33" s="159"/>
      <c r="H33" s="159"/>
      <c r="I33" s="203"/>
      <c r="J33" s="69"/>
    </row>
    <row r="34" spans="2:15" x14ac:dyDescent="0.25">
      <c r="B34" s="36">
        <v>20</v>
      </c>
      <c r="C34" s="158" t="str">
        <f>IF(Setup!D33=0,NA(),Setup!D33)</f>
        <v>FIGI_BBG0037S1FF3</v>
      </c>
      <c r="D34" s="77">
        <f t="shared" ca="1" si="0"/>
        <v>43269</v>
      </c>
      <c r="E34" s="196"/>
      <c r="F34" s="159"/>
      <c r="G34" s="159"/>
      <c r="H34" s="159"/>
      <c r="I34" s="203"/>
      <c r="J34" s="69"/>
    </row>
    <row r="35" spans="2:15" x14ac:dyDescent="0.25">
      <c r="B35" s="36">
        <v>21</v>
      </c>
      <c r="C35" s="158" t="str">
        <f>IF(Setup!D34=0,NA(),Setup!D34)</f>
        <v>FIGI_BBG001TJMQW7</v>
      </c>
      <c r="D35" s="77">
        <f t="shared" ca="1" si="0"/>
        <v>43269</v>
      </c>
      <c r="E35" s="196"/>
      <c r="F35" s="159"/>
      <c r="G35" s="159"/>
      <c r="H35" s="159"/>
      <c r="I35" s="203"/>
      <c r="J35" s="69"/>
    </row>
    <row r="36" spans="2:15" x14ac:dyDescent="0.25">
      <c r="B36" s="36">
        <v>22</v>
      </c>
      <c r="C36" s="158" t="str">
        <f>IF(Setup!D35=0,NA(),Setup!D35)</f>
        <v>FIGI_BBG0034YPJH7</v>
      </c>
      <c r="D36" s="77">
        <f t="shared" ca="1" si="0"/>
        <v>43269</v>
      </c>
      <c r="E36" s="196"/>
      <c r="F36" s="159"/>
      <c r="G36" s="159"/>
      <c r="H36" s="159"/>
      <c r="I36" s="203"/>
      <c r="J36" s="69"/>
    </row>
    <row r="37" spans="2:15" x14ac:dyDescent="0.25">
      <c r="B37" s="36">
        <v>23</v>
      </c>
      <c r="C37" s="158" t="str">
        <f>IF(Setup!D36=0,NA(),Setup!D36)</f>
        <v>FIGI_BBG0034YQ817</v>
      </c>
      <c r="D37" s="77">
        <f t="shared" ca="1" si="0"/>
        <v>43269</v>
      </c>
      <c r="E37" s="196"/>
      <c r="F37" s="159"/>
      <c r="G37" s="159"/>
      <c r="H37" s="159"/>
      <c r="I37" s="203"/>
      <c r="J37" s="69"/>
    </row>
    <row r="38" spans="2:15" x14ac:dyDescent="0.25">
      <c r="B38" s="36">
        <v>24</v>
      </c>
      <c r="C38" s="158" t="str">
        <f>IF(Setup!D37=0,NA(),Setup!D37)</f>
        <v>FIGI_BBG004733G08</v>
      </c>
      <c r="D38" s="77">
        <f t="shared" ca="1" si="0"/>
        <v>43269</v>
      </c>
      <c r="E38" s="196"/>
      <c r="F38" s="159"/>
      <c r="G38" s="159"/>
      <c r="H38" s="159"/>
      <c r="I38" s="203"/>
      <c r="J38" s="69"/>
    </row>
    <row r="39" spans="2:15" x14ac:dyDescent="0.25">
      <c r="B39" s="36">
        <v>25</v>
      </c>
      <c r="C39" s="158" t="str">
        <f>IF(Setup!D38=0,NA(),Setup!D38)</f>
        <v>FIGI_BBG004XQG9G3</v>
      </c>
      <c r="D39" s="77">
        <f t="shared" ca="1" si="0"/>
        <v>43269</v>
      </c>
      <c r="E39" s="196"/>
      <c r="F39" s="159"/>
      <c r="G39" s="159"/>
      <c r="H39" s="159"/>
      <c r="I39" s="203"/>
      <c r="J39" s="69"/>
    </row>
    <row r="40" spans="2:15" ht="15" customHeight="1" x14ac:dyDescent="0.25">
      <c r="B40" s="36">
        <v>26</v>
      </c>
      <c r="C40" s="158" t="str">
        <f>IF(Setup!D39=0,NA(),Setup!D39)</f>
        <v>FIGI_BBG003BJ6K53</v>
      </c>
      <c r="D40" s="77">
        <f ca="1">IF(C40="","",TODAY())</f>
        <v>43269</v>
      </c>
      <c r="E40" s="196"/>
      <c r="F40" s="159"/>
      <c r="G40" s="159"/>
      <c r="H40" s="159"/>
      <c r="I40" s="203"/>
      <c r="J40" s="69"/>
    </row>
    <row r="41" spans="2:15" x14ac:dyDescent="0.25">
      <c r="B41" s="36">
        <v>27</v>
      </c>
      <c r="C41" s="158" t="e">
        <f>IF(Setup!D40=0,NA(),Setup!D40)</f>
        <v>#N/A</v>
      </c>
      <c r="D41" s="77" t="e">
        <f ca="1">IF(C41="","",TODAY())</f>
        <v>#N/A</v>
      </c>
      <c r="E41" s="196"/>
      <c r="F41" s="159"/>
      <c r="G41" s="159"/>
      <c r="H41" s="159"/>
      <c r="I41" s="203"/>
      <c r="J41" s="69"/>
    </row>
    <row r="42" spans="2:15" x14ac:dyDescent="0.25">
      <c r="B42" s="36">
        <v>28</v>
      </c>
      <c r="C42" s="158" t="e">
        <f>IF(Setup!D41=0,NA(),Setup!D41)</f>
        <v>#N/A</v>
      </c>
      <c r="D42" s="77" t="e">
        <f ca="1">IF(C42="","",TODAY())</f>
        <v>#N/A</v>
      </c>
      <c r="E42" s="196"/>
      <c r="F42" s="159"/>
      <c r="G42" s="159"/>
      <c r="H42" s="74"/>
      <c r="I42" s="75"/>
      <c r="J42" s="69"/>
    </row>
    <row r="43" spans="2:15" x14ac:dyDescent="0.25">
      <c r="B43" s="36">
        <v>29</v>
      </c>
      <c r="C43" s="158" t="e">
        <f>IF(Setup!D42=0,NA(),Setup!D42)</f>
        <v>#N/A</v>
      </c>
      <c r="D43" s="77" t="e">
        <f ca="1">IF(C43="","",TODAY())</f>
        <v>#N/A</v>
      </c>
      <c r="E43" s="196"/>
      <c r="F43" s="159"/>
      <c r="G43" s="159"/>
      <c r="H43" s="74"/>
      <c r="I43" s="75"/>
      <c r="J43" s="69"/>
    </row>
    <row r="44" spans="2:15" x14ac:dyDescent="0.25">
      <c r="B44" s="36">
        <v>30</v>
      </c>
      <c r="C44" s="197" t="e">
        <f>IF(Setup!D43=0,NA(),Setup!D43)</f>
        <v>#N/A</v>
      </c>
      <c r="D44" s="204" t="e">
        <f t="shared" ca="1" si="0"/>
        <v>#N/A</v>
      </c>
      <c r="E44" s="205"/>
      <c r="F44" s="206"/>
      <c r="G44" s="206"/>
      <c r="H44" s="207"/>
      <c r="I44" s="76"/>
      <c r="J44" s="73"/>
    </row>
    <row r="45" spans="2:15" x14ac:dyDescent="0.25">
      <c r="B45" s="7"/>
      <c r="C45" s="32"/>
      <c r="D45" s="33"/>
      <c r="E45" s="34"/>
      <c r="F45" s="34"/>
      <c r="G45" s="34"/>
      <c r="H45" s="34"/>
      <c r="I45" s="34"/>
      <c r="J45" s="35"/>
    </row>
    <row r="46" spans="2:15" ht="15" customHeight="1" x14ac:dyDescent="0.25">
      <c r="B46" s="7"/>
      <c r="C46" s="254" t="s">
        <v>81</v>
      </c>
      <c r="D46" s="255"/>
      <c r="E46" s="255"/>
      <c r="F46" s="255"/>
      <c r="G46" s="255"/>
      <c r="H46" s="255"/>
      <c r="I46" s="256"/>
      <c r="J46" s="8"/>
      <c r="K46" s="8"/>
      <c r="L46" s="8"/>
      <c r="M46" s="8"/>
      <c r="N46" s="8"/>
      <c r="O46" s="8"/>
    </row>
    <row r="47" spans="2:15" x14ac:dyDescent="0.25">
      <c r="B47" s="7"/>
      <c r="C47" s="263"/>
      <c r="D47" s="264"/>
      <c r="E47" s="264"/>
      <c r="F47" s="264"/>
      <c r="G47" s="264"/>
      <c r="H47" s="264"/>
      <c r="I47" s="265"/>
      <c r="J47" s="8"/>
      <c r="K47" s="8"/>
      <c r="L47" s="8"/>
      <c r="M47" s="8"/>
      <c r="N47" s="8"/>
      <c r="O47" s="8"/>
    </row>
    <row r="48" spans="2:15" x14ac:dyDescent="0.25">
      <c r="B48" s="7"/>
      <c r="C48" s="263"/>
      <c r="D48" s="264"/>
      <c r="E48" s="264"/>
      <c r="F48" s="264"/>
      <c r="G48" s="264"/>
      <c r="H48" s="264"/>
      <c r="I48" s="265"/>
      <c r="J48" s="8"/>
      <c r="K48" s="8"/>
      <c r="L48" s="8"/>
      <c r="M48" s="8"/>
      <c r="N48" s="8"/>
      <c r="O48" s="8"/>
    </row>
    <row r="49" spans="2:15" x14ac:dyDescent="0.25">
      <c r="B49" s="7"/>
      <c r="C49" s="263"/>
      <c r="D49" s="264"/>
      <c r="E49" s="264"/>
      <c r="F49" s="264"/>
      <c r="G49" s="264"/>
      <c r="H49" s="264"/>
      <c r="I49" s="265"/>
      <c r="J49" s="8"/>
      <c r="K49" s="8"/>
      <c r="L49" s="8"/>
      <c r="M49" s="8"/>
      <c r="N49" s="8"/>
      <c r="O49" s="8"/>
    </row>
    <row r="50" spans="2:15" x14ac:dyDescent="0.25">
      <c r="C50" s="257"/>
      <c r="D50" s="282"/>
      <c r="E50" s="282"/>
      <c r="F50" s="282"/>
      <c r="G50" s="282"/>
      <c r="H50" s="282"/>
      <c r="I50" s="259"/>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topLeftCell="A10"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85" t="s">
        <v>79</v>
      </c>
      <c r="D7" s="286"/>
      <c r="E7" s="286"/>
      <c r="F7" s="287"/>
    </row>
    <row r="8" spans="2:10" x14ac:dyDescent="0.25">
      <c r="C8" s="288"/>
      <c r="D8" s="289"/>
      <c r="E8" s="289"/>
      <c r="F8" s="290"/>
    </row>
    <row r="9" spans="2:10" ht="15.75" x14ac:dyDescent="0.25">
      <c r="C9" s="91"/>
      <c r="D9" s="91"/>
      <c r="E9" s="91"/>
      <c r="F9" s="91"/>
    </row>
    <row r="10" spans="2:10" ht="15.75" x14ac:dyDescent="0.25">
      <c r="C10" s="295" t="s">
        <v>110</v>
      </c>
      <c r="D10" s="295"/>
      <c r="E10" s="91"/>
      <c r="F10" s="91"/>
    </row>
    <row r="12" spans="2:10" x14ac:dyDescent="0.25">
      <c r="C12" s="182" t="s">
        <v>132</v>
      </c>
      <c r="D12" s="149" t="s">
        <v>133</v>
      </c>
      <c r="E12" s="191"/>
      <c r="F12" s="191"/>
      <c r="G12" s="191"/>
      <c r="H12" s="189"/>
      <c r="I12" s="173"/>
      <c r="J12" s="47"/>
    </row>
    <row r="13" spans="2:10" x14ac:dyDescent="0.25">
      <c r="B13" s="161">
        <v>1</v>
      </c>
      <c r="C13" s="166" t="s">
        <v>53</v>
      </c>
      <c r="D13" s="167" t="s">
        <v>134</v>
      </c>
      <c r="E13" s="195"/>
      <c r="F13" s="167"/>
      <c r="G13" s="167"/>
      <c r="H13" s="167"/>
      <c r="I13" s="168"/>
      <c r="J13" s="48"/>
    </row>
    <row r="14" spans="2:10" x14ac:dyDescent="0.25">
      <c r="B14" s="162">
        <v>2</v>
      </c>
      <c r="C14" s="166" t="s">
        <v>135</v>
      </c>
      <c r="D14" s="167" t="s">
        <v>136</v>
      </c>
      <c r="E14" s="192"/>
      <c r="F14" s="167"/>
      <c r="G14" s="167"/>
      <c r="H14" s="167"/>
      <c r="I14" s="168"/>
      <c r="J14" s="48"/>
    </row>
    <row r="15" spans="2:10" x14ac:dyDescent="0.25">
      <c r="B15" s="162">
        <v>3</v>
      </c>
      <c r="C15" s="166" t="s">
        <v>137</v>
      </c>
      <c r="D15" s="167" t="s">
        <v>138</v>
      </c>
      <c r="E15" s="192"/>
      <c r="F15" s="167"/>
      <c r="G15" s="167"/>
      <c r="H15" s="167"/>
      <c r="I15" s="168"/>
      <c r="J15" s="48"/>
    </row>
    <row r="16" spans="2:10" x14ac:dyDescent="0.25">
      <c r="B16" s="162">
        <v>4</v>
      </c>
      <c r="C16" s="166" t="s">
        <v>139</v>
      </c>
      <c r="D16" s="167" t="s">
        <v>140</v>
      </c>
      <c r="E16" s="192"/>
      <c r="F16" s="167"/>
      <c r="G16" s="167"/>
      <c r="H16" s="167"/>
      <c r="I16" s="168"/>
      <c r="J16" s="48"/>
    </row>
    <row r="17" spans="2:10" x14ac:dyDescent="0.25">
      <c r="B17" s="162">
        <v>5</v>
      </c>
      <c r="C17" s="166" t="s">
        <v>141</v>
      </c>
      <c r="D17" s="167" t="s">
        <v>142</v>
      </c>
      <c r="E17" s="192"/>
      <c r="F17" s="167"/>
      <c r="G17" s="167"/>
      <c r="H17" s="167"/>
      <c r="I17" s="168"/>
      <c r="J17" s="48"/>
    </row>
    <row r="18" spans="2:10" x14ac:dyDescent="0.25">
      <c r="B18" s="162">
        <v>6</v>
      </c>
      <c r="C18" s="166" t="s">
        <v>143</v>
      </c>
      <c r="D18" s="167" t="s">
        <v>144</v>
      </c>
      <c r="E18" s="192"/>
      <c r="F18" s="167"/>
      <c r="G18" s="167"/>
      <c r="H18" s="167"/>
      <c r="I18" s="168"/>
      <c r="J18" s="48"/>
    </row>
    <row r="19" spans="2:10" x14ac:dyDescent="0.25">
      <c r="B19" s="162">
        <v>7</v>
      </c>
      <c r="C19" s="166" t="s">
        <v>145</v>
      </c>
      <c r="D19" s="167" t="s">
        <v>146</v>
      </c>
      <c r="E19" s="192"/>
      <c r="F19" s="167"/>
      <c r="G19" s="167"/>
      <c r="H19" s="167"/>
      <c r="I19" s="168"/>
      <c r="J19" s="48"/>
    </row>
    <row r="20" spans="2:10" x14ac:dyDescent="0.25">
      <c r="B20" s="162">
        <v>8</v>
      </c>
      <c r="C20" s="166" t="s">
        <v>147</v>
      </c>
      <c r="D20" s="167" t="s">
        <v>148</v>
      </c>
      <c r="E20" s="192"/>
      <c r="F20" s="167"/>
      <c r="G20" s="167"/>
      <c r="H20" s="167"/>
      <c r="I20" s="168"/>
      <c r="J20" s="48"/>
    </row>
    <row r="21" spans="2:10" x14ac:dyDescent="0.25">
      <c r="B21" s="162">
        <v>9</v>
      </c>
      <c r="C21" s="166" t="s">
        <v>149</v>
      </c>
      <c r="D21" s="167" t="s">
        <v>150</v>
      </c>
      <c r="E21" s="192"/>
      <c r="F21" s="167"/>
      <c r="G21" s="167"/>
      <c r="H21" s="167"/>
      <c r="I21" s="168"/>
      <c r="J21" s="48"/>
    </row>
    <row r="22" spans="2:10" x14ac:dyDescent="0.25">
      <c r="B22" s="162">
        <v>10</v>
      </c>
      <c r="C22" s="166" t="s">
        <v>151</v>
      </c>
      <c r="D22" s="167" t="s">
        <v>152</v>
      </c>
      <c r="E22" s="192"/>
      <c r="F22" s="167"/>
      <c r="G22" s="167"/>
      <c r="H22" s="167"/>
      <c r="I22" s="168"/>
      <c r="J22" s="48"/>
    </row>
    <row r="23" spans="2:10" x14ac:dyDescent="0.25">
      <c r="B23" s="162">
        <v>11</v>
      </c>
      <c r="C23" s="166" t="s">
        <v>153</v>
      </c>
      <c r="D23" s="167" t="s">
        <v>154</v>
      </c>
      <c r="E23" s="192"/>
      <c r="F23" s="167"/>
      <c r="G23" s="167"/>
      <c r="H23" s="167"/>
      <c r="I23" s="168"/>
      <c r="J23" s="48"/>
    </row>
    <row r="24" spans="2:10" x14ac:dyDescent="0.25">
      <c r="B24" s="162">
        <v>12</v>
      </c>
      <c r="C24" s="166" t="s">
        <v>155</v>
      </c>
      <c r="D24" s="167" t="s">
        <v>156</v>
      </c>
      <c r="E24" s="192"/>
      <c r="F24" s="167"/>
      <c r="G24" s="167"/>
      <c r="H24" s="167"/>
      <c r="I24" s="168"/>
      <c r="J24" s="48"/>
    </row>
    <row r="25" spans="2:10" ht="15" customHeight="1" x14ac:dyDescent="0.25">
      <c r="B25" s="162">
        <v>13</v>
      </c>
      <c r="C25" s="166" t="s">
        <v>157</v>
      </c>
      <c r="D25" s="167" t="s">
        <v>158</v>
      </c>
      <c r="E25" s="192"/>
      <c r="F25" s="167"/>
      <c r="G25" s="167"/>
      <c r="H25" s="167"/>
      <c r="I25" s="168"/>
      <c r="J25" s="294" t="s">
        <v>71</v>
      </c>
    </row>
    <row r="26" spans="2:10" x14ac:dyDescent="0.25">
      <c r="B26" s="162">
        <v>14</v>
      </c>
      <c r="C26" s="166" t="s">
        <v>159</v>
      </c>
      <c r="D26" s="167" t="s">
        <v>160</v>
      </c>
      <c r="E26" s="192"/>
      <c r="F26" s="167"/>
      <c r="G26" s="167"/>
      <c r="H26" s="167"/>
      <c r="I26" s="168"/>
      <c r="J26" s="294"/>
    </row>
    <row r="27" spans="2:10" x14ac:dyDescent="0.25">
      <c r="B27" s="162">
        <v>15</v>
      </c>
      <c r="C27" s="166" t="s">
        <v>161</v>
      </c>
      <c r="D27" s="167" t="s">
        <v>162</v>
      </c>
      <c r="E27" s="192"/>
      <c r="F27" s="167"/>
      <c r="G27" s="167"/>
      <c r="H27" s="167"/>
      <c r="I27" s="168"/>
      <c r="J27" s="294"/>
    </row>
    <row r="28" spans="2:10" x14ac:dyDescent="0.25">
      <c r="B28" s="162">
        <v>16</v>
      </c>
      <c r="C28" s="166" t="s">
        <v>163</v>
      </c>
      <c r="D28" s="167" t="s">
        <v>164</v>
      </c>
      <c r="E28" s="192"/>
      <c r="F28" s="167"/>
      <c r="G28" s="167"/>
      <c r="H28" s="167"/>
      <c r="I28" s="168"/>
      <c r="J28" s="294"/>
    </row>
    <row r="29" spans="2:10" x14ac:dyDescent="0.25">
      <c r="B29" s="162">
        <v>17</v>
      </c>
      <c r="C29" s="166" t="s">
        <v>165</v>
      </c>
      <c r="D29" s="167" t="s">
        <v>166</v>
      </c>
      <c r="E29" s="192"/>
      <c r="F29" s="167"/>
      <c r="G29" s="167"/>
      <c r="H29" s="167"/>
      <c r="I29" s="168"/>
      <c r="J29" s="48"/>
    </row>
    <row r="30" spans="2:10" x14ac:dyDescent="0.25">
      <c r="B30" s="162">
        <v>18</v>
      </c>
      <c r="C30" s="166" t="s">
        <v>167</v>
      </c>
      <c r="D30" s="167" t="s">
        <v>168</v>
      </c>
      <c r="E30" s="192"/>
      <c r="F30" s="167"/>
      <c r="G30" s="167"/>
      <c r="H30" s="167"/>
      <c r="I30" s="168"/>
      <c r="J30" s="48"/>
    </row>
    <row r="31" spans="2:10" x14ac:dyDescent="0.25">
      <c r="B31" s="162">
        <v>19</v>
      </c>
      <c r="C31" s="166" t="s">
        <v>169</v>
      </c>
      <c r="D31" s="167" t="s">
        <v>170</v>
      </c>
      <c r="E31" s="192"/>
      <c r="F31" s="167"/>
      <c r="G31" s="167"/>
      <c r="H31" s="167"/>
      <c r="I31" s="168"/>
      <c r="J31" s="48"/>
    </row>
    <row r="32" spans="2:10" x14ac:dyDescent="0.25">
      <c r="B32" s="162">
        <v>20</v>
      </c>
      <c r="C32" s="166" t="s">
        <v>171</v>
      </c>
      <c r="D32" s="167" t="s">
        <v>172</v>
      </c>
      <c r="E32" s="192"/>
      <c r="F32" s="167"/>
      <c r="G32" s="167"/>
      <c r="H32" s="167"/>
      <c r="I32" s="168"/>
      <c r="J32" s="48"/>
    </row>
    <row r="33" spans="2:10" x14ac:dyDescent="0.25">
      <c r="B33" s="162">
        <v>21</v>
      </c>
      <c r="C33" s="166" t="s">
        <v>173</v>
      </c>
      <c r="D33" s="167" t="s">
        <v>174</v>
      </c>
      <c r="E33" s="192"/>
      <c r="F33" s="167"/>
      <c r="G33" s="167"/>
      <c r="H33" s="167"/>
      <c r="I33" s="168"/>
      <c r="J33" s="48"/>
    </row>
    <row r="34" spans="2:10" x14ac:dyDescent="0.25">
      <c r="B34" s="162">
        <v>22</v>
      </c>
      <c r="C34" s="179" t="s">
        <v>175</v>
      </c>
      <c r="D34" s="167" t="s">
        <v>176</v>
      </c>
      <c r="E34" s="192"/>
      <c r="F34" s="167"/>
      <c r="G34" s="167"/>
      <c r="H34" s="167"/>
      <c r="I34" s="168"/>
      <c r="J34" s="48"/>
    </row>
    <row r="35" spans="2:10" x14ac:dyDescent="0.25">
      <c r="B35" s="162">
        <v>23</v>
      </c>
      <c r="C35" s="166" t="s">
        <v>177</v>
      </c>
      <c r="D35" s="167" t="s">
        <v>178</v>
      </c>
      <c r="E35" s="192"/>
      <c r="F35" s="167"/>
      <c r="G35" s="167"/>
      <c r="H35" s="167"/>
      <c r="I35" s="168"/>
      <c r="J35" s="48"/>
    </row>
    <row r="36" spans="2:10" x14ac:dyDescent="0.25">
      <c r="B36" s="162">
        <v>24</v>
      </c>
      <c r="C36" s="166" t="s">
        <v>179</v>
      </c>
      <c r="D36" s="167" t="s">
        <v>180</v>
      </c>
      <c r="E36" s="192"/>
      <c r="F36" s="167"/>
      <c r="G36" s="167"/>
      <c r="H36" s="167"/>
      <c r="I36" s="168"/>
      <c r="J36" s="48"/>
    </row>
    <row r="37" spans="2:10" x14ac:dyDescent="0.25">
      <c r="B37" s="162">
        <v>25</v>
      </c>
      <c r="C37" s="166" t="s">
        <v>181</v>
      </c>
      <c r="D37" s="167" t="s">
        <v>182</v>
      </c>
      <c r="E37" s="192"/>
      <c r="F37" s="167"/>
      <c r="G37" s="167"/>
      <c r="H37" s="167"/>
      <c r="I37" s="168"/>
      <c r="J37" s="48"/>
    </row>
    <row r="38" spans="2:10" x14ac:dyDescent="0.25">
      <c r="B38" s="162">
        <v>26</v>
      </c>
      <c r="C38" s="179" t="s">
        <v>183</v>
      </c>
      <c r="D38" s="180" t="s">
        <v>184</v>
      </c>
      <c r="E38" s="192"/>
      <c r="F38" s="167"/>
      <c r="G38" s="167"/>
      <c r="H38" s="167"/>
      <c r="I38" s="168"/>
      <c r="J38" s="48"/>
    </row>
    <row r="39" spans="2:10" x14ac:dyDescent="0.25">
      <c r="B39" s="162">
        <v>27</v>
      </c>
      <c r="C39" s="166"/>
      <c r="D39" s="167"/>
      <c r="E39" s="193"/>
      <c r="F39" s="163"/>
      <c r="G39" s="163"/>
      <c r="H39" s="163"/>
      <c r="I39" s="169"/>
      <c r="J39" s="49"/>
    </row>
    <row r="40" spans="2:10" x14ac:dyDescent="0.25">
      <c r="B40" s="162">
        <v>28</v>
      </c>
      <c r="C40" s="166"/>
      <c r="D40" s="167"/>
      <c r="E40" s="193"/>
      <c r="F40" s="163"/>
      <c r="G40" s="163"/>
      <c r="H40" s="163"/>
      <c r="I40" s="169"/>
      <c r="J40" s="49"/>
    </row>
    <row r="41" spans="2:10" x14ac:dyDescent="0.25">
      <c r="B41" s="162">
        <v>29</v>
      </c>
      <c r="C41" s="166"/>
      <c r="D41" s="167"/>
      <c r="E41" s="193"/>
      <c r="F41" s="163"/>
      <c r="G41" s="163"/>
      <c r="H41" s="163"/>
      <c r="I41" s="169"/>
      <c r="J41" s="49"/>
    </row>
    <row r="42" spans="2:10" x14ac:dyDescent="0.25">
      <c r="B42" s="160">
        <v>30</v>
      </c>
      <c r="C42" s="170"/>
      <c r="D42" s="171"/>
      <c r="E42" s="194"/>
      <c r="F42" s="165"/>
      <c r="G42" s="165"/>
      <c r="H42" s="165"/>
      <c r="I42" s="172"/>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54" t="s">
        <v>200</v>
      </c>
      <c r="D53" s="255"/>
      <c r="E53" s="255"/>
      <c r="F53" s="255"/>
      <c r="G53" s="255"/>
      <c r="H53" s="255"/>
      <c r="I53" s="256"/>
      <c r="J53" s="8"/>
      <c r="K53" s="8"/>
      <c r="L53" s="8"/>
      <c r="M53" s="8"/>
      <c r="N53" s="8"/>
      <c r="O53" s="8"/>
    </row>
    <row r="54" spans="2:15" x14ac:dyDescent="0.25">
      <c r="C54" s="263"/>
      <c r="D54" s="264"/>
      <c r="E54" s="264"/>
      <c r="F54" s="264"/>
      <c r="G54" s="264"/>
      <c r="H54" s="264"/>
      <c r="I54" s="265"/>
      <c r="J54" s="8"/>
      <c r="K54" s="8"/>
      <c r="L54" s="8"/>
      <c r="M54" s="8"/>
      <c r="N54" s="8"/>
      <c r="O54" s="8"/>
    </row>
    <row r="55" spans="2:15" x14ac:dyDescent="0.25">
      <c r="C55" s="263"/>
      <c r="D55" s="264"/>
      <c r="E55" s="264"/>
      <c r="F55" s="264"/>
      <c r="G55" s="264"/>
      <c r="H55" s="264"/>
      <c r="I55" s="265"/>
      <c r="J55" s="8"/>
      <c r="K55" s="8"/>
      <c r="L55" s="8"/>
      <c r="M55" s="8"/>
      <c r="N55" s="8"/>
      <c r="O55" s="8"/>
    </row>
    <row r="56" spans="2:15" x14ac:dyDescent="0.25">
      <c r="C56" s="263"/>
      <c r="D56" s="264"/>
      <c r="E56" s="264"/>
      <c r="F56" s="264"/>
      <c r="G56" s="264"/>
      <c r="H56" s="264"/>
      <c r="I56" s="265"/>
      <c r="J56" s="8"/>
      <c r="K56" s="8"/>
      <c r="L56" s="8"/>
      <c r="M56" s="8"/>
      <c r="N56" s="8"/>
      <c r="O56" s="8"/>
    </row>
    <row r="57" spans="2:15" x14ac:dyDescent="0.25">
      <c r="C57" s="257"/>
      <c r="D57" s="282"/>
      <c r="E57" s="282"/>
      <c r="F57" s="282"/>
      <c r="G57" s="282"/>
      <c r="H57" s="282"/>
      <c r="I57" s="259"/>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V15" sqref="V1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296" t="s">
        <v>111</v>
      </c>
      <c r="M5" s="297"/>
      <c r="N5" s="298"/>
    </row>
    <row r="6" spans="2:22" x14ac:dyDescent="0.25">
      <c r="L6" s="299"/>
      <c r="M6" s="300"/>
      <c r="N6" s="301"/>
    </row>
    <row r="7" spans="2:22" x14ac:dyDescent="0.25">
      <c r="C7" s="271" t="s">
        <v>108</v>
      </c>
      <c r="D7" s="272"/>
      <c r="E7" s="272"/>
      <c r="F7" s="272"/>
      <c r="G7" s="272"/>
      <c r="H7" s="272"/>
      <c r="I7" s="273"/>
      <c r="L7" s="299"/>
      <c r="M7" s="300"/>
      <c r="N7" s="301"/>
    </row>
    <row r="8" spans="2:22" x14ac:dyDescent="0.25">
      <c r="C8" s="274"/>
      <c r="D8" s="275"/>
      <c r="E8" s="275"/>
      <c r="F8" s="275"/>
      <c r="G8" s="275"/>
      <c r="H8" s="275"/>
      <c r="I8" s="276"/>
      <c r="L8" s="299"/>
      <c r="M8" s="300"/>
      <c r="N8" s="301"/>
    </row>
    <row r="9" spans="2:22" ht="15.75" x14ac:dyDescent="0.25">
      <c r="C9" s="91"/>
      <c r="D9" s="91"/>
      <c r="E9" s="91"/>
      <c r="F9" s="91"/>
      <c r="G9" s="91"/>
      <c r="H9" s="91"/>
      <c r="I9" s="91"/>
      <c r="L9" s="302"/>
      <c r="M9" s="303"/>
      <c r="N9" s="304"/>
    </row>
    <row r="10" spans="2:22" x14ac:dyDescent="0.25">
      <c r="C10" s="305" t="s">
        <v>215</v>
      </c>
      <c r="D10" s="306"/>
      <c r="E10" s="306"/>
      <c r="F10" s="307"/>
      <c r="G10" s="311"/>
      <c r="H10" s="190"/>
      <c r="I10" s="190"/>
    </row>
    <row r="11" spans="2:22" x14ac:dyDescent="0.25">
      <c r="C11" s="308"/>
      <c r="D11" s="309"/>
      <c r="E11" s="309"/>
      <c r="F11" s="310"/>
      <c r="G11" s="311"/>
      <c r="H11" s="190"/>
      <c r="I11" s="190"/>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08"/>
      <c r="U14" s="209"/>
      <c r="V14" s="95" t="s">
        <v>5</v>
      </c>
    </row>
    <row r="15" spans="2:22" ht="22.5" customHeight="1" thickTop="1" x14ac:dyDescent="0.25">
      <c r="B15" s="93">
        <v>1</v>
      </c>
      <c r="C15" s="183" t="s">
        <v>194</v>
      </c>
      <c r="D15" s="163" t="str">
        <f>Setup!D14</f>
        <v>FIGI_BBG00JVK5K09</v>
      </c>
      <c r="E15" s="164">
        <f t="shared" ref="E15:F19" ca="1" si="0">TODAY()</f>
        <v>43269</v>
      </c>
      <c r="F15" s="164">
        <f t="shared" ca="1" si="0"/>
        <v>43269</v>
      </c>
      <c r="G15" s="177" t="s">
        <v>128</v>
      </c>
      <c r="H15" s="163">
        <v>22</v>
      </c>
      <c r="I15" s="163" t="s">
        <v>102</v>
      </c>
      <c r="J15" s="163" t="s">
        <v>103</v>
      </c>
      <c r="K15" s="163" t="s">
        <v>104</v>
      </c>
      <c r="L15" s="163" t="s">
        <v>106</v>
      </c>
      <c r="M15" s="163" t="s">
        <v>101</v>
      </c>
      <c r="N15" s="163" t="s">
        <v>107</v>
      </c>
      <c r="O15" s="163">
        <v>123</v>
      </c>
      <c r="P15" s="163">
        <v>1111111</v>
      </c>
      <c r="Q15" s="163">
        <v>2</v>
      </c>
      <c r="R15" s="163" t="s">
        <v>105</v>
      </c>
      <c r="S15" s="163" t="s">
        <v>104</v>
      </c>
      <c r="T15" s="177"/>
      <c r="U15" s="128"/>
      <c r="V15" s="199"/>
    </row>
    <row r="16" spans="2:22" x14ac:dyDescent="0.25">
      <c r="B16" s="94">
        <v>2</v>
      </c>
      <c r="C16" s="183" t="s">
        <v>195</v>
      </c>
      <c r="D16" s="163" t="str">
        <f>Setup!D15</f>
        <v>FIGI_BBG00DL94N94</v>
      </c>
      <c r="E16" s="164">
        <f t="shared" ca="1" si="0"/>
        <v>43269</v>
      </c>
      <c r="F16" s="164">
        <f t="shared" ca="1" si="0"/>
        <v>43269</v>
      </c>
      <c r="G16" s="177" t="s">
        <v>128</v>
      </c>
      <c r="H16" s="163">
        <v>23</v>
      </c>
      <c r="I16" s="163" t="s">
        <v>102</v>
      </c>
      <c r="J16" s="163" t="s">
        <v>103</v>
      </c>
      <c r="K16" s="163" t="s">
        <v>104</v>
      </c>
      <c r="L16" s="163" t="s">
        <v>106</v>
      </c>
      <c r="M16" s="163" t="s">
        <v>101</v>
      </c>
      <c r="N16" s="163" t="s">
        <v>107</v>
      </c>
      <c r="O16" s="163">
        <v>123</v>
      </c>
      <c r="P16" s="163">
        <v>1111111</v>
      </c>
      <c r="Q16" s="163">
        <v>2</v>
      </c>
      <c r="R16" s="163" t="s">
        <v>105</v>
      </c>
      <c r="S16" s="163" t="s">
        <v>104</v>
      </c>
      <c r="T16" s="177"/>
      <c r="U16" s="128"/>
      <c r="V16" s="133"/>
    </row>
    <row r="17" spans="2:22" x14ac:dyDescent="0.25">
      <c r="B17" s="94">
        <v>3</v>
      </c>
      <c r="C17" s="183" t="s">
        <v>196</v>
      </c>
      <c r="D17" s="163" t="str">
        <f>Setup!D16</f>
        <v>FIGI_BBG00DL98GH6</v>
      </c>
      <c r="E17" s="164">
        <f t="shared" ca="1" si="0"/>
        <v>43269</v>
      </c>
      <c r="F17" s="164">
        <f t="shared" ca="1" si="0"/>
        <v>43269</v>
      </c>
      <c r="G17" s="177" t="s">
        <v>128</v>
      </c>
      <c r="H17" s="163">
        <v>24</v>
      </c>
      <c r="I17" s="163" t="s">
        <v>102</v>
      </c>
      <c r="J17" s="163" t="s">
        <v>103</v>
      </c>
      <c r="K17" s="163" t="s">
        <v>104</v>
      </c>
      <c r="L17" s="163" t="s">
        <v>106</v>
      </c>
      <c r="M17" s="163" t="s">
        <v>101</v>
      </c>
      <c r="N17" s="163" t="s">
        <v>107</v>
      </c>
      <c r="O17" s="163">
        <v>123</v>
      </c>
      <c r="P17" s="163">
        <v>1111111</v>
      </c>
      <c r="Q17" s="163">
        <v>2</v>
      </c>
      <c r="R17" s="163" t="s">
        <v>105</v>
      </c>
      <c r="S17" s="163" t="s">
        <v>104</v>
      </c>
      <c r="T17" s="177"/>
      <c r="U17" s="128"/>
      <c r="V17" s="133"/>
    </row>
    <row r="18" spans="2:22" x14ac:dyDescent="0.25">
      <c r="B18" s="94">
        <v>4</v>
      </c>
      <c r="C18" s="183" t="s">
        <v>197</v>
      </c>
      <c r="D18" s="163" t="str">
        <f>Setup!D17</f>
        <v>FIGI_BBG00FF56P88</v>
      </c>
      <c r="E18" s="164">
        <f t="shared" ca="1" si="0"/>
        <v>43269</v>
      </c>
      <c r="F18" s="164">
        <f t="shared" ca="1" si="0"/>
        <v>43269</v>
      </c>
      <c r="G18" s="177" t="s">
        <v>128</v>
      </c>
      <c r="H18" s="163">
        <v>25</v>
      </c>
      <c r="I18" s="163" t="s">
        <v>102</v>
      </c>
      <c r="J18" s="163" t="s">
        <v>103</v>
      </c>
      <c r="K18" s="163" t="s">
        <v>104</v>
      </c>
      <c r="L18" s="163" t="s">
        <v>106</v>
      </c>
      <c r="M18" s="163" t="s">
        <v>101</v>
      </c>
      <c r="N18" s="163" t="s">
        <v>107</v>
      </c>
      <c r="O18" s="163">
        <v>123</v>
      </c>
      <c r="P18" s="163">
        <v>1111111</v>
      </c>
      <c r="Q18" s="163">
        <v>2</v>
      </c>
      <c r="R18" s="163" t="s">
        <v>105</v>
      </c>
      <c r="S18" s="163" t="s">
        <v>104</v>
      </c>
      <c r="T18" s="177"/>
      <c r="U18" s="128"/>
      <c r="V18" s="133"/>
    </row>
    <row r="19" spans="2:22" x14ac:dyDescent="0.25">
      <c r="B19" s="94">
        <v>5</v>
      </c>
      <c r="C19" s="183" t="s">
        <v>198</v>
      </c>
      <c r="D19" s="163" t="str">
        <f>Setup!D18</f>
        <v>FIGI_BBG00DL98GS4</v>
      </c>
      <c r="E19" s="164">
        <f t="shared" ca="1" si="0"/>
        <v>43269</v>
      </c>
      <c r="F19" s="164">
        <f t="shared" ca="1" si="0"/>
        <v>43269</v>
      </c>
      <c r="G19" s="177" t="s">
        <v>128</v>
      </c>
      <c r="H19" s="163">
        <v>26</v>
      </c>
      <c r="I19" s="163" t="s">
        <v>102</v>
      </c>
      <c r="J19" s="163" t="s">
        <v>103</v>
      </c>
      <c r="K19" s="163" t="s">
        <v>104</v>
      </c>
      <c r="L19" s="163" t="s">
        <v>106</v>
      </c>
      <c r="M19" s="163" t="s">
        <v>101</v>
      </c>
      <c r="N19" s="163" t="s">
        <v>107</v>
      </c>
      <c r="O19" s="163">
        <v>123</v>
      </c>
      <c r="P19" s="163">
        <v>1111111</v>
      </c>
      <c r="Q19" s="163">
        <v>2</v>
      </c>
      <c r="R19" s="163" t="s">
        <v>105</v>
      </c>
      <c r="S19" s="163" t="s">
        <v>104</v>
      </c>
      <c r="T19" s="177"/>
      <c r="U19" s="128"/>
      <c r="V19" s="133"/>
    </row>
    <row r="20" spans="2:22" x14ac:dyDescent="0.25">
      <c r="B20" s="94">
        <v>6</v>
      </c>
      <c r="C20" s="183"/>
      <c r="D20" s="163"/>
      <c r="E20" s="164"/>
      <c r="F20" s="164"/>
      <c r="G20" s="177"/>
      <c r="H20" s="163"/>
      <c r="I20" s="163"/>
      <c r="J20" s="163"/>
      <c r="K20" s="163"/>
      <c r="L20" s="163"/>
      <c r="M20" s="163"/>
      <c r="N20" s="163"/>
      <c r="O20" s="163"/>
      <c r="P20" s="163"/>
      <c r="Q20" s="163"/>
      <c r="R20" s="163"/>
      <c r="S20" s="163"/>
      <c r="T20" s="177"/>
      <c r="U20" s="128"/>
      <c r="V20" s="133"/>
    </row>
    <row r="21" spans="2:22" x14ac:dyDescent="0.25">
      <c r="B21" s="94">
        <v>7</v>
      </c>
      <c r="C21" s="183"/>
      <c r="D21" s="163"/>
      <c r="E21" s="164"/>
      <c r="F21" s="164"/>
      <c r="G21" s="177"/>
      <c r="H21" s="163"/>
      <c r="I21" s="163"/>
      <c r="J21" s="163"/>
      <c r="K21" s="163"/>
      <c r="L21" s="163"/>
      <c r="M21" s="163"/>
      <c r="N21" s="163"/>
      <c r="O21" s="163"/>
      <c r="P21" s="163"/>
      <c r="Q21" s="163"/>
      <c r="R21" s="163"/>
      <c r="S21" s="163"/>
      <c r="T21" s="177"/>
      <c r="U21" s="128"/>
      <c r="V21" s="133"/>
    </row>
    <row r="22" spans="2:22" x14ac:dyDescent="0.25">
      <c r="B22" s="94">
        <v>8</v>
      </c>
      <c r="C22" s="183"/>
      <c r="D22" s="163"/>
      <c r="E22" s="164"/>
      <c r="F22" s="164"/>
      <c r="G22" s="177"/>
      <c r="H22" s="163"/>
      <c r="I22" s="163"/>
      <c r="J22" s="163"/>
      <c r="K22" s="163"/>
      <c r="L22" s="163"/>
      <c r="M22" s="163"/>
      <c r="N22" s="163"/>
      <c r="O22" s="163"/>
      <c r="P22" s="163"/>
      <c r="Q22" s="163"/>
      <c r="R22" s="163"/>
      <c r="S22" s="163"/>
      <c r="T22" s="177"/>
      <c r="U22" s="128"/>
      <c r="V22" s="133"/>
    </row>
    <row r="23" spans="2:22" x14ac:dyDescent="0.25">
      <c r="B23" s="94">
        <v>9</v>
      </c>
      <c r="C23" s="183"/>
      <c r="D23" s="163"/>
      <c r="E23" s="164"/>
      <c r="F23" s="164"/>
      <c r="G23" s="177"/>
      <c r="H23" s="163"/>
      <c r="I23" s="163"/>
      <c r="J23" s="163"/>
      <c r="K23" s="163"/>
      <c r="L23" s="163"/>
      <c r="M23" s="163"/>
      <c r="N23" s="163"/>
      <c r="O23" s="163"/>
      <c r="P23" s="163"/>
      <c r="Q23" s="163"/>
      <c r="R23" s="163"/>
      <c r="S23" s="163"/>
      <c r="T23" s="177"/>
      <c r="U23" s="128"/>
      <c r="V23" s="133"/>
    </row>
    <row r="24" spans="2:22" x14ac:dyDescent="0.25">
      <c r="B24" s="94">
        <v>10</v>
      </c>
      <c r="C24" s="183"/>
      <c r="D24" s="163"/>
      <c r="E24" s="164"/>
      <c r="F24" s="164"/>
      <c r="G24" s="177"/>
      <c r="H24" s="163"/>
      <c r="I24" s="163"/>
      <c r="J24" s="163"/>
      <c r="K24" s="163"/>
      <c r="L24" s="163"/>
      <c r="M24" s="163"/>
      <c r="N24" s="163"/>
      <c r="O24" s="163"/>
      <c r="P24" s="163"/>
      <c r="Q24" s="163"/>
      <c r="R24" s="163"/>
      <c r="S24" s="163"/>
      <c r="T24" s="177"/>
      <c r="U24" s="128"/>
      <c r="V24" s="133"/>
    </row>
    <row r="25" spans="2:22" x14ac:dyDescent="0.25">
      <c r="B25" s="94">
        <v>11</v>
      </c>
      <c r="C25" s="183"/>
      <c r="D25" s="163"/>
      <c r="E25" s="164"/>
      <c r="F25" s="164"/>
      <c r="G25" s="177"/>
      <c r="H25" s="163"/>
      <c r="I25" s="163"/>
      <c r="J25" s="163"/>
      <c r="K25" s="163"/>
      <c r="L25" s="163"/>
      <c r="M25" s="163"/>
      <c r="N25" s="163"/>
      <c r="O25" s="163"/>
      <c r="P25" s="163"/>
      <c r="Q25" s="163"/>
      <c r="R25" s="163"/>
      <c r="S25" s="163"/>
      <c r="T25" s="177"/>
      <c r="U25" s="128"/>
      <c r="V25" s="133"/>
    </row>
    <row r="26" spans="2:22" x14ac:dyDescent="0.25">
      <c r="B26" s="94">
        <v>12</v>
      </c>
      <c r="C26" s="183"/>
      <c r="D26" s="163"/>
      <c r="E26" s="164"/>
      <c r="F26" s="164"/>
      <c r="G26" s="177"/>
      <c r="H26" s="163"/>
      <c r="I26" s="163"/>
      <c r="J26" s="163"/>
      <c r="K26" s="163"/>
      <c r="L26" s="163"/>
      <c r="M26" s="163"/>
      <c r="N26" s="163"/>
      <c r="O26" s="163"/>
      <c r="P26" s="163"/>
      <c r="Q26" s="163"/>
      <c r="R26" s="163"/>
      <c r="S26" s="163"/>
      <c r="T26" s="177"/>
      <c r="U26" s="128"/>
      <c r="V26" s="133"/>
    </row>
    <row r="27" spans="2:22" x14ac:dyDescent="0.25">
      <c r="B27" s="94">
        <v>13</v>
      </c>
      <c r="C27" s="183"/>
      <c r="D27" s="163"/>
      <c r="E27" s="164"/>
      <c r="F27" s="164"/>
      <c r="G27" s="177"/>
      <c r="H27" s="163"/>
      <c r="I27" s="163"/>
      <c r="J27" s="163"/>
      <c r="K27" s="163"/>
      <c r="L27" s="163"/>
      <c r="M27" s="163"/>
      <c r="N27" s="163"/>
      <c r="O27" s="163"/>
      <c r="P27" s="163"/>
      <c r="Q27" s="163"/>
      <c r="R27" s="163"/>
      <c r="S27" s="163"/>
      <c r="T27" s="177"/>
      <c r="U27" s="128"/>
      <c r="V27" s="133"/>
    </row>
    <row r="28" spans="2:22" x14ac:dyDescent="0.25">
      <c r="B28" s="94">
        <v>14</v>
      </c>
      <c r="C28" s="183"/>
      <c r="D28" s="163"/>
      <c r="E28" s="164"/>
      <c r="F28" s="164"/>
      <c r="G28" s="177"/>
      <c r="H28" s="163"/>
      <c r="I28" s="163"/>
      <c r="J28" s="163"/>
      <c r="K28" s="163"/>
      <c r="L28" s="163"/>
      <c r="M28" s="163"/>
      <c r="N28" s="163"/>
      <c r="O28" s="163"/>
      <c r="P28" s="163"/>
      <c r="Q28" s="163"/>
      <c r="R28" s="163"/>
      <c r="S28" s="163"/>
      <c r="T28" s="177"/>
      <c r="U28" s="128"/>
      <c r="V28" s="133"/>
    </row>
    <row r="29" spans="2:22" x14ac:dyDescent="0.25">
      <c r="B29" s="94">
        <v>15</v>
      </c>
      <c r="C29" s="183"/>
      <c r="D29" s="163"/>
      <c r="E29" s="164"/>
      <c r="F29" s="164"/>
      <c r="G29" s="177"/>
      <c r="H29" s="163"/>
      <c r="I29" s="163"/>
      <c r="J29" s="163"/>
      <c r="K29" s="163"/>
      <c r="L29" s="163"/>
      <c r="M29" s="163"/>
      <c r="N29" s="163"/>
      <c r="O29" s="163"/>
      <c r="P29" s="163"/>
      <c r="Q29" s="163"/>
      <c r="R29" s="163"/>
      <c r="S29" s="163"/>
      <c r="T29" s="177"/>
      <c r="U29" s="128"/>
      <c r="V29" s="133"/>
    </row>
    <row r="30" spans="2:22" x14ac:dyDescent="0.25">
      <c r="B30" s="94">
        <v>16</v>
      </c>
      <c r="C30" s="183"/>
      <c r="D30" s="163"/>
      <c r="E30" s="164"/>
      <c r="F30" s="164"/>
      <c r="G30" s="177"/>
      <c r="H30" s="163"/>
      <c r="I30" s="163"/>
      <c r="J30" s="163"/>
      <c r="K30" s="163"/>
      <c r="L30" s="163"/>
      <c r="M30" s="163"/>
      <c r="N30" s="163"/>
      <c r="O30" s="163"/>
      <c r="P30" s="163"/>
      <c r="Q30" s="163"/>
      <c r="R30" s="163"/>
      <c r="S30" s="163"/>
      <c r="T30" s="177"/>
      <c r="U30" s="128"/>
      <c r="V30" s="133"/>
    </row>
    <row r="31" spans="2:22" x14ac:dyDescent="0.25">
      <c r="B31" s="94">
        <v>17</v>
      </c>
      <c r="C31" s="183"/>
      <c r="D31" s="163"/>
      <c r="E31" s="164"/>
      <c r="F31" s="164"/>
      <c r="G31" s="177"/>
      <c r="H31" s="163"/>
      <c r="I31" s="163"/>
      <c r="J31" s="163"/>
      <c r="K31" s="163"/>
      <c r="L31" s="163"/>
      <c r="M31" s="163"/>
      <c r="N31" s="163"/>
      <c r="O31" s="163"/>
      <c r="P31" s="163"/>
      <c r="Q31" s="163"/>
      <c r="R31" s="163"/>
      <c r="S31" s="163"/>
      <c r="T31" s="177"/>
      <c r="U31" s="128"/>
      <c r="V31" s="133"/>
    </row>
    <row r="32" spans="2:22" x14ac:dyDescent="0.25">
      <c r="B32" s="94">
        <v>18</v>
      </c>
      <c r="C32" s="183"/>
      <c r="D32" s="163"/>
      <c r="E32" s="164"/>
      <c r="F32" s="164"/>
      <c r="G32" s="177"/>
      <c r="H32" s="163"/>
      <c r="I32" s="163"/>
      <c r="J32" s="163"/>
      <c r="K32" s="163"/>
      <c r="L32" s="163"/>
      <c r="M32" s="163"/>
      <c r="N32" s="163"/>
      <c r="O32" s="163"/>
      <c r="P32" s="163"/>
      <c r="Q32" s="163"/>
      <c r="R32" s="163"/>
      <c r="S32" s="163"/>
      <c r="T32" s="177"/>
      <c r="U32" s="128"/>
      <c r="V32" s="133"/>
    </row>
    <row r="33" spans="2:22" x14ac:dyDescent="0.25">
      <c r="B33" s="94">
        <v>19</v>
      </c>
      <c r="C33" s="183"/>
      <c r="D33" s="163"/>
      <c r="E33" s="164"/>
      <c r="F33" s="164"/>
      <c r="G33" s="177"/>
      <c r="H33" s="163"/>
      <c r="I33" s="163"/>
      <c r="J33" s="163"/>
      <c r="K33" s="163"/>
      <c r="L33" s="163"/>
      <c r="M33" s="163"/>
      <c r="N33" s="163"/>
      <c r="O33" s="163"/>
      <c r="P33" s="163"/>
      <c r="Q33" s="163"/>
      <c r="R33" s="163"/>
      <c r="S33" s="163"/>
      <c r="T33" s="177"/>
      <c r="U33" s="128"/>
      <c r="V33" s="133"/>
    </row>
    <row r="34" spans="2:22" x14ac:dyDescent="0.25">
      <c r="B34" s="94">
        <v>20</v>
      </c>
      <c r="C34" s="183"/>
      <c r="D34" s="163"/>
      <c r="E34" s="164"/>
      <c r="F34" s="164"/>
      <c r="G34" s="177"/>
      <c r="H34" s="163"/>
      <c r="I34" s="163"/>
      <c r="J34" s="163"/>
      <c r="K34" s="163"/>
      <c r="L34" s="163"/>
      <c r="M34" s="163"/>
      <c r="N34" s="163"/>
      <c r="O34" s="163"/>
      <c r="P34" s="163"/>
      <c r="Q34" s="163"/>
      <c r="R34" s="163"/>
      <c r="S34" s="163"/>
      <c r="T34" s="177"/>
      <c r="U34" s="128"/>
      <c r="V34" s="133"/>
    </row>
    <row r="35" spans="2:22" x14ac:dyDescent="0.25">
      <c r="B35" s="94">
        <v>21</v>
      </c>
      <c r="C35" s="183"/>
      <c r="D35" s="163"/>
      <c r="E35" s="164"/>
      <c r="F35" s="164"/>
      <c r="G35" s="177"/>
      <c r="H35" s="163"/>
      <c r="I35" s="163"/>
      <c r="J35" s="163"/>
      <c r="K35" s="163"/>
      <c r="L35" s="163"/>
      <c r="M35" s="163"/>
      <c r="N35" s="163"/>
      <c r="O35" s="163"/>
      <c r="P35" s="163"/>
      <c r="Q35" s="163"/>
      <c r="R35" s="163"/>
      <c r="S35" s="163"/>
      <c r="T35" s="177"/>
      <c r="U35" s="128"/>
      <c r="V35" s="133"/>
    </row>
    <row r="36" spans="2:22" x14ac:dyDescent="0.25">
      <c r="B36" s="94">
        <v>22</v>
      </c>
      <c r="C36" s="183"/>
      <c r="D36" s="163"/>
      <c r="E36" s="164"/>
      <c r="F36" s="164"/>
      <c r="G36" s="177"/>
      <c r="H36" s="163"/>
      <c r="I36" s="163"/>
      <c r="J36" s="163"/>
      <c r="K36" s="163"/>
      <c r="L36" s="163"/>
      <c r="M36" s="163"/>
      <c r="N36" s="163"/>
      <c r="O36" s="163"/>
      <c r="P36" s="163"/>
      <c r="Q36" s="163"/>
      <c r="R36" s="163"/>
      <c r="S36" s="163"/>
      <c r="T36" s="177"/>
      <c r="U36" s="128"/>
      <c r="V36" s="133"/>
    </row>
    <row r="37" spans="2:22" x14ac:dyDescent="0.25">
      <c r="B37" s="94">
        <v>23</v>
      </c>
      <c r="C37" s="183"/>
      <c r="D37" s="163"/>
      <c r="E37" s="164"/>
      <c r="F37" s="164"/>
      <c r="G37" s="177"/>
      <c r="H37" s="163"/>
      <c r="I37" s="163"/>
      <c r="J37" s="163"/>
      <c r="K37" s="163"/>
      <c r="L37" s="163"/>
      <c r="M37" s="163"/>
      <c r="N37" s="163"/>
      <c r="O37" s="163"/>
      <c r="P37" s="163"/>
      <c r="Q37" s="163"/>
      <c r="R37" s="163"/>
      <c r="S37" s="163"/>
      <c r="T37" s="177"/>
      <c r="U37" s="128"/>
      <c r="V37" s="133"/>
    </row>
    <row r="38" spans="2:22" x14ac:dyDescent="0.25">
      <c r="B38" s="94">
        <v>24</v>
      </c>
      <c r="C38" s="183"/>
      <c r="D38" s="163"/>
      <c r="E38" s="164"/>
      <c r="F38" s="164"/>
      <c r="G38" s="177"/>
      <c r="H38" s="163"/>
      <c r="I38" s="163"/>
      <c r="J38" s="163"/>
      <c r="K38" s="163"/>
      <c r="L38" s="163"/>
      <c r="M38" s="163"/>
      <c r="N38" s="163"/>
      <c r="O38" s="163"/>
      <c r="P38" s="163"/>
      <c r="Q38" s="163"/>
      <c r="R38" s="163"/>
      <c r="S38" s="163"/>
      <c r="T38" s="177"/>
      <c r="U38" s="128"/>
      <c r="V38" s="133"/>
    </row>
    <row r="39" spans="2:22" x14ac:dyDescent="0.25">
      <c r="B39" s="94">
        <v>25</v>
      </c>
      <c r="C39" s="183"/>
      <c r="D39" s="163"/>
      <c r="E39" s="164"/>
      <c r="F39" s="164"/>
      <c r="G39" s="177"/>
      <c r="H39" s="163"/>
      <c r="I39" s="163"/>
      <c r="J39" s="163"/>
      <c r="K39" s="163"/>
      <c r="L39" s="163"/>
      <c r="M39" s="163"/>
      <c r="N39" s="163"/>
      <c r="O39" s="163"/>
      <c r="P39" s="163"/>
      <c r="Q39" s="163"/>
      <c r="R39" s="163"/>
      <c r="S39" s="163"/>
      <c r="T39" s="177"/>
      <c r="U39" s="128"/>
      <c r="V39" s="133"/>
    </row>
    <row r="40" spans="2:22" x14ac:dyDescent="0.25">
      <c r="B40" s="94">
        <v>26</v>
      </c>
      <c r="C40" s="183"/>
      <c r="D40" s="163"/>
      <c r="E40" s="164"/>
      <c r="F40" s="164"/>
      <c r="G40" s="177"/>
      <c r="H40" s="163"/>
      <c r="I40" s="163"/>
      <c r="J40" s="163"/>
      <c r="K40" s="163"/>
      <c r="L40" s="163"/>
      <c r="M40" s="163"/>
      <c r="N40" s="163"/>
      <c r="O40" s="163"/>
      <c r="P40" s="163"/>
      <c r="Q40" s="163"/>
      <c r="R40" s="163"/>
      <c r="S40" s="163"/>
      <c r="T40" s="177"/>
      <c r="U40" s="128"/>
      <c r="V40" s="133"/>
    </row>
    <row r="41" spans="2:22" x14ac:dyDescent="0.25">
      <c r="B41" s="94">
        <v>27</v>
      </c>
      <c r="C41" s="183"/>
      <c r="D41" s="163" t="e">
        <f>Setup!D40</f>
        <v>#N/A</v>
      </c>
      <c r="E41" s="164"/>
      <c r="F41" s="164"/>
      <c r="G41" s="177"/>
      <c r="H41" s="163"/>
      <c r="I41" s="163"/>
      <c r="J41" s="163"/>
      <c r="K41" s="163"/>
      <c r="L41" s="163"/>
      <c r="M41" s="163"/>
      <c r="N41" s="163"/>
      <c r="O41" s="163"/>
      <c r="P41" s="163"/>
      <c r="Q41" s="163"/>
      <c r="R41" s="163"/>
      <c r="S41" s="163"/>
      <c r="T41" s="177"/>
      <c r="U41" s="128"/>
      <c r="V41" s="133"/>
    </row>
    <row r="42" spans="2:22" x14ac:dyDescent="0.25">
      <c r="B42" s="94">
        <v>28</v>
      </c>
      <c r="C42" s="183"/>
      <c r="D42" s="163" t="e">
        <f>Setup!D41</f>
        <v>#N/A</v>
      </c>
      <c r="E42" s="164"/>
      <c r="F42" s="164"/>
      <c r="G42" s="177"/>
      <c r="H42" s="163"/>
      <c r="I42" s="163"/>
      <c r="J42" s="163"/>
      <c r="K42" s="163"/>
      <c r="L42" s="163"/>
      <c r="M42" s="163"/>
      <c r="N42" s="163"/>
      <c r="O42" s="163"/>
      <c r="P42" s="163"/>
      <c r="Q42" s="163"/>
      <c r="R42" s="163"/>
      <c r="S42" s="163"/>
      <c r="T42" s="177"/>
      <c r="U42" s="128"/>
      <c r="V42" s="133"/>
    </row>
    <row r="43" spans="2:22" x14ac:dyDescent="0.25">
      <c r="B43" s="94">
        <v>29</v>
      </c>
      <c r="C43" s="183"/>
      <c r="D43" s="163" t="e">
        <f>Setup!D42</f>
        <v>#N/A</v>
      </c>
      <c r="E43" s="164"/>
      <c r="F43" s="164"/>
      <c r="G43" s="177"/>
      <c r="H43" s="163"/>
      <c r="I43" s="163"/>
      <c r="J43" s="163"/>
      <c r="K43" s="163"/>
      <c r="L43" s="163"/>
      <c r="M43" s="163"/>
      <c r="N43" s="163"/>
      <c r="O43" s="163"/>
      <c r="P43" s="163"/>
      <c r="Q43" s="163"/>
      <c r="R43" s="163"/>
      <c r="S43" s="163"/>
      <c r="T43" s="177"/>
      <c r="U43" s="128"/>
      <c r="V43" s="133"/>
    </row>
    <row r="44" spans="2:22" x14ac:dyDescent="0.25">
      <c r="B44" s="92">
        <v>30</v>
      </c>
      <c r="C44" s="135"/>
      <c r="D44" s="165" t="e">
        <f>Setup!D43</f>
        <v>#N/A</v>
      </c>
      <c r="E44" s="136"/>
      <c r="F44" s="136"/>
      <c r="G44" s="137"/>
      <c r="H44" s="165"/>
      <c r="I44" s="165"/>
      <c r="J44" s="165"/>
      <c r="K44" s="165"/>
      <c r="L44" s="165"/>
      <c r="M44" s="165"/>
      <c r="N44" s="165"/>
      <c r="O44" s="165"/>
      <c r="P44" s="165"/>
      <c r="Q44" s="165"/>
      <c r="R44" s="165"/>
      <c r="S44" s="165"/>
      <c r="T44" s="137"/>
      <c r="U44" s="138"/>
      <c r="V44" s="134"/>
    </row>
    <row r="47" spans="2:22" ht="15" customHeight="1" x14ac:dyDescent="0.25">
      <c r="C47" s="254" t="s">
        <v>109</v>
      </c>
      <c r="D47" s="255"/>
      <c r="E47" s="255"/>
      <c r="F47" s="255"/>
      <c r="G47" s="255"/>
      <c r="H47" s="255"/>
      <c r="I47" s="255"/>
      <c r="J47" s="255"/>
      <c r="K47" s="255"/>
      <c r="L47" s="255"/>
      <c r="M47" s="255"/>
      <c r="N47" s="255"/>
      <c r="O47" s="255"/>
      <c r="P47" s="255"/>
      <c r="Q47" s="255"/>
      <c r="R47" s="255"/>
      <c r="S47" s="255"/>
      <c r="T47" s="255"/>
      <c r="U47" s="256"/>
    </row>
    <row r="48" spans="2:22" x14ac:dyDescent="0.25">
      <c r="C48" s="263"/>
      <c r="D48" s="264"/>
      <c r="E48" s="264"/>
      <c r="F48" s="264"/>
      <c r="G48" s="264"/>
      <c r="H48" s="264"/>
      <c r="I48" s="264"/>
      <c r="J48" s="264"/>
      <c r="K48" s="264"/>
      <c r="L48" s="264"/>
      <c r="M48" s="264"/>
      <c r="N48" s="264"/>
      <c r="O48" s="264"/>
      <c r="P48" s="264"/>
      <c r="Q48" s="264"/>
      <c r="R48" s="264"/>
      <c r="S48" s="264"/>
      <c r="T48" s="264"/>
      <c r="U48" s="265"/>
    </row>
    <row r="49" spans="3:21" x14ac:dyDescent="0.25">
      <c r="C49" s="263"/>
      <c r="D49" s="264"/>
      <c r="E49" s="264"/>
      <c r="F49" s="264"/>
      <c r="G49" s="264"/>
      <c r="H49" s="264"/>
      <c r="I49" s="264"/>
      <c r="J49" s="264"/>
      <c r="K49" s="264"/>
      <c r="L49" s="264"/>
      <c r="M49" s="264"/>
      <c r="N49" s="264"/>
      <c r="O49" s="264"/>
      <c r="P49" s="264"/>
      <c r="Q49" s="264"/>
      <c r="R49" s="264"/>
      <c r="S49" s="264"/>
      <c r="T49" s="264"/>
      <c r="U49" s="265"/>
    </row>
    <row r="50" spans="3:21" x14ac:dyDescent="0.25">
      <c r="C50" s="263"/>
      <c r="D50" s="264"/>
      <c r="E50" s="264"/>
      <c r="F50" s="264"/>
      <c r="G50" s="264"/>
      <c r="H50" s="264"/>
      <c r="I50" s="264"/>
      <c r="J50" s="264"/>
      <c r="K50" s="264"/>
      <c r="L50" s="264"/>
      <c r="M50" s="264"/>
      <c r="N50" s="264"/>
      <c r="O50" s="264"/>
      <c r="P50" s="264"/>
      <c r="Q50" s="264"/>
      <c r="R50" s="264"/>
      <c r="S50" s="264"/>
      <c r="T50" s="264"/>
      <c r="U50" s="265"/>
    </row>
    <row r="51" spans="3:21" x14ac:dyDescent="0.25">
      <c r="C51" s="257"/>
      <c r="D51" s="282"/>
      <c r="E51" s="282"/>
      <c r="F51" s="282"/>
      <c r="G51" s="282"/>
      <c r="H51" s="282"/>
      <c r="I51" s="282"/>
      <c r="J51" s="282"/>
      <c r="K51" s="282"/>
      <c r="L51" s="282"/>
      <c r="M51" s="282"/>
      <c r="N51" s="282"/>
      <c r="O51" s="282"/>
      <c r="P51" s="282"/>
      <c r="Q51" s="282"/>
      <c r="R51" s="282"/>
      <c r="S51" s="282"/>
      <c r="T51" s="282"/>
      <c r="U51" s="259"/>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tabSelected="1" zoomScale="80" zoomScaleNormal="80" workbookViewId="0">
      <selection activeCell="I28" sqref="I28"/>
    </sheetView>
  </sheetViews>
  <sheetFormatPr defaultRowHeight="15" x14ac:dyDescent="0.25"/>
  <cols>
    <col min="1" max="1" width="7.7109375" style="145" customWidth="1"/>
    <col min="2" max="2" width="3.5703125" style="145" customWidth="1"/>
    <col min="3" max="3" width="38.140625" style="145" customWidth="1"/>
    <col min="4" max="4" width="21.7109375" style="145" customWidth="1"/>
    <col min="5" max="5" width="13" style="107" customWidth="1"/>
    <col min="6" max="6" width="14.28515625" style="145" customWidth="1"/>
    <col min="7" max="16384" width="9.140625" style="145"/>
  </cols>
  <sheetData>
    <row r="7" spans="3:11" ht="15" customHeight="1" x14ac:dyDescent="0.25">
      <c r="C7" s="271" t="s">
        <v>223</v>
      </c>
      <c r="D7" s="273"/>
      <c r="E7" s="140"/>
    </row>
    <row r="8" spans="3:11" ht="15" customHeight="1" x14ac:dyDescent="0.25">
      <c r="C8" s="274"/>
      <c r="D8" s="276"/>
      <c r="E8" s="140"/>
    </row>
    <row r="9" spans="3:11" ht="15.75" x14ac:dyDescent="0.25">
      <c r="C9" s="91"/>
      <c r="D9" s="91"/>
      <c r="E9" s="108"/>
    </row>
    <row r="10" spans="3:11" ht="15" customHeight="1" x14ac:dyDescent="0.25">
      <c r="C10" s="312" t="s">
        <v>222</v>
      </c>
      <c r="D10" s="313"/>
      <c r="E10" s="314"/>
    </row>
    <row r="11" spans="3:11" ht="15" customHeight="1" x14ac:dyDescent="0.25">
      <c r="C11" s="315"/>
      <c r="D11" s="316"/>
      <c r="E11" s="317"/>
      <c r="H11" s="296" t="s">
        <v>221</v>
      </c>
      <c r="I11" s="297"/>
      <c r="J11" s="297"/>
      <c r="K11" s="298"/>
    </row>
    <row r="12" spans="3:11" x14ac:dyDescent="0.25">
      <c r="H12" s="299"/>
      <c r="I12" s="300"/>
      <c r="J12" s="300"/>
      <c r="K12" s="301"/>
    </row>
    <row r="13" spans="3:11" x14ac:dyDescent="0.25">
      <c r="C13" s="318" t="s">
        <v>220</v>
      </c>
      <c r="D13" s="319"/>
      <c r="E13" s="221" t="s">
        <v>219</v>
      </c>
      <c r="F13" s="132">
        <f ca="1">TODAY()</f>
        <v>43269</v>
      </c>
      <c r="H13" s="299"/>
      <c r="I13" s="300"/>
      <c r="J13" s="300"/>
      <c r="K13" s="301"/>
    </row>
    <row r="14" spans="3:11" x14ac:dyDescent="0.25">
      <c r="C14" s="220"/>
      <c r="D14" s="220"/>
      <c r="E14" s="219"/>
      <c r="F14" s="218"/>
      <c r="H14" s="302"/>
      <c r="I14" s="303"/>
      <c r="J14" s="303"/>
      <c r="K14" s="304"/>
    </row>
    <row r="15" spans="3:11" x14ac:dyDescent="0.25">
      <c r="C15" s="145" t="str">
        <f>_xll.fbnHoldings_Template()</f>
        <v>OK</v>
      </c>
    </row>
    <row r="16" spans="3:11" ht="15.75" thickBot="1" x14ac:dyDescent="0.3">
      <c r="C16" s="217" t="s">
        <v>9</v>
      </c>
      <c r="D16" s="97" t="s">
        <v>218</v>
      </c>
      <c r="E16" s="216" t="s">
        <v>217</v>
      </c>
      <c r="F16" s="215" t="s">
        <v>5</v>
      </c>
      <c r="G16" s="100"/>
    </row>
    <row r="17" spans="2:6" ht="15.75" thickTop="1" x14ac:dyDescent="0.25">
      <c r="B17" s="161">
        <v>1</v>
      </c>
      <c r="C17" s="183" t="str">
        <f>Setup!D14</f>
        <v>FIGI_BBG00JVK5K09</v>
      </c>
      <c r="D17" s="163">
        <v>1</v>
      </c>
      <c r="E17" s="214">
        <v>3</v>
      </c>
      <c r="F17" s="199"/>
    </row>
    <row r="18" spans="2:6" x14ac:dyDescent="0.25">
      <c r="B18" s="162">
        <v>2</v>
      </c>
      <c r="C18" s="183" t="str">
        <f>Setup!D15</f>
        <v>FIGI_BBG00DL94N94</v>
      </c>
      <c r="D18" s="163">
        <v>1</v>
      </c>
      <c r="E18" s="214">
        <v>3</v>
      </c>
      <c r="F18" s="213"/>
    </row>
    <row r="19" spans="2:6" x14ac:dyDescent="0.25">
      <c r="B19" s="162">
        <v>3</v>
      </c>
      <c r="C19" s="183" t="str">
        <f>Setup!D16</f>
        <v>FIGI_BBG00DL98GH6</v>
      </c>
      <c r="D19" s="163">
        <v>1</v>
      </c>
      <c r="E19" s="214">
        <v>3</v>
      </c>
      <c r="F19" s="213"/>
    </row>
    <row r="20" spans="2:6" x14ac:dyDescent="0.25">
      <c r="B20" s="162">
        <v>4</v>
      </c>
      <c r="C20" s="183" t="str">
        <f>Setup!D17</f>
        <v>FIGI_BBG00FF56P88</v>
      </c>
      <c r="D20" s="163">
        <v>1</v>
      </c>
      <c r="E20" s="214">
        <v>3</v>
      </c>
      <c r="F20" s="213"/>
    </row>
    <row r="21" spans="2:6" x14ac:dyDescent="0.25">
      <c r="B21" s="162">
        <v>5</v>
      </c>
      <c r="C21" s="183" t="str">
        <f>Setup!D18</f>
        <v>FIGI_BBG00DL98GS4</v>
      </c>
      <c r="D21" s="163">
        <v>1</v>
      </c>
      <c r="E21" s="214">
        <v>3</v>
      </c>
      <c r="F21" s="213"/>
    </row>
    <row r="22" spans="2:6" x14ac:dyDescent="0.25">
      <c r="B22" s="162">
        <v>6</v>
      </c>
      <c r="C22" s="183" t="str">
        <f>Setup!D19</f>
        <v>FIGI_BBG00FB4V5K7</v>
      </c>
      <c r="D22" s="163">
        <v>1</v>
      </c>
      <c r="E22" s="214">
        <v>3</v>
      </c>
      <c r="F22" s="213"/>
    </row>
    <row r="23" spans="2:6" x14ac:dyDescent="0.25">
      <c r="B23" s="162">
        <v>7</v>
      </c>
      <c r="C23" s="183" t="str">
        <f>Setup!D20</f>
        <v>FIGI_BBG00FJ5T5T0</v>
      </c>
      <c r="D23" s="163">
        <v>1</v>
      </c>
      <c r="E23" s="214">
        <v>3</v>
      </c>
      <c r="F23" s="213"/>
    </row>
    <row r="24" spans="2:6" x14ac:dyDescent="0.25">
      <c r="B24" s="162">
        <v>8</v>
      </c>
      <c r="C24" s="183" t="str">
        <f>Setup!D21</f>
        <v>FIGI_BBG00FJ5T5V7</v>
      </c>
      <c r="D24" s="163">
        <v>1</v>
      </c>
      <c r="E24" s="214">
        <v>3</v>
      </c>
      <c r="F24" s="213"/>
    </row>
    <row r="25" spans="2:6" x14ac:dyDescent="0.25">
      <c r="B25" s="162">
        <v>9</v>
      </c>
      <c r="C25" s="183" t="str">
        <f>Setup!D22</f>
        <v>FIGI_BBG001STKP50</v>
      </c>
      <c r="D25" s="163">
        <v>1</v>
      </c>
      <c r="E25" s="214">
        <v>3</v>
      </c>
      <c r="F25" s="213"/>
    </row>
    <row r="26" spans="2:6" x14ac:dyDescent="0.25">
      <c r="B26" s="162">
        <v>10</v>
      </c>
      <c r="C26" s="183" t="str">
        <f>Setup!D23</f>
        <v>FIGI_BBG001SRSD26</v>
      </c>
      <c r="D26" s="163">
        <v>1</v>
      </c>
      <c r="E26" s="214">
        <v>3</v>
      </c>
      <c r="F26" s="213"/>
    </row>
    <row r="27" spans="2:6" x14ac:dyDescent="0.25">
      <c r="B27" s="162">
        <v>11</v>
      </c>
      <c r="C27" s="183" t="str">
        <f>Setup!D24</f>
        <v>FIGI_BBG00H15BY93</v>
      </c>
      <c r="D27" s="163">
        <v>1</v>
      </c>
      <c r="E27" s="214">
        <v>3</v>
      </c>
      <c r="F27" s="213"/>
    </row>
    <row r="28" spans="2:6" x14ac:dyDescent="0.25">
      <c r="B28" s="162">
        <v>12</v>
      </c>
      <c r="C28" s="183" t="str">
        <f>Setup!D25</f>
        <v>FIGI_BBG00H15BYQ4</v>
      </c>
      <c r="D28" s="163">
        <v>1</v>
      </c>
      <c r="E28" s="214">
        <v>3</v>
      </c>
      <c r="F28" s="213"/>
    </row>
    <row r="29" spans="2:6" x14ac:dyDescent="0.25">
      <c r="B29" s="162">
        <v>13</v>
      </c>
      <c r="C29" s="183" t="str">
        <f>Setup!D26</f>
        <v>FIGI_BBG007V3VDV6</v>
      </c>
      <c r="D29" s="163">
        <v>1</v>
      </c>
      <c r="E29" s="214">
        <v>3</v>
      </c>
      <c r="F29" s="213"/>
    </row>
    <row r="30" spans="2:6" x14ac:dyDescent="0.25">
      <c r="B30" s="162">
        <v>14</v>
      </c>
      <c r="C30" s="183" t="str">
        <f>Setup!D27</f>
        <v>FIGI_BBG001T0SRJ5</v>
      </c>
      <c r="D30" s="163">
        <v>1</v>
      </c>
      <c r="E30" s="214">
        <v>3</v>
      </c>
      <c r="F30" s="213"/>
    </row>
    <row r="31" spans="2:6" x14ac:dyDescent="0.25">
      <c r="B31" s="162">
        <v>15</v>
      </c>
      <c r="C31" s="183" t="str">
        <f>Setup!D28</f>
        <v>FIGI_BBG001T1P853</v>
      </c>
      <c r="D31" s="163">
        <v>1</v>
      </c>
      <c r="E31" s="214">
        <v>3</v>
      </c>
      <c r="F31" s="213"/>
    </row>
    <row r="32" spans="2:6" x14ac:dyDescent="0.25">
      <c r="B32" s="162">
        <v>16</v>
      </c>
      <c r="C32" s="183" t="str">
        <f>Setup!D29</f>
        <v>FIGI_BBG001T8ZB05</v>
      </c>
      <c r="D32" s="163">
        <v>1</v>
      </c>
      <c r="E32" s="214">
        <v>3</v>
      </c>
      <c r="F32" s="213"/>
    </row>
    <row r="33" spans="2:6" x14ac:dyDescent="0.25">
      <c r="B33" s="162">
        <v>17</v>
      </c>
      <c r="C33" s="183" t="str">
        <f>Setup!D30</f>
        <v>FIGI_BBG001STMN80</v>
      </c>
      <c r="D33" s="163">
        <v>1</v>
      </c>
      <c r="E33" s="214">
        <v>3</v>
      </c>
      <c r="F33" s="213"/>
    </row>
    <row r="34" spans="2:6" x14ac:dyDescent="0.25">
      <c r="B34" s="162">
        <v>18</v>
      </c>
      <c r="C34" s="183" t="str">
        <f>Setup!D31</f>
        <v>FIGI_BBG001T8ZB14</v>
      </c>
      <c r="D34" s="163">
        <v>1</v>
      </c>
      <c r="E34" s="214">
        <v>3</v>
      </c>
      <c r="F34" s="213"/>
    </row>
    <row r="35" spans="2:6" x14ac:dyDescent="0.25">
      <c r="B35" s="162">
        <v>19</v>
      </c>
      <c r="C35" s="183" t="str">
        <f>Setup!D32</f>
        <v>FIGI_BBG001V0BND5</v>
      </c>
      <c r="D35" s="163">
        <v>1</v>
      </c>
      <c r="E35" s="214">
        <v>3</v>
      </c>
      <c r="F35" s="213"/>
    </row>
    <row r="36" spans="2:6" x14ac:dyDescent="0.25">
      <c r="B36" s="162">
        <v>20</v>
      </c>
      <c r="C36" s="183" t="str">
        <f>Setup!D33</f>
        <v>FIGI_BBG0037S1FF3</v>
      </c>
      <c r="D36" s="163">
        <v>1</v>
      </c>
      <c r="E36" s="214">
        <v>3</v>
      </c>
      <c r="F36" s="213"/>
    </row>
    <row r="37" spans="2:6" x14ac:dyDescent="0.25">
      <c r="B37" s="162">
        <v>21</v>
      </c>
      <c r="C37" s="183" t="str">
        <f>Setup!D34</f>
        <v>FIGI_BBG001TJMQW7</v>
      </c>
      <c r="D37" s="163">
        <v>1</v>
      </c>
      <c r="E37" s="214">
        <v>3</v>
      </c>
      <c r="F37" s="213"/>
    </row>
    <row r="38" spans="2:6" x14ac:dyDescent="0.25">
      <c r="B38" s="162">
        <v>22</v>
      </c>
      <c r="C38" s="183" t="str">
        <f>Setup!D35</f>
        <v>FIGI_BBG0034YPJH7</v>
      </c>
      <c r="D38" s="163">
        <v>1</v>
      </c>
      <c r="E38" s="214">
        <v>3</v>
      </c>
      <c r="F38" s="213"/>
    </row>
    <row r="39" spans="2:6" x14ac:dyDescent="0.25">
      <c r="B39" s="162">
        <v>23</v>
      </c>
      <c r="C39" s="183" t="str">
        <f>Setup!D36</f>
        <v>FIGI_BBG0034YQ817</v>
      </c>
      <c r="D39" s="163">
        <v>1</v>
      </c>
      <c r="E39" s="214">
        <v>3</v>
      </c>
      <c r="F39" s="213"/>
    </row>
    <row r="40" spans="2:6" x14ac:dyDescent="0.25">
      <c r="B40" s="162">
        <v>24</v>
      </c>
      <c r="C40" s="183" t="str">
        <f>Setup!D37</f>
        <v>FIGI_BBG004733G08</v>
      </c>
      <c r="D40" s="163">
        <v>1</v>
      </c>
      <c r="E40" s="214">
        <v>3</v>
      </c>
      <c r="F40" s="213"/>
    </row>
    <row r="41" spans="2:6" x14ac:dyDescent="0.25">
      <c r="B41" s="162">
        <v>25</v>
      </c>
      <c r="C41" s="183" t="str">
        <f>Setup!D38</f>
        <v>FIGI_BBG004XQG9G3</v>
      </c>
      <c r="D41" s="163">
        <v>1</v>
      </c>
      <c r="E41" s="214">
        <v>3</v>
      </c>
      <c r="F41" s="213"/>
    </row>
    <row r="42" spans="2:6" x14ac:dyDescent="0.25">
      <c r="B42" s="162">
        <v>26</v>
      </c>
      <c r="C42" s="183" t="str">
        <f>Setup!D39</f>
        <v>FIGI_BBG003BJ6K53</v>
      </c>
      <c r="D42" s="163">
        <v>1</v>
      </c>
      <c r="E42" s="214">
        <v>3</v>
      </c>
      <c r="F42" s="213"/>
    </row>
    <row r="43" spans="2:6" x14ac:dyDescent="0.25">
      <c r="B43" s="162">
        <v>27</v>
      </c>
      <c r="C43" s="183" t="e">
        <f>Setup!D40</f>
        <v>#N/A</v>
      </c>
      <c r="D43" s="163"/>
      <c r="E43" s="214"/>
      <c r="F43" s="213"/>
    </row>
    <row r="44" spans="2:6" x14ac:dyDescent="0.25">
      <c r="B44" s="162">
        <v>28</v>
      </c>
      <c r="C44" s="183" t="e">
        <f>Setup!D41</f>
        <v>#N/A</v>
      </c>
      <c r="D44" s="163"/>
      <c r="E44" s="214"/>
      <c r="F44" s="213"/>
    </row>
    <row r="45" spans="2:6" x14ac:dyDescent="0.25">
      <c r="B45" s="162">
        <v>29</v>
      </c>
      <c r="C45" s="183" t="e">
        <f>Setup!D42</f>
        <v>#N/A</v>
      </c>
      <c r="D45" s="163"/>
      <c r="E45" s="214"/>
      <c r="F45" s="213"/>
    </row>
    <row r="46" spans="2:6" x14ac:dyDescent="0.25">
      <c r="B46" s="160">
        <v>30</v>
      </c>
      <c r="C46" s="183" t="e">
        <f>Setup!D43</f>
        <v>#N/A</v>
      </c>
      <c r="D46" s="163"/>
      <c r="E46" s="214"/>
      <c r="F46" s="212"/>
    </row>
    <row r="49" spans="3:6" ht="15" customHeight="1" x14ac:dyDescent="0.25">
      <c r="C49" s="254" t="s">
        <v>216</v>
      </c>
      <c r="D49" s="255"/>
      <c r="E49" s="255"/>
      <c r="F49" s="256"/>
    </row>
    <row r="50" spans="3:6" x14ac:dyDescent="0.25">
      <c r="C50" s="263"/>
      <c r="D50" s="264"/>
      <c r="E50" s="264"/>
      <c r="F50" s="265"/>
    </row>
    <row r="51" spans="3:6" x14ac:dyDescent="0.25">
      <c r="C51" s="263"/>
      <c r="D51" s="264"/>
      <c r="E51" s="264"/>
      <c r="F51" s="265"/>
    </row>
    <row r="52" spans="3:6" x14ac:dyDescent="0.25">
      <c r="C52" s="263"/>
      <c r="D52" s="264"/>
      <c r="E52" s="264"/>
      <c r="F52" s="265"/>
    </row>
    <row r="53" spans="3:6" x14ac:dyDescent="0.25">
      <c r="C53" s="257"/>
      <c r="D53" s="282"/>
      <c r="E53" s="282"/>
      <c r="F53" s="259"/>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V29"/>
    </sheetView>
  </sheetViews>
  <sheetFormatPr defaultRowHeight="15" x14ac:dyDescent="0.25"/>
  <cols>
    <col min="3" max="3" width="40.7109375" bestFit="1" customWidth="1"/>
    <col min="4" max="4" width="21" bestFit="1" customWidth="1"/>
    <col min="5" max="5" width="12" style="102" bestFit="1" customWidth="1"/>
    <col min="6" max="6" width="17.28515625" style="102"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100" bestFit="1" customWidth="1"/>
    <col min="21" max="21" width="37.28515625" bestFit="1" customWidth="1"/>
    <col min="22" max="22" width="36.7109375" bestFit="1" customWidth="1"/>
  </cols>
  <sheetData>
    <row r="1" spans="1:22" x14ac:dyDescent="0.25">
      <c r="A1" s="104"/>
    </row>
    <row r="7" spans="1:22" ht="15" customHeight="1" x14ac:dyDescent="0.25">
      <c r="C7" s="271" t="s">
        <v>214</v>
      </c>
      <c r="D7" s="272"/>
      <c r="E7" s="272"/>
      <c r="F7" s="272"/>
      <c r="G7" s="272"/>
      <c r="H7" s="272"/>
      <c r="I7" s="272"/>
      <c r="J7" s="272"/>
      <c r="K7" s="272"/>
      <c r="L7" s="272"/>
      <c r="M7" s="272"/>
      <c r="N7" s="273"/>
      <c r="T7"/>
    </row>
    <row r="8" spans="1:22" ht="15" customHeight="1" x14ac:dyDescent="0.25">
      <c r="C8" s="274"/>
      <c r="D8" s="275"/>
      <c r="E8" s="275"/>
      <c r="F8" s="275"/>
      <c r="G8" s="275"/>
      <c r="H8" s="275"/>
      <c r="I8" s="275"/>
      <c r="J8" s="275"/>
      <c r="K8" s="275"/>
      <c r="L8" s="275"/>
      <c r="M8" s="275"/>
      <c r="N8" s="276"/>
      <c r="T8"/>
    </row>
    <row r="9" spans="1:22" ht="15.75" x14ac:dyDescent="0.25">
      <c r="C9" s="91"/>
      <c r="D9" s="91"/>
      <c r="E9" s="101"/>
      <c r="F9" s="101"/>
      <c r="G9" s="91"/>
      <c r="H9" s="91"/>
      <c r="I9" s="91"/>
      <c r="T9"/>
    </row>
    <row r="10" spans="1:22" ht="15.75" x14ac:dyDescent="0.25">
      <c r="C10" s="321" t="s">
        <v>110</v>
      </c>
      <c r="D10" s="322"/>
      <c r="E10" s="322"/>
      <c r="F10" s="323"/>
      <c r="G10" s="91"/>
      <c r="H10" s="328" t="s">
        <v>207</v>
      </c>
      <c r="I10" s="329"/>
      <c r="J10" s="329"/>
      <c r="K10" s="329"/>
      <c r="L10" s="329"/>
      <c r="M10" s="329"/>
      <c r="N10" s="330"/>
      <c r="T10"/>
    </row>
    <row r="11" spans="1:22" ht="15.75" x14ac:dyDescent="0.25">
      <c r="C11" s="91"/>
      <c r="D11" s="91"/>
      <c r="E11" s="101"/>
      <c r="F11" s="101"/>
      <c r="G11" s="91"/>
      <c r="H11" s="331"/>
      <c r="I11" s="332"/>
      <c r="J11" s="332"/>
      <c r="K11" s="332"/>
      <c r="L11" s="332"/>
      <c r="M11" s="332"/>
      <c r="N11" s="333"/>
      <c r="T11"/>
    </row>
    <row r="12" spans="1:22" x14ac:dyDescent="0.25">
      <c r="C12" s="305" t="s">
        <v>112</v>
      </c>
      <c r="D12" s="306"/>
      <c r="E12" s="306"/>
      <c r="F12" s="307"/>
      <c r="G12" s="320"/>
      <c r="H12" s="331"/>
      <c r="I12" s="332"/>
      <c r="J12" s="332"/>
      <c r="K12" s="332"/>
      <c r="L12" s="332"/>
      <c r="M12" s="332"/>
      <c r="N12" s="333"/>
      <c r="T12"/>
    </row>
    <row r="13" spans="1:22" x14ac:dyDescent="0.25">
      <c r="C13" s="324"/>
      <c r="D13" s="325"/>
      <c r="E13" s="325"/>
      <c r="F13" s="326"/>
      <c r="G13" s="320"/>
      <c r="H13" s="331"/>
      <c r="I13" s="332"/>
      <c r="J13" s="332"/>
      <c r="K13" s="332"/>
      <c r="L13" s="332"/>
      <c r="M13" s="332"/>
      <c r="N13" s="333"/>
      <c r="T13"/>
    </row>
    <row r="14" spans="1:22" x14ac:dyDescent="0.25">
      <c r="C14" s="308"/>
      <c r="D14" s="327"/>
      <c r="E14" s="327"/>
      <c r="F14" s="310"/>
      <c r="G14" s="139"/>
      <c r="H14" s="334"/>
      <c r="I14" s="335"/>
      <c r="J14" s="335"/>
      <c r="K14" s="335"/>
      <c r="L14" s="335"/>
      <c r="M14" s="335"/>
      <c r="N14" s="336"/>
      <c r="T14"/>
      <c r="V14" s="146"/>
    </row>
    <row r="15" spans="1:22" x14ac:dyDescent="0.25">
      <c r="G15" s="4"/>
      <c r="T15" s="147"/>
      <c r="U15" s="147"/>
      <c r="V15" s="146"/>
    </row>
    <row r="16" spans="1:22" x14ac:dyDescent="0.25">
      <c r="B16" s="147"/>
      <c r="C16" s="147"/>
      <c r="D16" s="147"/>
      <c r="E16" s="176"/>
      <c r="F16" s="176"/>
      <c r="G16" s="147"/>
      <c r="H16" s="147"/>
      <c r="I16" s="147"/>
      <c r="J16" s="147"/>
      <c r="K16" s="147"/>
      <c r="L16" s="147"/>
      <c r="M16" s="147"/>
      <c r="N16" s="147"/>
      <c r="O16" s="147"/>
      <c r="P16" s="147"/>
      <c r="Q16" s="147"/>
      <c r="R16" s="147"/>
      <c r="S16" s="147"/>
      <c r="T16" s="175"/>
      <c r="U16" s="147"/>
      <c r="V16" s="147"/>
    </row>
    <row r="17" spans="2:23" x14ac:dyDescent="0.25">
      <c r="B17" s="147"/>
      <c r="C17" s="175"/>
      <c r="D17" s="175"/>
      <c r="E17" s="175"/>
      <c r="F17" s="175"/>
      <c r="G17" s="175"/>
      <c r="H17" s="175"/>
      <c r="I17" s="175"/>
      <c r="J17" s="175"/>
      <c r="K17" s="175"/>
      <c r="L17" s="175"/>
      <c r="M17" s="175"/>
      <c r="N17" s="175"/>
      <c r="O17" s="175"/>
      <c r="P17" s="175"/>
      <c r="Q17" s="175"/>
      <c r="R17" s="175"/>
      <c r="S17" s="175"/>
      <c r="T17" s="184"/>
      <c r="U17" s="184"/>
      <c r="V17" s="184"/>
      <c r="W17" s="184"/>
    </row>
    <row r="18" spans="2:23" x14ac:dyDescent="0.25">
      <c r="B18" s="174"/>
      <c r="C18" s="175"/>
      <c r="D18" s="175"/>
      <c r="E18" s="175"/>
      <c r="F18" s="175"/>
      <c r="G18" s="175"/>
      <c r="H18" s="175"/>
      <c r="I18" s="175"/>
      <c r="J18" s="175"/>
      <c r="K18" s="175"/>
      <c r="L18" s="175"/>
      <c r="M18" s="175"/>
      <c r="N18" s="175"/>
      <c r="O18" s="175"/>
      <c r="P18" s="175"/>
      <c r="Q18" s="175"/>
      <c r="R18" s="175"/>
      <c r="S18" s="175"/>
      <c r="T18" s="184"/>
      <c r="U18" s="184"/>
      <c r="V18" s="184"/>
      <c r="W18" s="184"/>
    </row>
    <row r="19" spans="2:23" x14ac:dyDescent="0.25">
      <c r="B19" s="174"/>
      <c r="C19" s="175"/>
      <c r="D19" s="175"/>
      <c r="E19" s="175"/>
      <c r="F19" s="175"/>
      <c r="G19" s="175"/>
      <c r="H19" s="175"/>
      <c r="I19" s="175"/>
      <c r="J19" s="175"/>
      <c r="K19" s="175"/>
      <c r="L19" s="175"/>
      <c r="M19" s="175"/>
      <c r="N19" s="175"/>
      <c r="O19" s="175"/>
      <c r="P19" s="175"/>
      <c r="Q19" s="175"/>
      <c r="R19" s="175"/>
      <c r="S19" s="175"/>
      <c r="T19" s="184"/>
      <c r="U19" s="184"/>
      <c r="V19" s="184"/>
      <c r="W19" s="184"/>
    </row>
    <row r="20" spans="2:23" x14ac:dyDescent="0.25">
      <c r="B20" s="174"/>
      <c r="C20" s="175"/>
      <c r="D20" s="175"/>
      <c r="E20" s="175"/>
      <c r="F20" s="175"/>
      <c r="G20" s="175"/>
      <c r="H20" s="175"/>
      <c r="I20" s="175"/>
      <c r="J20" s="175"/>
      <c r="K20" s="175"/>
      <c r="L20" s="175"/>
      <c r="M20" s="175"/>
      <c r="N20" s="175"/>
      <c r="O20" s="175"/>
      <c r="P20" s="175"/>
      <c r="Q20" s="175"/>
      <c r="R20" s="175"/>
      <c r="S20" s="175"/>
      <c r="T20" s="184"/>
      <c r="U20" s="184"/>
      <c r="V20" s="184"/>
      <c r="W20" s="184"/>
    </row>
    <row r="21" spans="2:23" x14ac:dyDescent="0.25">
      <c r="B21" s="174"/>
      <c r="C21" s="175"/>
      <c r="D21" s="175"/>
      <c r="E21" s="175"/>
      <c r="F21" s="175"/>
      <c r="G21" s="175"/>
      <c r="H21" s="175"/>
      <c r="I21" s="175"/>
      <c r="J21" s="175"/>
      <c r="K21" s="175"/>
      <c r="L21" s="175"/>
      <c r="M21" s="175"/>
      <c r="N21" s="175"/>
      <c r="O21" s="175"/>
      <c r="P21" s="175"/>
      <c r="Q21" s="175"/>
      <c r="R21" s="175"/>
      <c r="S21" s="175"/>
      <c r="T21" s="184"/>
      <c r="U21" s="184"/>
      <c r="V21" s="184"/>
      <c r="W21" s="184"/>
    </row>
    <row r="22" spans="2:23" x14ac:dyDescent="0.25">
      <c r="B22" s="174"/>
      <c r="C22" s="175"/>
      <c r="D22" s="175"/>
      <c r="E22" s="175"/>
      <c r="F22" s="175"/>
      <c r="G22" s="175"/>
      <c r="H22" s="175"/>
      <c r="I22" s="175"/>
      <c r="J22" s="175"/>
      <c r="K22" s="175"/>
      <c r="L22" s="175"/>
      <c r="M22" s="175"/>
      <c r="N22" s="175"/>
      <c r="O22" s="175"/>
      <c r="P22" s="175"/>
      <c r="Q22" s="175"/>
      <c r="R22" s="175"/>
      <c r="S22" s="175"/>
      <c r="T22" s="184"/>
      <c r="U22" s="184"/>
      <c r="V22" s="184"/>
      <c r="W22" s="184"/>
    </row>
    <row r="23" spans="2:23" x14ac:dyDescent="0.25">
      <c r="B23" s="174"/>
      <c r="C23" s="175"/>
      <c r="D23" s="175"/>
      <c r="E23" s="175"/>
      <c r="F23" s="175"/>
      <c r="G23" s="175"/>
      <c r="H23" s="175"/>
      <c r="I23" s="175"/>
      <c r="J23" s="175"/>
      <c r="K23" s="175"/>
      <c r="L23" s="175"/>
      <c r="M23" s="175"/>
      <c r="N23" s="175"/>
      <c r="O23" s="175"/>
      <c r="P23" s="175"/>
      <c r="Q23" s="175"/>
      <c r="R23" s="175"/>
      <c r="S23" s="175"/>
      <c r="T23" s="184"/>
      <c r="U23" s="184"/>
      <c r="V23" s="184"/>
      <c r="W23" s="184"/>
    </row>
    <row r="24" spans="2:23" x14ac:dyDescent="0.25">
      <c r="B24" s="174"/>
      <c r="C24" s="175"/>
      <c r="D24" s="175"/>
      <c r="E24" s="175"/>
      <c r="F24" s="175"/>
      <c r="G24" s="175"/>
      <c r="H24" s="175"/>
      <c r="I24" s="175"/>
      <c r="J24" s="175"/>
      <c r="K24" s="175"/>
      <c r="L24" s="175"/>
      <c r="M24" s="175"/>
      <c r="N24" s="175"/>
      <c r="O24" s="175"/>
      <c r="P24" s="175"/>
      <c r="Q24" s="175"/>
      <c r="R24" s="175"/>
      <c r="S24" s="175"/>
      <c r="T24" s="184"/>
      <c r="U24" s="184"/>
      <c r="V24" s="184"/>
      <c r="W24" s="184"/>
    </row>
    <row r="25" spans="2:23" x14ac:dyDescent="0.25">
      <c r="B25" s="174"/>
      <c r="C25" s="175"/>
      <c r="D25" s="175"/>
      <c r="E25" s="175"/>
      <c r="F25" s="175"/>
      <c r="G25" s="175"/>
      <c r="H25" s="175"/>
      <c r="I25" s="175"/>
      <c r="J25" s="175"/>
      <c r="K25" s="175"/>
      <c r="L25" s="175"/>
      <c r="M25" s="175"/>
      <c r="N25" s="175"/>
      <c r="O25" s="175"/>
      <c r="P25" s="175"/>
      <c r="Q25" s="175"/>
      <c r="R25" s="175"/>
      <c r="S25" s="175"/>
      <c r="T25" s="184"/>
      <c r="U25" s="184"/>
      <c r="V25" s="184"/>
      <c r="W25" s="184"/>
    </row>
    <row r="26" spans="2:23" x14ac:dyDescent="0.25">
      <c r="B26" s="174"/>
      <c r="C26" s="175"/>
      <c r="D26" s="175"/>
      <c r="E26" s="175"/>
      <c r="F26" s="175"/>
      <c r="G26" s="175"/>
      <c r="H26" s="175"/>
      <c r="I26" s="175"/>
      <c r="J26" s="175"/>
      <c r="K26" s="175"/>
      <c r="L26" s="175"/>
      <c r="M26" s="175"/>
      <c r="N26" s="175"/>
      <c r="O26" s="175"/>
      <c r="P26" s="175"/>
      <c r="Q26" s="175"/>
      <c r="R26" s="175"/>
      <c r="S26" s="175"/>
      <c r="T26" s="184"/>
      <c r="U26" s="184"/>
      <c r="V26" s="184"/>
      <c r="W26" s="184"/>
    </row>
    <row r="27" spans="2:23" x14ac:dyDescent="0.25">
      <c r="B27" s="174"/>
      <c r="C27" s="175"/>
      <c r="D27" s="175"/>
      <c r="E27" s="175"/>
      <c r="F27" s="175"/>
      <c r="G27" s="175"/>
      <c r="H27" s="175"/>
      <c r="I27" s="175"/>
      <c r="J27" s="175"/>
      <c r="K27" s="175"/>
      <c r="L27" s="175"/>
      <c r="M27" s="175"/>
      <c r="N27" s="175"/>
      <c r="O27" s="175"/>
      <c r="P27" s="175"/>
      <c r="Q27" s="175"/>
      <c r="R27" s="175"/>
      <c r="S27" s="175"/>
      <c r="T27" s="184"/>
      <c r="U27" s="184"/>
      <c r="V27" s="184"/>
      <c r="W27" s="184"/>
    </row>
    <row r="28" spans="2:23" x14ac:dyDescent="0.25">
      <c r="B28" s="174"/>
      <c r="C28" s="175"/>
      <c r="D28" s="175"/>
      <c r="E28" s="175"/>
      <c r="F28" s="175"/>
      <c r="G28" s="175"/>
      <c r="H28" s="175"/>
      <c r="I28" s="175"/>
      <c r="J28" s="175"/>
      <c r="K28" s="175"/>
      <c r="L28" s="175"/>
      <c r="M28" s="175"/>
      <c r="N28" s="175"/>
      <c r="O28" s="175"/>
      <c r="P28" s="175"/>
      <c r="Q28" s="175"/>
      <c r="R28" s="175"/>
      <c r="S28" s="175"/>
      <c r="T28" s="184"/>
      <c r="U28" s="184"/>
      <c r="V28" s="184"/>
      <c r="W28" s="184"/>
    </row>
    <row r="29" spans="2:23" x14ac:dyDescent="0.25">
      <c r="B29" s="174"/>
      <c r="C29" s="147"/>
      <c r="D29" s="147"/>
      <c r="E29" s="147"/>
      <c r="F29" s="147"/>
      <c r="G29" s="147"/>
      <c r="H29" s="147"/>
      <c r="I29" s="147"/>
      <c r="J29" s="147"/>
      <c r="K29" s="147"/>
      <c r="L29" s="147"/>
      <c r="M29" s="147"/>
      <c r="N29" s="147"/>
      <c r="O29" s="147"/>
      <c r="P29" s="147"/>
      <c r="Q29" s="147"/>
      <c r="R29" s="147"/>
      <c r="S29" s="147"/>
      <c r="T29" s="184"/>
      <c r="U29" s="184"/>
      <c r="V29" s="184"/>
      <c r="W29" s="184"/>
    </row>
    <row r="30" spans="2:23" x14ac:dyDescent="0.25">
      <c r="B30" s="174"/>
      <c r="E30"/>
      <c r="F30"/>
      <c r="T30" s="184"/>
      <c r="U30" s="184"/>
      <c r="V30" s="184"/>
      <c r="W30" s="184"/>
    </row>
    <row r="31" spans="2:23" x14ac:dyDescent="0.25">
      <c r="B31" s="174"/>
      <c r="E31"/>
      <c r="F31"/>
      <c r="T31" s="184"/>
      <c r="U31" s="184"/>
      <c r="V31" s="184"/>
      <c r="W31" s="184"/>
    </row>
    <row r="32" spans="2:23" x14ac:dyDescent="0.25">
      <c r="B32" s="174"/>
      <c r="E32"/>
      <c r="F32"/>
      <c r="T32" s="184"/>
      <c r="U32" s="184"/>
      <c r="V32" s="184"/>
      <c r="W32" s="184"/>
    </row>
    <row r="33" spans="2:23" x14ac:dyDescent="0.25">
      <c r="B33" s="174"/>
      <c r="E33"/>
      <c r="F33"/>
      <c r="T33" s="184"/>
      <c r="U33" s="184"/>
      <c r="V33" s="184"/>
      <c r="W33" s="184"/>
    </row>
    <row r="34" spans="2:23" x14ac:dyDescent="0.25">
      <c r="B34" s="174"/>
      <c r="E34"/>
      <c r="F34"/>
      <c r="T34" s="184"/>
      <c r="U34" s="184"/>
      <c r="V34" s="184"/>
      <c r="W34" s="184"/>
    </row>
    <row r="35" spans="2:23" x14ac:dyDescent="0.25">
      <c r="B35" s="174"/>
      <c r="E35"/>
      <c r="F35"/>
      <c r="T35" s="184"/>
      <c r="U35" s="184"/>
      <c r="V35" s="184"/>
      <c r="W35" s="184"/>
    </row>
    <row r="36" spans="2:23" x14ac:dyDescent="0.25">
      <c r="B36" s="99"/>
      <c r="E36"/>
      <c r="F36"/>
      <c r="T36" s="184"/>
      <c r="U36" s="184"/>
      <c r="V36" s="184"/>
      <c r="W36" s="184"/>
    </row>
    <row r="37" spans="2:23" x14ac:dyDescent="0.25">
      <c r="B37" s="99"/>
      <c r="E37"/>
      <c r="F37"/>
      <c r="T37" s="184"/>
      <c r="U37" s="184"/>
      <c r="V37" s="184"/>
      <c r="W37" s="184"/>
    </row>
    <row r="38" spans="2:23" x14ac:dyDescent="0.25">
      <c r="B38" s="99"/>
      <c r="E38"/>
      <c r="F38"/>
      <c r="T38" s="184"/>
      <c r="U38" s="184"/>
      <c r="V38" s="184"/>
      <c r="W38" s="184"/>
    </row>
    <row r="39" spans="2:23" x14ac:dyDescent="0.25">
      <c r="B39" s="99"/>
      <c r="E39"/>
      <c r="F39"/>
      <c r="T39" s="184"/>
      <c r="U39" s="184"/>
      <c r="V39" s="184"/>
      <c r="W39" s="184"/>
    </row>
    <row r="40" spans="2:23" x14ac:dyDescent="0.25">
      <c r="B40" s="99"/>
      <c r="E40"/>
      <c r="F40"/>
      <c r="T40" s="184"/>
      <c r="U40" s="184"/>
      <c r="V40" s="184"/>
      <c r="W40" s="184"/>
    </row>
    <row r="41" spans="2:23" x14ac:dyDescent="0.25">
      <c r="B41" s="99"/>
      <c r="E41"/>
      <c r="F41"/>
      <c r="T41" s="184"/>
      <c r="U41" s="184"/>
      <c r="V41" s="184"/>
      <c r="W41" s="184"/>
    </row>
    <row r="42" spans="2:23" x14ac:dyDescent="0.25">
      <c r="B42" s="99"/>
      <c r="E42"/>
      <c r="F42"/>
      <c r="T42" s="184"/>
      <c r="U42" s="184"/>
      <c r="V42" s="184"/>
      <c r="W42" s="184"/>
    </row>
    <row r="43" spans="2:23" x14ac:dyDescent="0.25">
      <c r="B43" s="99"/>
      <c r="E43"/>
      <c r="F43"/>
      <c r="T43" s="184"/>
      <c r="U43" s="184"/>
      <c r="V43" s="184"/>
      <c r="W43" s="184"/>
    </row>
    <row r="44" spans="2:23" x14ac:dyDescent="0.25">
      <c r="B44" s="99"/>
      <c r="E44"/>
      <c r="F44"/>
      <c r="T44" s="184"/>
      <c r="U44" s="184"/>
      <c r="V44" s="184"/>
      <c r="W44" s="184"/>
    </row>
    <row r="45" spans="2:23" x14ac:dyDescent="0.25">
      <c r="B45" s="99"/>
      <c r="E45"/>
      <c r="F45"/>
      <c r="T45" s="184"/>
      <c r="U45" s="184"/>
      <c r="V45" s="184"/>
      <c r="W45" s="184"/>
    </row>
    <row r="46" spans="2:23" x14ac:dyDescent="0.25">
      <c r="B46" s="99"/>
      <c r="E46"/>
      <c r="F46"/>
      <c r="T46" s="184"/>
      <c r="U46" s="184"/>
      <c r="V46" s="184"/>
      <c r="W46" s="184"/>
    </row>
    <row r="47" spans="2:23" x14ac:dyDescent="0.25">
      <c r="B47" s="99"/>
      <c r="E47"/>
      <c r="F47"/>
      <c r="T47" s="184"/>
      <c r="U47" s="184"/>
      <c r="V47" s="184"/>
      <c r="W47" s="184"/>
    </row>
    <row r="48" spans="2:23" x14ac:dyDescent="0.25">
      <c r="C48" s="103"/>
      <c r="D48" s="103"/>
      <c r="E48" s="130"/>
      <c r="F48" s="130"/>
      <c r="G48" s="103"/>
      <c r="H48" s="103"/>
      <c r="I48" s="103"/>
      <c r="J48" s="103"/>
      <c r="K48" s="103"/>
      <c r="L48" s="103"/>
      <c r="M48" s="103"/>
      <c r="N48" s="103"/>
      <c r="O48" s="103"/>
      <c r="P48" s="103"/>
      <c r="Q48" s="103"/>
      <c r="R48" s="103"/>
      <c r="S48" s="103"/>
      <c r="T48" s="103"/>
      <c r="U48" s="103"/>
      <c r="V48" s="1"/>
    </row>
    <row r="49" spans="3:22" x14ac:dyDescent="0.25">
      <c r="C49" s="103"/>
      <c r="D49" s="103"/>
      <c r="E49" s="130"/>
      <c r="F49" s="130"/>
      <c r="G49" s="103"/>
      <c r="H49" s="103"/>
      <c r="I49" s="103"/>
      <c r="J49" s="103"/>
      <c r="K49" s="103"/>
      <c r="L49" s="103"/>
      <c r="M49" s="103"/>
      <c r="N49" s="103"/>
      <c r="O49" s="103"/>
      <c r="P49" s="103"/>
      <c r="Q49" s="103"/>
      <c r="R49" s="103"/>
      <c r="S49" s="103"/>
      <c r="T49" s="103"/>
      <c r="U49" s="103"/>
      <c r="V49" s="1"/>
    </row>
    <row r="50" spans="3:22" x14ac:dyDescent="0.25">
      <c r="C50" s="103"/>
      <c r="D50" s="103"/>
      <c r="E50" s="130"/>
      <c r="F50" s="130"/>
      <c r="G50" s="103"/>
      <c r="H50" s="103"/>
      <c r="I50" s="103"/>
      <c r="J50" s="103"/>
      <c r="K50" s="103"/>
      <c r="L50" s="103"/>
      <c r="M50" s="103"/>
      <c r="N50" s="103"/>
      <c r="O50" s="103"/>
      <c r="P50" s="103"/>
      <c r="Q50" s="103"/>
      <c r="R50" s="103"/>
      <c r="S50" s="103"/>
      <c r="T50" s="103"/>
      <c r="U50" s="103"/>
    </row>
    <row r="51" spans="3:22" x14ac:dyDescent="0.25">
      <c r="C51" s="103"/>
      <c r="D51" s="103"/>
      <c r="E51" s="130"/>
      <c r="F51" s="130"/>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17" sqref="B17:G43"/>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71" t="s">
        <v>213</v>
      </c>
      <c r="C7" s="272"/>
      <c r="D7" s="272"/>
      <c r="E7" s="272"/>
      <c r="F7" s="272"/>
      <c r="G7" s="272"/>
      <c r="H7" s="272"/>
      <c r="I7" s="272"/>
      <c r="J7" s="272"/>
      <c r="K7" s="272"/>
      <c r="L7" s="272"/>
      <c r="M7" s="273"/>
    </row>
    <row r="8" spans="1:20" x14ac:dyDescent="0.25">
      <c r="B8" s="274"/>
      <c r="C8" s="275"/>
      <c r="D8" s="275"/>
      <c r="E8" s="275"/>
      <c r="F8" s="275"/>
      <c r="G8" s="275"/>
      <c r="H8" s="275"/>
      <c r="I8" s="275"/>
      <c r="J8" s="275"/>
      <c r="K8" s="275"/>
      <c r="L8" s="275"/>
      <c r="M8" s="276"/>
    </row>
    <row r="9" spans="1:20" ht="15.75" x14ac:dyDescent="0.25">
      <c r="B9" s="91"/>
      <c r="C9" s="91"/>
      <c r="D9" s="101"/>
      <c r="E9" s="101"/>
      <c r="F9" s="91"/>
      <c r="G9" s="91"/>
      <c r="H9" s="101"/>
    </row>
    <row r="10" spans="1:20" ht="15.75" x14ac:dyDescent="0.25">
      <c r="B10" s="340" t="s">
        <v>192</v>
      </c>
      <c r="C10" s="341"/>
      <c r="D10" s="341"/>
      <c r="E10" s="341"/>
      <c r="F10" s="342"/>
      <c r="G10" s="91" t="s">
        <v>193</v>
      </c>
      <c r="H10" s="106">
        <f ca="1">TODAY()</f>
        <v>43269</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343" t="s">
        <v>202</v>
      </c>
      <c r="J12" s="344"/>
      <c r="K12" s="344"/>
      <c r="L12" s="344"/>
      <c r="M12" s="345"/>
      <c r="N12" s="140"/>
      <c r="O12" s="140"/>
    </row>
    <row r="13" spans="1:20" ht="15" customHeight="1" x14ac:dyDescent="0.25">
      <c r="B13" s="305" t="s">
        <v>112</v>
      </c>
      <c r="C13" s="306"/>
      <c r="D13" s="306"/>
      <c r="E13" s="307"/>
      <c r="F13" s="337"/>
      <c r="G13" s="338"/>
      <c r="H13" s="105"/>
      <c r="I13" s="346"/>
      <c r="J13" s="332"/>
      <c r="K13" s="332"/>
      <c r="L13" s="332"/>
      <c r="M13" s="347"/>
      <c r="N13" s="140"/>
      <c r="O13" s="140"/>
    </row>
    <row r="14" spans="1:20" ht="15" customHeight="1" x14ac:dyDescent="0.25">
      <c r="B14" s="308"/>
      <c r="C14" s="309"/>
      <c r="D14" s="309"/>
      <c r="E14" s="310"/>
      <c r="F14" s="337"/>
      <c r="G14" s="339"/>
      <c r="H14" s="105"/>
      <c r="I14" s="346"/>
      <c r="J14" s="332"/>
      <c r="K14" s="332"/>
      <c r="L14" s="332"/>
      <c r="M14" s="347"/>
      <c r="N14" s="140"/>
      <c r="O14" s="140"/>
    </row>
    <row r="15" spans="1:20" ht="15" customHeight="1" x14ac:dyDescent="0.25">
      <c r="D15" s="102"/>
      <c r="E15" s="102"/>
      <c r="F15" s="4"/>
      <c r="I15" s="346"/>
      <c r="J15" s="332"/>
      <c r="K15" s="332"/>
      <c r="L15" s="332"/>
      <c r="M15" s="347"/>
      <c r="N15" s="140"/>
      <c r="O15" s="140"/>
    </row>
    <row r="16" spans="1:20" ht="15" customHeight="1" x14ac:dyDescent="0.25">
      <c r="A16" s="147"/>
      <c r="B16" s="147"/>
      <c r="C16" s="147"/>
      <c r="D16" s="147"/>
      <c r="E16" s="147"/>
      <c r="F16" s="147"/>
      <c r="G16" s="147"/>
      <c r="H16" s="147"/>
      <c r="I16" s="348"/>
      <c r="J16" s="348"/>
      <c r="K16" s="348"/>
      <c r="L16" s="348"/>
      <c r="M16" s="349"/>
      <c r="N16" s="140"/>
      <c r="O16" s="140"/>
      <c r="P16" s="10"/>
      <c r="Q16" s="10"/>
      <c r="R16" s="10"/>
      <c r="S16" s="10"/>
      <c r="T16" s="10"/>
    </row>
    <row r="17" spans="1:20" x14ac:dyDescent="0.25">
      <c r="A17" s="147"/>
      <c r="B17" s="175"/>
      <c r="C17" s="175"/>
      <c r="D17" s="175"/>
      <c r="E17" s="175"/>
      <c r="F17" s="175"/>
      <c r="G17" s="175"/>
      <c r="N17" s="103"/>
      <c r="O17" s="103"/>
      <c r="P17" s="103"/>
      <c r="Q17" s="103"/>
      <c r="R17" s="103"/>
      <c r="S17" s="103"/>
      <c r="T17" s="103"/>
    </row>
    <row r="18" spans="1:20" x14ac:dyDescent="0.25">
      <c r="A18" s="147"/>
      <c r="B18" s="175"/>
      <c r="C18" s="175"/>
      <c r="D18" s="175"/>
      <c r="E18" s="175"/>
      <c r="F18" s="175"/>
      <c r="G18" s="175"/>
      <c r="N18" s="103"/>
      <c r="O18" s="103"/>
      <c r="P18" s="103"/>
      <c r="Q18" s="103"/>
      <c r="R18" s="103"/>
      <c r="S18" s="103"/>
      <c r="T18" s="103"/>
    </row>
    <row r="19" spans="1:20" x14ac:dyDescent="0.25">
      <c r="A19" s="147"/>
      <c r="B19" s="175"/>
      <c r="C19" s="175"/>
      <c r="D19" s="175"/>
      <c r="E19" s="175"/>
      <c r="F19" s="175"/>
      <c r="G19" s="175"/>
      <c r="N19" s="103"/>
      <c r="O19" s="103"/>
      <c r="P19" s="103"/>
      <c r="Q19" s="103"/>
      <c r="R19" s="103"/>
      <c r="S19" s="103"/>
      <c r="T19" s="103"/>
    </row>
    <row r="20" spans="1:20" x14ac:dyDescent="0.25">
      <c r="A20" s="147"/>
      <c r="B20" s="175"/>
      <c r="C20" s="175"/>
      <c r="D20" s="175"/>
      <c r="E20" s="175"/>
      <c r="F20" s="175"/>
      <c r="G20" s="175"/>
      <c r="N20" s="103"/>
      <c r="O20" s="103"/>
      <c r="P20" s="103"/>
      <c r="Q20" s="103"/>
      <c r="R20" s="103"/>
      <c r="S20" s="103"/>
      <c r="T20" s="103"/>
    </row>
    <row r="21" spans="1:20" x14ac:dyDescent="0.25">
      <c r="A21" s="147"/>
      <c r="B21" s="175"/>
      <c r="C21" s="175"/>
      <c r="D21" s="175"/>
      <c r="E21" s="175"/>
      <c r="F21" s="175"/>
      <c r="G21" s="175"/>
      <c r="N21" s="103"/>
      <c r="O21" s="103"/>
      <c r="P21" s="103"/>
      <c r="Q21" s="103"/>
      <c r="R21" s="103"/>
      <c r="S21" s="103"/>
      <c r="T21" s="103"/>
    </row>
    <row r="22" spans="1:20" x14ac:dyDescent="0.25">
      <c r="A22" s="147"/>
      <c r="B22" s="175"/>
      <c r="C22" s="175"/>
      <c r="D22" s="175"/>
      <c r="E22" s="175"/>
      <c r="F22" s="175"/>
      <c r="G22" s="175"/>
      <c r="N22" s="103"/>
      <c r="O22" s="103"/>
      <c r="P22" s="103"/>
      <c r="Q22" s="103"/>
      <c r="R22" s="103"/>
      <c r="S22" s="103"/>
      <c r="T22" s="103"/>
    </row>
    <row r="23" spans="1:20" x14ac:dyDescent="0.25">
      <c r="A23" s="147"/>
      <c r="B23" s="175"/>
      <c r="C23" s="175"/>
      <c r="D23" s="175"/>
      <c r="E23" s="175"/>
      <c r="F23" s="175"/>
      <c r="G23" s="175"/>
      <c r="N23" s="103"/>
      <c r="O23" s="103"/>
      <c r="P23" s="103"/>
      <c r="Q23" s="103"/>
      <c r="R23" s="103"/>
      <c r="S23" s="103"/>
      <c r="T23" s="103"/>
    </row>
    <row r="24" spans="1:20" x14ac:dyDescent="0.25">
      <c r="A24" s="147"/>
      <c r="B24" s="175"/>
      <c r="C24" s="175"/>
      <c r="D24" s="175"/>
      <c r="E24" s="175"/>
      <c r="F24" s="175"/>
      <c r="G24" s="175"/>
      <c r="N24" s="103"/>
      <c r="O24" s="103"/>
      <c r="P24" s="103"/>
      <c r="Q24" s="103"/>
      <c r="R24" s="103"/>
      <c r="S24" s="103"/>
      <c r="T24" s="103"/>
    </row>
    <row r="25" spans="1:20" x14ac:dyDescent="0.25">
      <c r="A25" s="147"/>
      <c r="B25" s="175"/>
      <c r="C25" s="175"/>
      <c r="D25" s="175"/>
      <c r="E25" s="175"/>
      <c r="F25" s="175"/>
      <c r="G25" s="175"/>
      <c r="N25" s="103"/>
      <c r="O25" s="103"/>
      <c r="P25" s="103"/>
      <c r="Q25" s="103"/>
      <c r="R25" s="103"/>
      <c r="S25" s="103"/>
      <c r="T25" s="103"/>
    </row>
    <row r="26" spans="1:20" x14ac:dyDescent="0.25">
      <c r="A26" s="147"/>
      <c r="B26" s="175"/>
      <c r="C26" s="175"/>
      <c r="D26" s="175"/>
      <c r="E26" s="175"/>
      <c r="F26" s="175"/>
      <c r="G26" s="175"/>
      <c r="N26" s="103"/>
      <c r="O26" s="103"/>
      <c r="P26" s="103"/>
      <c r="Q26" s="103"/>
      <c r="R26" s="103"/>
      <c r="S26" s="103"/>
      <c r="T26" s="103"/>
    </row>
    <row r="27" spans="1:20" x14ac:dyDescent="0.25">
      <c r="A27" s="147"/>
      <c r="B27" s="175"/>
      <c r="C27" s="175"/>
      <c r="D27" s="175"/>
      <c r="E27" s="175"/>
      <c r="F27" s="175"/>
      <c r="G27" s="175"/>
      <c r="N27" s="103"/>
      <c r="O27" s="103"/>
      <c r="P27" s="103"/>
      <c r="Q27" s="103"/>
      <c r="R27" s="103"/>
      <c r="S27" s="103"/>
      <c r="T27" s="103"/>
    </row>
    <row r="28" spans="1:20" x14ac:dyDescent="0.25">
      <c r="A28" s="145"/>
      <c r="B28" s="175"/>
      <c r="C28" s="175"/>
      <c r="D28" s="175"/>
      <c r="E28" s="175"/>
      <c r="F28" s="175"/>
      <c r="G28" s="175"/>
      <c r="N28" s="103"/>
      <c r="O28" s="103"/>
      <c r="P28" s="103"/>
      <c r="Q28" s="103"/>
      <c r="R28" s="103"/>
      <c r="S28" s="103"/>
      <c r="T28" s="103"/>
    </row>
    <row r="29" spans="1:20" x14ac:dyDescent="0.25">
      <c r="A29" s="145"/>
      <c r="B29" s="175"/>
      <c r="C29" s="175"/>
      <c r="D29" s="175"/>
      <c r="E29" s="175"/>
      <c r="F29" s="175"/>
      <c r="G29" s="175"/>
      <c r="N29" s="103"/>
      <c r="O29" s="103"/>
      <c r="P29" s="103"/>
      <c r="Q29" s="103"/>
      <c r="R29" s="103"/>
      <c r="S29" s="103"/>
      <c r="T29" s="103"/>
    </row>
    <row r="30" spans="1:20" x14ac:dyDescent="0.25">
      <c r="A30" s="145"/>
      <c r="B30" s="175"/>
      <c r="C30" s="175"/>
      <c r="D30" s="175"/>
      <c r="E30" s="175"/>
      <c r="F30" s="175"/>
      <c r="G30" s="175"/>
      <c r="N30" s="103"/>
      <c r="O30" s="103"/>
      <c r="P30" s="103"/>
      <c r="Q30" s="103"/>
      <c r="R30" s="103"/>
      <c r="S30" s="103"/>
      <c r="T30" s="103"/>
    </row>
    <row r="31" spans="1:20" x14ac:dyDescent="0.25">
      <c r="A31" s="145"/>
      <c r="B31" s="175"/>
      <c r="C31" s="175"/>
      <c r="D31" s="175"/>
      <c r="E31" s="175"/>
      <c r="F31" s="175"/>
      <c r="G31" s="175"/>
      <c r="N31" s="103"/>
      <c r="O31" s="103"/>
      <c r="P31" s="103"/>
      <c r="Q31" s="103"/>
      <c r="R31" s="103"/>
      <c r="S31" s="103"/>
      <c r="T31" s="103"/>
    </row>
    <row r="32" spans="1:20" x14ac:dyDescent="0.25">
      <c r="A32" s="145"/>
      <c r="B32" s="175"/>
      <c r="C32" s="175"/>
      <c r="D32" s="175"/>
      <c r="E32" s="175"/>
      <c r="F32" s="175"/>
      <c r="G32" s="175"/>
      <c r="H32" s="145"/>
      <c r="I32" s="145"/>
      <c r="J32" s="103"/>
      <c r="K32" s="103"/>
      <c r="L32" s="103"/>
      <c r="M32" s="103"/>
      <c r="N32" s="103"/>
      <c r="O32" s="103"/>
      <c r="P32" s="103"/>
      <c r="Q32" s="103"/>
      <c r="R32" s="103"/>
      <c r="S32" s="103"/>
      <c r="T32" s="103"/>
    </row>
    <row r="33" spans="1:20" x14ac:dyDescent="0.25">
      <c r="A33" s="145"/>
      <c r="B33" s="175"/>
      <c r="C33" s="175"/>
      <c r="D33" s="175"/>
      <c r="E33" s="175"/>
      <c r="F33" s="175"/>
      <c r="G33" s="175"/>
      <c r="H33" s="145"/>
      <c r="I33" s="145"/>
      <c r="J33" s="103"/>
      <c r="K33" s="103"/>
      <c r="L33" s="103"/>
      <c r="M33" s="103"/>
      <c r="N33" s="103"/>
      <c r="O33" s="103"/>
      <c r="P33" s="103"/>
      <c r="Q33" s="103"/>
      <c r="R33" s="103"/>
      <c r="S33" s="103"/>
      <c r="T33" s="103"/>
    </row>
    <row r="34" spans="1:20" x14ac:dyDescent="0.25">
      <c r="A34" s="145"/>
      <c r="B34" s="175"/>
      <c r="C34" s="175"/>
      <c r="D34" s="175"/>
      <c r="E34" s="175"/>
      <c r="F34" s="175"/>
      <c r="G34" s="175"/>
      <c r="H34" s="145"/>
      <c r="I34" s="145"/>
      <c r="J34" s="103"/>
      <c r="K34" s="103"/>
      <c r="L34" s="103"/>
      <c r="M34" s="103"/>
      <c r="N34" s="103"/>
      <c r="O34" s="103"/>
      <c r="P34" s="103"/>
      <c r="Q34" s="103"/>
      <c r="R34" s="103"/>
      <c r="S34" s="103"/>
      <c r="T34" s="103"/>
    </row>
    <row r="35" spans="1:20" x14ac:dyDescent="0.25">
      <c r="A35" s="145"/>
      <c r="B35" s="175"/>
      <c r="C35" s="175"/>
      <c r="D35" s="175"/>
      <c r="E35" s="175"/>
      <c r="F35" s="175"/>
      <c r="G35" s="175"/>
      <c r="H35" s="145"/>
      <c r="I35" s="145"/>
      <c r="J35" s="103"/>
      <c r="K35" s="103"/>
      <c r="L35" s="103"/>
      <c r="M35" s="103"/>
      <c r="N35" s="103"/>
      <c r="O35" s="103"/>
      <c r="P35" s="103"/>
      <c r="Q35" s="103"/>
      <c r="R35" s="103"/>
      <c r="S35" s="103"/>
      <c r="T35" s="103"/>
    </row>
    <row r="36" spans="1:20" x14ac:dyDescent="0.25">
      <c r="A36" s="145"/>
      <c r="B36" s="175"/>
      <c r="C36" s="175"/>
      <c r="D36" s="175"/>
      <c r="E36" s="175"/>
      <c r="F36" s="175"/>
      <c r="G36" s="175"/>
      <c r="H36" s="145"/>
      <c r="I36" s="145"/>
      <c r="J36" s="103"/>
      <c r="K36" s="103"/>
      <c r="L36" s="103"/>
      <c r="M36" s="103"/>
      <c r="N36" s="103"/>
      <c r="O36" s="103"/>
      <c r="P36" s="103"/>
      <c r="Q36" s="103"/>
      <c r="R36" s="103"/>
      <c r="S36" s="103"/>
      <c r="T36" s="103"/>
    </row>
    <row r="37" spans="1:20" x14ac:dyDescent="0.25">
      <c r="A37" s="145"/>
      <c r="B37" s="175"/>
      <c r="C37" s="175"/>
      <c r="D37" s="175"/>
      <c r="E37" s="175"/>
      <c r="F37" s="175"/>
      <c r="G37" s="175"/>
      <c r="H37" s="145"/>
      <c r="I37" s="145"/>
      <c r="J37" s="103"/>
      <c r="K37" s="103"/>
      <c r="L37" s="103"/>
      <c r="M37" s="103"/>
      <c r="N37" s="103"/>
      <c r="O37" s="103"/>
      <c r="P37" s="103"/>
      <c r="Q37" s="103"/>
      <c r="R37" s="103"/>
      <c r="S37" s="103"/>
      <c r="T37" s="103"/>
    </row>
    <row r="38" spans="1:20" x14ac:dyDescent="0.25">
      <c r="A38" s="145"/>
      <c r="B38" s="175"/>
      <c r="C38" s="175"/>
      <c r="D38" s="175"/>
      <c r="E38" s="175"/>
      <c r="F38" s="175"/>
      <c r="G38" s="175"/>
      <c r="H38" s="145"/>
      <c r="I38" s="145"/>
      <c r="J38" s="103"/>
      <c r="K38" s="103"/>
      <c r="L38" s="103"/>
      <c r="M38" s="103"/>
      <c r="N38" s="103"/>
      <c r="O38" s="103"/>
      <c r="P38" s="103"/>
      <c r="Q38" s="103"/>
      <c r="R38" s="103"/>
      <c r="S38" s="103"/>
      <c r="T38" s="103"/>
    </row>
    <row r="39" spans="1:20" x14ac:dyDescent="0.25">
      <c r="A39" s="145"/>
      <c r="B39" s="175"/>
      <c r="C39" s="175"/>
      <c r="D39" s="175"/>
      <c r="E39" s="175"/>
      <c r="F39" s="175"/>
      <c r="G39" s="175"/>
      <c r="H39" s="145"/>
      <c r="I39" s="145"/>
      <c r="J39" s="103"/>
      <c r="K39" s="103"/>
      <c r="L39" s="103"/>
      <c r="M39" s="103"/>
      <c r="N39" s="103"/>
      <c r="O39" s="103"/>
      <c r="P39" s="103"/>
      <c r="Q39" s="103"/>
      <c r="R39" s="103"/>
      <c r="S39" s="103"/>
      <c r="T39" s="103"/>
    </row>
    <row r="40" spans="1:20" x14ac:dyDescent="0.25">
      <c r="A40" s="145"/>
      <c r="B40" s="175"/>
      <c r="C40" s="175"/>
      <c r="D40" s="175"/>
      <c r="E40" s="175"/>
      <c r="F40" s="175"/>
      <c r="G40" s="175"/>
      <c r="H40" s="145"/>
      <c r="I40" s="145"/>
      <c r="J40" s="103"/>
      <c r="K40" s="103"/>
      <c r="L40" s="103"/>
      <c r="M40" s="103"/>
      <c r="N40" s="103"/>
      <c r="O40" s="103"/>
      <c r="P40" s="103"/>
      <c r="Q40" s="103"/>
      <c r="R40" s="103"/>
      <c r="S40" s="103"/>
      <c r="T40" s="103"/>
    </row>
    <row r="41" spans="1:20" x14ac:dyDescent="0.25">
      <c r="A41" s="145"/>
      <c r="B41" s="175"/>
      <c r="C41" s="175"/>
      <c r="D41" s="175"/>
      <c r="E41" s="175"/>
      <c r="F41" s="175"/>
      <c r="G41" s="175"/>
      <c r="H41" s="145"/>
      <c r="I41" s="145"/>
      <c r="J41" s="103"/>
      <c r="K41" s="103"/>
      <c r="L41" s="103"/>
      <c r="M41" s="103"/>
      <c r="N41" s="103"/>
      <c r="O41" s="103"/>
      <c r="P41" s="103"/>
      <c r="Q41" s="103"/>
      <c r="R41" s="103"/>
      <c r="S41" s="103"/>
      <c r="T41" s="103"/>
    </row>
    <row r="42" spans="1:20" x14ac:dyDescent="0.25">
      <c r="A42" s="145"/>
      <c r="B42" s="175"/>
      <c r="C42" s="175"/>
      <c r="D42" s="175"/>
      <c r="E42" s="175"/>
      <c r="F42" s="175"/>
      <c r="G42" s="175"/>
      <c r="H42" s="145"/>
      <c r="I42" s="145"/>
      <c r="J42" s="103"/>
      <c r="K42" s="103"/>
      <c r="L42" s="103"/>
      <c r="M42" s="103"/>
      <c r="N42" s="103"/>
      <c r="O42" s="103"/>
      <c r="P42" s="103"/>
      <c r="Q42" s="103"/>
      <c r="R42" s="103"/>
      <c r="S42" s="103"/>
      <c r="T42" s="103"/>
    </row>
    <row r="43" spans="1:20" x14ac:dyDescent="0.25">
      <c r="A43" s="145"/>
      <c r="B43" s="175"/>
      <c r="C43" s="175"/>
      <c r="D43" s="175"/>
      <c r="E43" s="175"/>
      <c r="F43" s="175"/>
      <c r="G43" s="175"/>
      <c r="H43" s="145"/>
      <c r="I43" s="145"/>
      <c r="J43" s="103"/>
      <c r="K43" s="103"/>
      <c r="L43" s="103"/>
      <c r="M43" s="103"/>
      <c r="N43" s="103"/>
      <c r="O43" s="103"/>
      <c r="P43" s="103"/>
      <c r="Q43" s="103"/>
      <c r="R43" s="103"/>
      <c r="S43" s="103"/>
      <c r="T43" s="103"/>
    </row>
    <row r="44" spans="1:20" x14ac:dyDescent="0.25">
      <c r="A44" s="145"/>
      <c r="B44" s="145"/>
      <c r="C44" s="145"/>
      <c r="D44" s="145"/>
      <c r="E44" s="145"/>
      <c r="F44" s="145"/>
      <c r="G44" s="145"/>
      <c r="H44" s="145"/>
      <c r="I44" s="145"/>
      <c r="J44" s="103"/>
      <c r="K44" s="103"/>
      <c r="L44" s="103"/>
      <c r="M44" s="103"/>
      <c r="N44" s="103"/>
      <c r="O44" s="103"/>
      <c r="P44" s="103"/>
      <c r="Q44" s="103"/>
      <c r="R44" s="103"/>
      <c r="S44" s="103"/>
      <c r="T44" s="103"/>
    </row>
    <row r="45" spans="1:20" x14ac:dyDescent="0.25">
      <c r="A45" s="145"/>
      <c r="B45" s="145"/>
      <c r="C45" s="145"/>
      <c r="D45" s="145"/>
      <c r="E45" s="145"/>
      <c r="F45" s="145"/>
      <c r="G45" s="145"/>
      <c r="H45" s="145"/>
      <c r="I45" s="145"/>
      <c r="J45" s="103"/>
      <c r="K45" s="103"/>
      <c r="L45" s="103"/>
      <c r="M45" s="103"/>
      <c r="N45" s="103"/>
      <c r="O45" s="103"/>
      <c r="P45" s="103"/>
      <c r="Q45" s="103"/>
      <c r="R45" s="103"/>
      <c r="S45" s="103"/>
      <c r="T45" s="103"/>
    </row>
    <row r="46" spans="1:20" x14ac:dyDescent="0.25">
      <c r="A46" s="145"/>
      <c r="B46" s="145"/>
      <c r="C46" s="145"/>
      <c r="D46" s="145"/>
      <c r="E46" s="145"/>
      <c r="F46" s="145"/>
      <c r="G46" s="145"/>
      <c r="H46" s="145"/>
      <c r="I46" s="145"/>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N34" sqref="N34"/>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107"/>
    </row>
    <row r="3" spans="3:16" x14ac:dyDescent="0.25">
      <c r="E3" s="107"/>
    </row>
    <row r="4" spans="3:16" x14ac:dyDescent="0.25">
      <c r="E4" s="107"/>
    </row>
    <row r="5" spans="3:16" x14ac:dyDescent="0.25">
      <c r="E5" s="107"/>
    </row>
    <row r="6" spans="3:16" x14ac:dyDescent="0.25">
      <c r="E6" s="107"/>
      <c r="K6" s="25"/>
      <c r="L6" s="25"/>
      <c r="M6" s="25"/>
      <c r="N6" s="25"/>
      <c r="O6" s="25"/>
      <c r="P6" s="25"/>
    </row>
    <row r="7" spans="3:16" ht="15" customHeight="1" x14ac:dyDescent="0.25">
      <c r="C7" s="343" t="s">
        <v>241</v>
      </c>
      <c r="D7" s="344"/>
      <c r="E7" s="344"/>
      <c r="F7" s="344"/>
      <c r="G7" s="344"/>
      <c r="H7" s="344"/>
      <c r="I7" s="344"/>
      <c r="J7" s="345"/>
      <c r="K7" s="129"/>
      <c r="L7" s="129"/>
      <c r="M7" s="129"/>
      <c r="N7" s="129"/>
      <c r="O7" s="129"/>
      <c r="P7" s="25"/>
    </row>
    <row r="8" spans="3:16" ht="15" customHeight="1" x14ac:dyDescent="0.25">
      <c r="C8" s="364"/>
      <c r="D8" s="348"/>
      <c r="E8" s="348"/>
      <c r="F8" s="348"/>
      <c r="G8" s="348"/>
      <c r="H8" s="348"/>
      <c r="I8" s="348"/>
      <c r="J8" s="349"/>
      <c r="K8" s="129"/>
      <c r="L8" s="129"/>
      <c r="M8" s="129"/>
      <c r="N8" s="129"/>
      <c r="O8" s="129"/>
      <c r="P8" s="25"/>
    </row>
    <row r="9" spans="3:16" ht="15.75" customHeight="1" x14ac:dyDescent="0.25">
      <c r="C9" s="251"/>
      <c r="D9" s="251"/>
      <c r="E9" s="251"/>
      <c r="F9" s="251"/>
      <c r="G9" s="251"/>
      <c r="H9" s="251"/>
      <c r="I9" s="251"/>
      <c r="J9" s="251"/>
      <c r="K9" s="25"/>
      <c r="L9" s="25"/>
      <c r="M9" s="25"/>
      <c r="N9" s="25"/>
      <c r="O9" s="25"/>
      <c r="P9" s="25"/>
    </row>
    <row r="10" spans="3:16" ht="15.75" x14ac:dyDescent="0.25">
      <c r="C10" s="321" t="s">
        <v>242</v>
      </c>
      <c r="D10" s="322"/>
      <c r="E10" s="322"/>
      <c r="F10" s="322"/>
      <c r="G10" s="322"/>
      <c r="H10" s="322"/>
      <c r="I10" s="322"/>
      <c r="J10" s="323"/>
    </row>
    <row r="11" spans="3:16" ht="15.75" x14ac:dyDescent="0.25">
      <c r="C11" s="91"/>
      <c r="D11" s="91"/>
      <c r="E11" s="108"/>
    </row>
    <row r="12" spans="3:16" ht="15" customHeight="1" x14ac:dyDescent="0.25">
      <c r="C12" s="358" t="s">
        <v>117</v>
      </c>
      <c r="D12" s="359"/>
      <c r="E12" s="359"/>
      <c r="F12" s="359"/>
      <c r="G12" s="359"/>
      <c r="H12" s="360"/>
    </row>
    <row r="13" spans="3:16" ht="15" customHeight="1" x14ac:dyDescent="0.25">
      <c r="C13" s="361"/>
      <c r="D13" s="362"/>
      <c r="E13" s="362"/>
      <c r="F13" s="362"/>
      <c r="G13" s="362"/>
      <c r="H13" s="363"/>
    </row>
    <row r="14" spans="3:16" ht="15" customHeight="1" x14ac:dyDescent="0.25"/>
    <row r="15" spans="3:16" ht="15" customHeight="1" x14ac:dyDescent="0.25">
      <c r="C15" t="str">
        <f>_xll.fbnAnalyticsStoreAdd_Template()</f>
        <v>OK</v>
      </c>
    </row>
    <row r="16" spans="3:16" ht="15" customHeight="1" x14ac:dyDescent="0.25">
      <c r="C16" s="115" t="s">
        <v>3</v>
      </c>
      <c r="D16" s="116" t="s">
        <v>116</v>
      </c>
      <c r="E16" s="111" t="s">
        <v>5</v>
      </c>
      <c r="G16" s="343" t="s">
        <v>203</v>
      </c>
      <c r="H16" s="344"/>
      <c r="I16" s="344"/>
      <c r="J16" s="344"/>
      <c r="K16" s="345"/>
    </row>
    <row r="17" spans="2:11" ht="15.75" customHeight="1" x14ac:dyDescent="0.25">
      <c r="B17" s="93">
        <v>1</v>
      </c>
      <c r="C17" s="222" t="str">
        <f>Scope</f>
        <v>MyNameSpace</v>
      </c>
      <c r="D17" s="237">
        <f ca="1">Setup!M36</f>
        <v>43269</v>
      </c>
      <c r="E17" s="178"/>
      <c r="G17" s="346"/>
      <c r="H17" s="332"/>
      <c r="I17" s="332"/>
      <c r="J17" s="332"/>
      <c r="K17" s="347"/>
    </row>
    <row r="18" spans="2:11" ht="15.75" customHeight="1" x14ac:dyDescent="0.25">
      <c r="B18" s="94">
        <v>2</v>
      </c>
      <c r="C18" s="222" t="str">
        <f>_xlfn.CONCAT(Scope,"_FX")</f>
        <v>MyNameSpace_FX</v>
      </c>
      <c r="D18" s="237">
        <f ca="1">Setup!M36</f>
        <v>43269</v>
      </c>
      <c r="E18" s="178"/>
      <c r="G18" s="346"/>
      <c r="H18" s="332"/>
      <c r="I18" s="332"/>
      <c r="J18" s="332"/>
      <c r="K18" s="347"/>
    </row>
    <row r="19" spans="2:11" ht="15.75" customHeight="1" x14ac:dyDescent="0.25">
      <c r="B19" s="94">
        <v>3</v>
      </c>
      <c r="C19" s="222" t="str">
        <f>_xlfn.CONCAT(Scope,"_Accrual")</f>
        <v>MyNameSpace_Accrual</v>
      </c>
      <c r="D19" s="237">
        <f ca="1">TODAY()</f>
        <v>43269</v>
      </c>
      <c r="E19" s="178"/>
      <c r="G19" s="346"/>
      <c r="H19" s="332"/>
      <c r="I19" s="332"/>
      <c r="J19" s="332"/>
      <c r="K19" s="347"/>
    </row>
    <row r="20" spans="2:11" ht="15.75" customHeight="1" x14ac:dyDescent="0.25">
      <c r="B20" s="94">
        <v>4</v>
      </c>
      <c r="C20" s="109"/>
      <c r="D20" s="238"/>
      <c r="E20" s="112"/>
      <c r="G20" s="364"/>
      <c r="H20" s="348"/>
      <c r="I20" s="348"/>
      <c r="J20" s="348"/>
      <c r="K20" s="349"/>
    </row>
    <row r="21" spans="2:11" x14ac:dyDescent="0.25">
      <c r="B21" s="94">
        <v>5</v>
      </c>
      <c r="C21" s="109"/>
      <c r="D21" s="238"/>
      <c r="E21" s="112"/>
    </row>
    <row r="22" spans="2:11" x14ac:dyDescent="0.25">
      <c r="B22" s="94">
        <v>6</v>
      </c>
      <c r="C22" s="109"/>
      <c r="D22" s="238"/>
      <c r="E22" s="112"/>
    </row>
    <row r="23" spans="2:11" ht="15" customHeight="1" x14ac:dyDescent="0.25">
      <c r="B23" s="94">
        <v>7</v>
      </c>
      <c r="C23" s="109"/>
      <c r="D23" s="238"/>
      <c r="E23" s="112"/>
      <c r="G23" s="350" t="s">
        <v>118</v>
      </c>
      <c r="H23" s="351"/>
      <c r="I23" s="351"/>
      <c r="J23" s="352"/>
    </row>
    <row r="24" spans="2:11" x14ac:dyDescent="0.25">
      <c r="B24" s="94">
        <v>8</v>
      </c>
      <c r="C24" s="109"/>
      <c r="D24" s="238"/>
      <c r="E24" s="112"/>
      <c r="G24" s="294"/>
      <c r="H24" s="353"/>
      <c r="I24" s="353"/>
      <c r="J24" s="354"/>
    </row>
    <row r="25" spans="2:11" x14ac:dyDescent="0.25">
      <c r="B25" s="94">
        <v>9</v>
      </c>
      <c r="C25" s="109"/>
      <c r="D25" s="238"/>
      <c r="E25" s="112"/>
      <c r="G25" s="294"/>
      <c r="H25" s="353"/>
      <c r="I25" s="353"/>
      <c r="J25" s="354"/>
    </row>
    <row r="26" spans="2:11" x14ac:dyDescent="0.25">
      <c r="B26" s="94">
        <v>10</v>
      </c>
      <c r="C26" s="109"/>
      <c r="D26" s="238"/>
      <c r="E26" s="112"/>
      <c r="G26" s="294"/>
      <c r="H26" s="353"/>
      <c r="I26" s="353"/>
      <c r="J26" s="354"/>
    </row>
    <row r="27" spans="2:11" x14ac:dyDescent="0.25">
      <c r="B27" s="94">
        <v>11</v>
      </c>
      <c r="C27" s="109"/>
      <c r="D27" s="238"/>
      <c r="E27" s="112"/>
      <c r="G27" s="294"/>
      <c r="H27" s="353"/>
      <c r="I27" s="353"/>
      <c r="J27" s="354"/>
    </row>
    <row r="28" spans="2:11" x14ac:dyDescent="0.25">
      <c r="B28" s="94">
        <v>12</v>
      </c>
      <c r="C28" s="109"/>
      <c r="D28" s="238"/>
      <c r="E28" s="112"/>
      <c r="G28" s="294"/>
      <c r="H28" s="353"/>
      <c r="I28" s="353"/>
      <c r="J28" s="354"/>
    </row>
    <row r="29" spans="2:11" x14ac:dyDescent="0.25">
      <c r="B29" s="94">
        <v>13</v>
      </c>
      <c r="C29" s="109"/>
      <c r="D29" s="238"/>
      <c r="E29" s="112"/>
      <c r="G29" s="294"/>
      <c r="H29" s="353"/>
      <c r="I29" s="353"/>
      <c r="J29" s="354"/>
    </row>
    <row r="30" spans="2:11" x14ac:dyDescent="0.25">
      <c r="B30" s="94">
        <v>14</v>
      </c>
      <c r="C30" s="109"/>
      <c r="D30" s="238"/>
      <c r="E30" s="112"/>
      <c r="G30" s="294"/>
      <c r="H30" s="353"/>
      <c r="I30" s="353"/>
      <c r="J30" s="354"/>
    </row>
    <row r="31" spans="2:11" x14ac:dyDescent="0.25">
      <c r="B31" s="94">
        <v>15</v>
      </c>
      <c r="C31" s="109"/>
      <c r="D31" s="238"/>
      <c r="E31" s="112"/>
      <c r="G31" s="355"/>
      <c r="H31" s="356"/>
      <c r="I31" s="356"/>
      <c r="J31" s="357"/>
    </row>
    <row r="32" spans="2:11" x14ac:dyDescent="0.25">
      <c r="B32" s="94">
        <v>16</v>
      </c>
      <c r="C32" s="109"/>
      <c r="D32" s="238"/>
      <c r="E32" s="112"/>
    </row>
    <row r="33" spans="2:5" x14ac:dyDescent="0.25">
      <c r="B33" s="94">
        <v>17</v>
      </c>
      <c r="C33" s="109"/>
      <c r="D33" s="238"/>
      <c r="E33" s="112"/>
    </row>
    <row r="34" spans="2:5" x14ac:dyDescent="0.25">
      <c r="B34" s="94">
        <v>18</v>
      </c>
      <c r="C34" s="109"/>
      <c r="D34" s="238"/>
      <c r="E34" s="112"/>
    </row>
    <row r="35" spans="2:5" x14ac:dyDescent="0.25">
      <c r="B35" s="94">
        <v>19</v>
      </c>
      <c r="C35" s="109"/>
      <c r="D35" s="238"/>
      <c r="E35" s="112"/>
    </row>
    <row r="36" spans="2:5" x14ac:dyDescent="0.25">
      <c r="B36" s="94">
        <v>20</v>
      </c>
      <c r="C36" s="109"/>
      <c r="D36" s="238"/>
      <c r="E36" s="112"/>
    </row>
    <row r="37" spans="2:5" x14ac:dyDescent="0.25">
      <c r="B37" s="94">
        <v>21</v>
      </c>
      <c r="C37" s="109"/>
      <c r="D37" s="238"/>
      <c r="E37" s="112"/>
    </row>
    <row r="38" spans="2:5" x14ac:dyDescent="0.25">
      <c r="B38" s="94">
        <v>22</v>
      </c>
      <c r="C38" s="109"/>
      <c r="D38" s="238"/>
      <c r="E38" s="112"/>
    </row>
    <row r="39" spans="2:5" x14ac:dyDescent="0.25">
      <c r="B39" s="94">
        <v>23</v>
      </c>
      <c r="C39" s="109"/>
      <c r="D39" s="238"/>
      <c r="E39" s="112"/>
    </row>
    <row r="40" spans="2:5" x14ac:dyDescent="0.25">
      <c r="B40" s="94">
        <v>24</v>
      </c>
      <c r="C40" s="109"/>
      <c r="D40" s="238"/>
      <c r="E40" s="112"/>
    </row>
    <row r="41" spans="2:5" x14ac:dyDescent="0.25">
      <c r="B41" s="94">
        <v>25</v>
      </c>
      <c r="C41" s="109"/>
      <c r="D41" s="238"/>
      <c r="E41" s="112"/>
    </row>
    <row r="42" spans="2:5" x14ac:dyDescent="0.25">
      <c r="B42" s="94">
        <v>26</v>
      </c>
      <c r="C42" s="109"/>
      <c r="D42" s="238"/>
      <c r="E42" s="113"/>
    </row>
    <row r="43" spans="2:5" x14ac:dyDescent="0.25">
      <c r="B43" s="94">
        <v>27</v>
      </c>
      <c r="C43" s="109"/>
      <c r="D43" s="238"/>
      <c r="E43" s="113"/>
    </row>
    <row r="44" spans="2:5" x14ac:dyDescent="0.25">
      <c r="B44" s="94">
        <v>28</v>
      </c>
      <c r="C44" s="109"/>
      <c r="D44" s="238"/>
      <c r="E44" s="113"/>
    </row>
    <row r="45" spans="2:5" x14ac:dyDescent="0.25">
      <c r="B45" s="94">
        <v>29</v>
      </c>
      <c r="C45" s="109"/>
      <c r="D45" s="238"/>
      <c r="E45" s="113"/>
    </row>
    <row r="46" spans="2:5" x14ac:dyDescent="0.25">
      <c r="B46" s="92">
        <v>30</v>
      </c>
      <c r="C46" s="110"/>
      <c r="D46" s="239"/>
      <c r="E46" s="114"/>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F29" sqref="F29"/>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14.85546875" style="100" customWidth="1"/>
    <col min="8" max="8" width="11.5703125" bestFit="1" customWidth="1"/>
  </cols>
  <sheetData>
    <row r="8" spans="3:11" ht="15.75" customHeight="1" x14ac:dyDescent="0.25">
      <c r="C8" s="343" t="s">
        <v>240</v>
      </c>
      <c r="D8" s="344"/>
      <c r="E8" s="344"/>
      <c r="F8" s="344"/>
      <c r="G8" s="344"/>
      <c r="H8" s="345"/>
      <c r="I8" s="140"/>
      <c r="J8" s="365">
        <f ca="1">'Setup Analytics'!D17</f>
        <v>43269</v>
      </c>
      <c r="K8" s="366"/>
    </row>
    <row r="9" spans="3:11" ht="15" customHeight="1" x14ac:dyDescent="0.25">
      <c r="C9" s="364"/>
      <c r="D9" s="348"/>
      <c r="E9" s="348"/>
      <c r="F9" s="348"/>
      <c r="G9" s="348"/>
      <c r="H9" s="349"/>
      <c r="I9" s="140"/>
      <c r="J9" s="366"/>
      <c r="K9" s="366"/>
    </row>
    <row r="10" spans="3:11" ht="15" customHeight="1" x14ac:dyDescent="0.25">
      <c r="C10" s="91"/>
      <c r="D10" s="91"/>
      <c r="E10" s="91"/>
      <c r="F10" s="108"/>
    </row>
    <row r="11" spans="3:11" ht="15.75" x14ac:dyDescent="0.25">
      <c r="C11" s="321" t="s">
        <v>110</v>
      </c>
      <c r="D11" s="322"/>
      <c r="E11" s="322"/>
      <c r="F11" s="322"/>
      <c r="G11" s="322"/>
      <c r="H11" s="323"/>
    </row>
    <row r="12" spans="3:11" ht="15.75" x14ac:dyDescent="0.25">
      <c r="C12" s="91"/>
      <c r="D12" s="91"/>
      <c r="E12" s="91"/>
      <c r="F12" s="108"/>
    </row>
    <row r="13" spans="3:11" ht="15" customHeight="1" x14ac:dyDescent="0.25">
      <c r="C13" s="367" t="s">
        <v>243</v>
      </c>
      <c r="D13" s="368"/>
      <c r="E13" s="368"/>
      <c r="F13" s="368"/>
      <c r="G13" s="368"/>
      <c r="H13" s="369"/>
    </row>
    <row r="14" spans="3:11" x14ac:dyDescent="0.25">
      <c r="C14" s="370"/>
      <c r="D14" s="371"/>
      <c r="E14" s="371"/>
      <c r="F14" s="371"/>
      <c r="G14" s="371"/>
      <c r="H14" s="372"/>
    </row>
    <row r="16" spans="3:11" ht="15" customHeight="1" x14ac:dyDescent="0.25">
      <c r="C16" s="373" t="s">
        <v>119</v>
      </c>
      <c r="D16" s="374"/>
      <c r="E16" s="374"/>
      <c r="F16" s="374"/>
      <c r="G16" s="374"/>
      <c r="H16" s="375"/>
      <c r="I16" s="1"/>
      <c r="J16" s="1"/>
    </row>
    <row r="17" spans="3:12" x14ac:dyDescent="0.25">
      <c r="E17" t="str">
        <f>_xll.fbnAnalyticsAdd_Template()</f>
        <v>OK</v>
      </c>
      <c r="H17" s="103"/>
      <c r="I17" s="103"/>
      <c r="J17" s="103"/>
    </row>
    <row r="18" spans="3:12" ht="15.75" thickBot="1" x14ac:dyDescent="0.3">
      <c r="C18" s="6"/>
      <c r="D18" s="6"/>
      <c r="E18" s="119" t="s">
        <v>9</v>
      </c>
      <c r="F18" s="120" t="s">
        <v>114</v>
      </c>
      <c r="G18" s="120" t="s">
        <v>231</v>
      </c>
      <c r="H18" s="240" t="s">
        <v>49</v>
      </c>
      <c r="I18" s="103"/>
      <c r="J18" s="103"/>
    </row>
    <row r="19" spans="3:12" ht="15.75" thickTop="1" x14ac:dyDescent="0.25">
      <c r="D19" s="36">
        <v>1</v>
      </c>
      <c r="E19" s="158" t="str">
        <f>IF(Setup!D14="",NA(),Setup!D14)</f>
        <v>FIGI_BBG00JVK5K09</v>
      </c>
      <c r="F19" s="121">
        <v>1</v>
      </c>
      <c r="G19" s="241" t="s">
        <v>229</v>
      </c>
      <c r="H19" s="117"/>
    </row>
    <row r="20" spans="3:12" x14ac:dyDescent="0.25">
      <c r="D20" s="36">
        <v>2</v>
      </c>
      <c r="E20" s="158" t="str">
        <f>IF(Setup!D15="",NA(),Setup!D15)</f>
        <v>FIGI_BBG00DL94N94</v>
      </c>
      <c r="F20" s="121">
        <v>1</v>
      </c>
      <c r="G20" s="241" t="s">
        <v>229</v>
      </c>
      <c r="H20" s="117"/>
    </row>
    <row r="21" spans="3:12" x14ac:dyDescent="0.25">
      <c r="D21" s="36">
        <v>3</v>
      </c>
      <c r="E21" s="158" t="str">
        <f>IF(Setup!D16="",NA(),Setup!D16)</f>
        <v>FIGI_BBG00DL98GH6</v>
      </c>
      <c r="F21" s="121">
        <v>1</v>
      </c>
      <c r="G21" s="241" t="s">
        <v>229</v>
      </c>
      <c r="H21" s="117"/>
    </row>
    <row r="22" spans="3:12" x14ac:dyDescent="0.25">
      <c r="D22" s="36">
        <v>4</v>
      </c>
      <c r="E22" s="158" t="str">
        <f>IF(Setup!D17="",NA(),Setup!D17)</f>
        <v>FIGI_BBG00FF56P88</v>
      </c>
      <c r="F22" s="121">
        <v>1</v>
      </c>
      <c r="G22" s="241" t="s">
        <v>229</v>
      </c>
      <c r="H22" s="117"/>
    </row>
    <row r="23" spans="3:12" x14ac:dyDescent="0.25">
      <c r="D23" s="36">
        <v>5</v>
      </c>
      <c r="E23" s="158" t="str">
        <f>IF(Setup!D18="",NA(),Setup!D18)</f>
        <v>FIGI_BBG00DL98GS4</v>
      </c>
      <c r="F23" s="121">
        <v>1</v>
      </c>
      <c r="G23" s="241" t="s">
        <v>229</v>
      </c>
      <c r="H23" s="117"/>
    </row>
    <row r="24" spans="3:12" x14ac:dyDescent="0.25">
      <c r="D24" s="36">
        <v>6</v>
      </c>
      <c r="E24" s="158" t="str">
        <f>IF(Setup!D19="",NA(),Setup!D19)</f>
        <v>FIGI_BBG00FB4V5K7</v>
      </c>
      <c r="F24" s="121">
        <v>1</v>
      </c>
      <c r="G24" s="241" t="s">
        <v>229</v>
      </c>
      <c r="H24" s="117"/>
    </row>
    <row r="25" spans="3:12" x14ac:dyDescent="0.25">
      <c r="D25" s="36">
        <v>7</v>
      </c>
      <c r="E25" s="158" t="str">
        <f>IF(Setup!D20="",NA(),Setup!D20)</f>
        <v>FIGI_BBG00FJ5T5T0</v>
      </c>
      <c r="F25" s="121">
        <v>1</v>
      </c>
      <c r="G25" s="241" t="s">
        <v>229</v>
      </c>
      <c r="H25" s="117"/>
    </row>
    <row r="26" spans="3:12" x14ac:dyDescent="0.25">
      <c r="D26" s="36">
        <v>8</v>
      </c>
      <c r="E26" s="158" t="str">
        <f>IF(Setup!D21="",NA(),Setup!D21)</f>
        <v>FIGI_BBG00FJ5T5V7</v>
      </c>
      <c r="F26" s="121">
        <v>1</v>
      </c>
      <c r="G26" s="241" t="s">
        <v>229</v>
      </c>
      <c r="H26" s="117"/>
    </row>
    <row r="27" spans="3:12" x14ac:dyDescent="0.25">
      <c r="D27" s="36">
        <v>9</v>
      </c>
      <c r="E27" s="158" t="str">
        <f>IF(Setup!D22="",NA(),Setup!D22)</f>
        <v>FIGI_BBG001STKP50</v>
      </c>
      <c r="F27" s="121">
        <v>1</v>
      </c>
      <c r="G27" s="241" t="s">
        <v>229</v>
      </c>
      <c r="H27" s="117"/>
    </row>
    <row r="28" spans="3:12" x14ac:dyDescent="0.25">
      <c r="D28" s="36">
        <v>10</v>
      </c>
      <c r="E28" s="158" t="str">
        <f>IF(Setup!D23="",NA(),Setup!D23)</f>
        <v>FIGI_BBG001SRSD26</v>
      </c>
      <c r="F28" s="121">
        <v>1</v>
      </c>
      <c r="G28" s="241" t="s">
        <v>229</v>
      </c>
      <c r="H28" s="117"/>
    </row>
    <row r="29" spans="3:12" x14ac:dyDescent="0.25">
      <c r="D29" s="36">
        <v>11</v>
      </c>
      <c r="E29" s="158" t="str">
        <f>IF(Setup!D24="",NA(),Setup!D24)</f>
        <v>FIGI_BBG00H15BY93</v>
      </c>
      <c r="F29" s="121">
        <v>1</v>
      </c>
      <c r="G29" s="241" t="s">
        <v>229</v>
      </c>
      <c r="H29" s="117"/>
      <c r="J29" s="350" t="s">
        <v>120</v>
      </c>
      <c r="K29" s="351"/>
      <c r="L29" s="352"/>
    </row>
    <row r="30" spans="3:12" x14ac:dyDescent="0.25">
      <c r="D30" s="36">
        <v>12</v>
      </c>
      <c r="E30" s="158" t="str">
        <f>IF(Setup!D25="",NA(),Setup!D25)</f>
        <v>FIGI_BBG00H15BYQ4</v>
      </c>
      <c r="F30" s="121">
        <v>1</v>
      </c>
      <c r="G30" s="241" t="s">
        <v>229</v>
      </c>
      <c r="H30" s="117"/>
      <c r="J30" s="294"/>
      <c r="K30" s="353"/>
      <c r="L30" s="354"/>
    </row>
    <row r="31" spans="3:12" x14ac:dyDescent="0.25">
      <c r="D31" s="36">
        <v>13</v>
      </c>
      <c r="E31" s="158" t="str">
        <f>IF(Setup!D26="",NA(),Setup!D26)</f>
        <v>FIGI_BBG007V3VDV6</v>
      </c>
      <c r="F31" s="121">
        <v>1</v>
      </c>
      <c r="G31" s="241" t="s">
        <v>229</v>
      </c>
      <c r="H31" s="117"/>
      <c r="J31" s="294"/>
      <c r="K31" s="353"/>
      <c r="L31" s="354"/>
    </row>
    <row r="32" spans="3:12" x14ac:dyDescent="0.25">
      <c r="D32" s="36">
        <v>14</v>
      </c>
      <c r="E32" s="158" t="str">
        <f>IF(Setup!D27="",NA(),Setup!D27)</f>
        <v>FIGI_BBG001T0SRJ5</v>
      </c>
      <c r="F32" s="121">
        <v>1</v>
      </c>
      <c r="G32" s="241" t="s">
        <v>229</v>
      </c>
      <c r="H32" s="117"/>
      <c r="J32" s="294"/>
      <c r="K32" s="353"/>
      <c r="L32" s="354"/>
    </row>
    <row r="33" spans="3:12" x14ac:dyDescent="0.25">
      <c r="D33" s="36">
        <v>15</v>
      </c>
      <c r="E33" s="158" t="str">
        <f>IF(Setup!D28="",NA(),Setup!D28)</f>
        <v>FIGI_BBG001T1P853</v>
      </c>
      <c r="F33" s="121">
        <v>1</v>
      </c>
      <c r="G33" s="241" t="s">
        <v>229</v>
      </c>
      <c r="H33" s="117"/>
      <c r="J33" s="294"/>
      <c r="K33" s="353"/>
      <c r="L33" s="354"/>
    </row>
    <row r="34" spans="3:12" x14ac:dyDescent="0.25">
      <c r="D34" s="36">
        <v>16</v>
      </c>
      <c r="E34" s="158" t="str">
        <f>IF(Setup!D29="",NA(),Setup!D29)</f>
        <v>FIGI_BBG001T8ZB05</v>
      </c>
      <c r="F34" s="121">
        <v>1</v>
      </c>
      <c r="G34" s="241" t="s">
        <v>229</v>
      </c>
      <c r="H34" s="117"/>
      <c r="J34" s="294"/>
      <c r="K34" s="353"/>
      <c r="L34" s="354"/>
    </row>
    <row r="35" spans="3:12" x14ac:dyDescent="0.25">
      <c r="D35" s="36">
        <v>17</v>
      </c>
      <c r="E35" s="158" t="str">
        <f>IF(Setup!D30="",NA(),Setup!D30)</f>
        <v>FIGI_BBG001STMN80</v>
      </c>
      <c r="F35" s="121">
        <v>1</v>
      </c>
      <c r="G35" s="241" t="s">
        <v>229</v>
      </c>
      <c r="H35" s="117"/>
      <c r="J35" s="355"/>
      <c r="K35" s="356"/>
      <c r="L35" s="357"/>
    </row>
    <row r="36" spans="3:12" x14ac:dyDescent="0.25">
      <c r="D36" s="36">
        <v>18</v>
      </c>
      <c r="E36" s="158" t="str">
        <f>IF(Setup!D31="",NA(),Setup!D31)</f>
        <v>FIGI_BBG001T8ZB14</v>
      </c>
      <c r="F36" s="121">
        <v>1</v>
      </c>
      <c r="G36" s="241" t="s">
        <v>229</v>
      </c>
      <c r="H36" s="117"/>
    </row>
    <row r="37" spans="3:12" x14ac:dyDescent="0.25">
      <c r="D37" s="36">
        <v>19</v>
      </c>
      <c r="E37" s="158" t="str">
        <f>IF(Setup!D32="",NA(),Setup!D32)</f>
        <v>FIGI_BBG001V0BND5</v>
      </c>
      <c r="F37" s="121">
        <v>1</v>
      </c>
      <c r="G37" s="241" t="s">
        <v>229</v>
      </c>
      <c r="H37" s="117"/>
    </row>
    <row r="38" spans="3:12" x14ac:dyDescent="0.25">
      <c r="D38" s="36">
        <v>20</v>
      </c>
      <c r="E38" s="158" t="str">
        <f>IF(Setup!D33="",NA(),Setup!D33)</f>
        <v>FIGI_BBG0037S1FF3</v>
      </c>
      <c r="F38" s="121">
        <v>1</v>
      </c>
      <c r="G38" s="241" t="s">
        <v>229</v>
      </c>
      <c r="H38" s="117"/>
    </row>
    <row r="39" spans="3:12" x14ac:dyDescent="0.25">
      <c r="D39" s="36">
        <v>21</v>
      </c>
      <c r="E39" s="158" t="str">
        <f>IF(Setup!D34="",NA(),Setup!D34)</f>
        <v>FIGI_BBG001TJMQW7</v>
      </c>
      <c r="F39" s="121">
        <v>1</v>
      </c>
      <c r="G39" s="241" t="s">
        <v>229</v>
      </c>
      <c r="H39" s="117"/>
    </row>
    <row r="40" spans="3:12" x14ac:dyDescent="0.25">
      <c r="D40" s="36">
        <v>22</v>
      </c>
      <c r="E40" s="158" t="str">
        <f>IF(Setup!D35="",NA(),Setup!D35)</f>
        <v>FIGI_BBG0034YPJH7</v>
      </c>
      <c r="F40" s="121">
        <v>1</v>
      </c>
      <c r="G40" s="241" t="s">
        <v>229</v>
      </c>
      <c r="H40" s="117"/>
    </row>
    <row r="41" spans="3:12" x14ac:dyDescent="0.25">
      <c r="D41" s="36">
        <v>23</v>
      </c>
      <c r="E41" s="158" t="str">
        <f>IF(Setup!D36="",NA(),Setup!D36)</f>
        <v>FIGI_BBG0034YQ817</v>
      </c>
      <c r="F41" s="121">
        <v>1</v>
      </c>
      <c r="G41" s="241" t="s">
        <v>229</v>
      </c>
      <c r="H41" s="117"/>
    </row>
    <row r="42" spans="3:12" x14ac:dyDescent="0.25">
      <c r="D42" s="36">
        <v>24</v>
      </c>
      <c r="E42" s="158" t="str">
        <f>IF(Setup!D37="",NA(),Setup!D37)</f>
        <v>FIGI_BBG004733G08</v>
      </c>
      <c r="F42" s="121">
        <v>1</v>
      </c>
      <c r="G42" s="241" t="s">
        <v>229</v>
      </c>
      <c r="H42" s="117"/>
    </row>
    <row r="43" spans="3:12" x14ac:dyDescent="0.25">
      <c r="D43" s="36">
        <v>25</v>
      </c>
      <c r="E43" s="158" t="str">
        <f>IF(Setup!D38="",NA(),Setup!D38)</f>
        <v>FIGI_BBG004XQG9G3</v>
      </c>
      <c r="F43" s="121">
        <v>1</v>
      </c>
      <c r="G43" s="241" t="s">
        <v>229</v>
      </c>
      <c r="H43" s="117"/>
    </row>
    <row r="44" spans="3:12" x14ac:dyDescent="0.25">
      <c r="D44" s="36">
        <v>26</v>
      </c>
      <c r="E44" s="158" t="str">
        <f>IF(Setup!D39="",NA(),Setup!D39)</f>
        <v>FIGI_BBG003BJ6K53</v>
      </c>
      <c r="F44" s="121">
        <v>1</v>
      </c>
      <c r="G44" s="241" t="s">
        <v>229</v>
      </c>
      <c r="H44" s="117"/>
    </row>
    <row r="45" spans="3:12" x14ac:dyDescent="0.25">
      <c r="D45" s="36">
        <v>27</v>
      </c>
      <c r="E45" s="158" t="e">
        <f>IF(Setup!D40="",NA(),Setup!D40)</f>
        <v>#N/A</v>
      </c>
      <c r="F45" s="121"/>
      <c r="G45" s="241"/>
      <c r="H45" s="117"/>
    </row>
    <row r="46" spans="3:12" x14ac:dyDescent="0.25">
      <c r="D46" s="36">
        <v>28</v>
      </c>
      <c r="E46" s="158" t="e">
        <f>IF(Setup!D41="",NA(),Setup!D41)</f>
        <v>#N/A</v>
      </c>
      <c r="F46" s="121"/>
      <c r="G46" s="241"/>
      <c r="H46" s="117"/>
    </row>
    <row r="47" spans="3:12" x14ac:dyDescent="0.25">
      <c r="D47" s="36">
        <v>29</v>
      </c>
      <c r="E47" s="158" t="e">
        <f>IF(Setup!D42="",NA(),Setup!D42)</f>
        <v>#N/A</v>
      </c>
      <c r="F47" s="121"/>
      <c r="G47" s="121"/>
      <c r="H47" s="117"/>
    </row>
    <row r="48" spans="3:12" x14ac:dyDescent="0.25">
      <c r="C48" s="38"/>
      <c r="D48" s="36">
        <v>30</v>
      </c>
      <c r="E48" s="197" t="e">
        <f>IF(Setup!D43="",NA(),Setup!D43)</f>
        <v>#N/A</v>
      </c>
      <c r="F48" s="198"/>
      <c r="G48" s="198"/>
      <c r="H48" s="118"/>
    </row>
    <row r="52" spans="5:9" x14ac:dyDescent="0.25">
      <c r="E52" s="343" t="s">
        <v>204</v>
      </c>
      <c r="F52" s="344"/>
      <c r="G52" s="344"/>
      <c r="H52" s="344"/>
      <c r="I52" s="345"/>
    </row>
    <row r="53" spans="5:9" x14ac:dyDescent="0.25">
      <c r="E53" s="346"/>
      <c r="F53" s="332"/>
      <c r="G53" s="332"/>
      <c r="H53" s="332"/>
      <c r="I53" s="347"/>
    </row>
    <row r="54" spans="5:9" x14ac:dyDescent="0.25">
      <c r="E54" s="346"/>
      <c r="F54" s="332"/>
      <c r="G54" s="332"/>
      <c r="H54" s="332"/>
      <c r="I54" s="347"/>
    </row>
    <row r="55" spans="5:9" x14ac:dyDescent="0.25">
      <c r="E55" s="346"/>
      <c r="F55" s="332"/>
      <c r="G55" s="332"/>
      <c r="H55" s="332"/>
      <c r="I55" s="347"/>
    </row>
    <row r="56" spans="5:9" x14ac:dyDescent="0.25">
      <c r="E56" s="364"/>
      <c r="F56" s="348"/>
      <c r="G56" s="348"/>
      <c r="H56" s="348"/>
      <c r="I56" s="349"/>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I18" sqref="I18"/>
    </sheetView>
  </sheetViews>
  <sheetFormatPr defaultRowHeight="15" x14ac:dyDescent="0.25"/>
  <cols>
    <col min="1" max="1" width="9.140625" style="145"/>
    <col min="4" max="4" width="27.42578125" customWidth="1"/>
    <col min="5" max="5" width="10.42578125" customWidth="1"/>
    <col min="6" max="6" width="14.140625" customWidth="1"/>
  </cols>
  <sheetData>
    <row r="1" spans="2:17" x14ac:dyDescent="0.25">
      <c r="B1" s="145"/>
      <c r="C1" s="145"/>
      <c r="D1" s="145"/>
      <c r="E1" s="107"/>
      <c r="F1" s="100"/>
      <c r="G1" s="145"/>
      <c r="H1" s="145"/>
      <c r="I1" s="145"/>
      <c r="J1" s="145"/>
      <c r="K1" s="145"/>
      <c r="L1" s="145"/>
    </row>
    <row r="2" spans="2:17" x14ac:dyDescent="0.25">
      <c r="B2" s="145"/>
      <c r="C2" s="145"/>
      <c r="D2" s="145"/>
      <c r="E2" s="107"/>
      <c r="F2" s="100"/>
      <c r="G2" s="145"/>
      <c r="H2" s="145"/>
      <c r="I2" s="145"/>
      <c r="J2" s="145"/>
      <c r="K2" s="145"/>
      <c r="L2" s="145"/>
    </row>
    <row r="3" spans="2:17" x14ac:dyDescent="0.25">
      <c r="B3" s="145"/>
      <c r="C3" s="145"/>
      <c r="D3" s="145"/>
      <c r="E3" s="107"/>
      <c r="F3" s="100"/>
      <c r="G3" s="145"/>
      <c r="H3" s="145"/>
      <c r="I3" s="145"/>
      <c r="J3" s="145"/>
      <c r="K3" s="145"/>
      <c r="L3" s="145"/>
    </row>
    <row r="4" spans="2:17" x14ac:dyDescent="0.25">
      <c r="B4" s="145"/>
      <c r="C4" s="145"/>
      <c r="D4" s="145"/>
      <c r="E4" s="107"/>
      <c r="F4" s="100"/>
      <c r="G4" s="145"/>
      <c r="H4" s="145"/>
      <c r="I4" s="145"/>
      <c r="J4" s="145"/>
      <c r="K4" s="145"/>
      <c r="L4" s="145"/>
    </row>
    <row r="5" spans="2:17" x14ac:dyDescent="0.25">
      <c r="B5" s="145"/>
      <c r="C5" s="145"/>
      <c r="D5" s="145"/>
      <c r="E5" s="107"/>
      <c r="F5" s="100"/>
      <c r="G5" s="145"/>
      <c r="H5" s="145"/>
      <c r="I5" s="145"/>
      <c r="J5" s="145"/>
      <c r="K5" s="145"/>
      <c r="L5" s="145"/>
    </row>
    <row r="6" spans="2:17" x14ac:dyDescent="0.25">
      <c r="B6" s="271" t="s">
        <v>239</v>
      </c>
      <c r="C6" s="272"/>
      <c r="D6" s="272"/>
      <c r="E6" s="272"/>
      <c r="F6" s="272"/>
      <c r="G6" s="272"/>
      <c r="H6" s="272"/>
      <c r="I6" s="273"/>
      <c r="J6" s="145"/>
      <c r="K6" s="365">
        <f ca="1">TODAY()</f>
        <v>43269</v>
      </c>
      <c r="L6" s="366"/>
    </row>
    <row r="7" spans="2:17" x14ac:dyDescent="0.25">
      <c r="B7" s="274"/>
      <c r="C7" s="275"/>
      <c r="D7" s="275"/>
      <c r="E7" s="275"/>
      <c r="F7" s="275"/>
      <c r="G7" s="275"/>
      <c r="H7" s="275"/>
      <c r="I7" s="276"/>
      <c r="J7" s="145"/>
      <c r="K7" s="366"/>
      <c r="L7" s="366"/>
    </row>
    <row r="8" spans="2:17" ht="15.75" x14ac:dyDescent="0.25">
      <c r="B8" s="91"/>
      <c r="C8" s="91"/>
      <c r="D8" s="91"/>
      <c r="E8" s="108"/>
      <c r="F8" s="100"/>
      <c r="G8" s="145"/>
      <c r="H8" s="145"/>
      <c r="I8" s="145"/>
      <c r="J8" s="145"/>
      <c r="K8" s="145"/>
      <c r="L8" s="145"/>
    </row>
    <row r="9" spans="2:17" ht="15.75" x14ac:dyDescent="0.25">
      <c r="B9" s="321" t="s">
        <v>227</v>
      </c>
      <c r="C9" s="322"/>
      <c r="D9" s="322"/>
      <c r="E9" s="322"/>
      <c r="F9" s="322"/>
      <c r="G9" s="322"/>
      <c r="H9" s="322"/>
      <c r="I9" s="323"/>
      <c r="J9" s="145"/>
      <c r="K9" s="145"/>
      <c r="L9" s="145"/>
    </row>
    <row r="10" spans="2:17" ht="15.75" x14ac:dyDescent="0.25">
      <c r="B10" s="91"/>
      <c r="C10" s="91"/>
      <c r="D10" s="91"/>
      <c r="E10" s="108"/>
      <c r="F10" s="100"/>
      <c r="G10" s="145"/>
      <c r="H10" s="145"/>
      <c r="I10" s="145"/>
      <c r="J10" s="145"/>
      <c r="K10" s="145"/>
      <c r="L10" s="145"/>
    </row>
    <row r="11" spans="2:17" ht="15" customHeight="1" x14ac:dyDescent="0.25">
      <c r="B11" s="367" t="s">
        <v>244</v>
      </c>
      <c r="C11" s="368"/>
      <c r="D11" s="368"/>
      <c r="E11" s="368"/>
      <c r="F11" s="368"/>
      <c r="G11" s="368"/>
      <c r="H11" s="368"/>
      <c r="I11" s="369"/>
      <c r="J11" s="145"/>
    </row>
    <row r="12" spans="2:17" x14ac:dyDescent="0.25">
      <c r="B12" s="370"/>
      <c r="C12" s="371"/>
      <c r="D12" s="371"/>
      <c r="E12" s="371"/>
      <c r="F12" s="371"/>
      <c r="G12" s="371"/>
      <c r="H12" s="371"/>
      <c r="I12" s="372"/>
      <c r="J12" s="145"/>
    </row>
    <row r="13" spans="2:17" x14ac:dyDescent="0.25">
      <c r="B13" s="145"/>
      <c r="C13" s="145"/>
      <c r="D13" s="145"/>
      <c r="E13" s="107"/>
      <c r="F13" s="100"/>
      <c r="G13" s="145"/>
      <c r="H13" s="145"/>
      <c r="I13" s="145"/>
      <c r="J13" s="145"/>
      <c r="K13" s="145"/>
      <c r="L13" s="145"/>
    </row>
    <row r="14" spans="2:17" ht="15" customHeight="1" x14ac:dyDescent="0.25">
      <c r="B14" s="373" t="s">
        <v>228</v>
      </c>
      <c r="C14" s="374"/>
      <c r="D14" s="374"/>
      <c r="E14" s="374"/>
      <c r="F14" s="374"/>
      <c r="G14" s="374"/>
      <c r="H14" s="374"/>
      <c r="I14" s="375"/>
      <c r="J14" s="145"/>
      <c r="K14" s="145"/>
      <c r="L14" s="145"/>
      <c r="M14" s="147"/>
      <c r="N14" s="147"/>
      <c r="O14" s="147"/>
      <c r="P14" s="147"/>
      <c r="Q14" s="147"/>
    </row>
    <row r="15" spans="2:17" x14ac:dyDescent="0.25">
      <c r="B15" s="145"/>
      <c r="C15" s="145"/>
      <c r="D15" s="145" t="str">
        <f>_xll.fbnAnalyticsAdd_Template()</f>
        <v>OK</v>
      </c>
      <c r="E15" s="107"/>
      <c r="F15" s="100"/>
      <c r="G15" s="175"/>
      <c r="H15" s="175"/>
      <c r="I15" s="175"/>
      <c r="J15" s="145"/>
      <c r="K15" s="145"/>
      <c r="L15" s="145"/>
      <c r="M15" s="147"/>
      <c r="N15" s="242"/>
      <c r="O15" s="233"/>
      <c r="P15" s="147"/>
      <c r="Q15" s="147"/>
    </row>
    <row r="16" spans="2:17" ht="15.75" thickBot="1" x14ac:dyDescent="0.3">
      <c r="B16" s="6"/>
      <c r="C16" s="6"/>
      <c r="D16" s="119" t="s">
        <v>9</v>
      </c>
      <c r="E16" s="120" t="s">
        <v>114</v>
      </c>
      <c r="F16" s="248" t="s">
        <v>231</v>
      </c>
      <c r="G16" s="122" t="s">
        <v>49</v>
      </c>
      <c r="H16" s="175"/>
      <c r="I16" s="175"/>
      <c r="J16" s="145"/>
      <c r="K16" s="145"/>
      <c r="L16" s="145"/>
      <c r="M16" s="147"/>
      <c r="N16" s="242"/>
      <c r="O16" s="233"/>
      <c r="P16" s="147"/>
      <c r="Q16" s="147"/>
    </row>
    <row r="17" spans="2:17" ht="15.75" thickTop="1" x14ac:dyDescent="0.25">
      <c r="B17" s="145"/>
      <c r="C17" s="36">
        <v>1</v>
      </c>
      <c r="D17" s="232" t="s">
        <v>225</v>
      </c>
      <c r="E17" s="121">
        <v>1</v>
      </c>
      <c r="F17" s="249"/>
      <c r="G17" s="181"/>
      <c r="H17" s="145"/>
      <c r="I17" s="145"/>
      <c r="J17" s="145"/>
      <c r="K17" s="145"/>
      <c r="L17" s="145"/>
      <c r="M17" s="147"/>
      <c r="N17" s="242"/>
      <c r="O17" s="233"/>
      <c r="P17" s="147"/>
      <c r="Q17" s="147"/>
    </row>
    <row r="18" spans="2:17" x14ac:dyDescent="0.25">
      <c r="B18" s="145"/>
      <c r="C18" s="36">
        <v>2</v>
      </c>
      <c r="D18" s="232" t="s">
        <v>224</v>
      </c>
      <c r="E18" s="121">
        <v>1.34</v>
      </c>
      <c r="F18" s="249"/>
      <c r="G18" s="117"/>
      <c r="H18" s="145"/>
      <c r="I18" s="145"/>
      <c r="J18" s="145"/>
      <c r="K18" s="145"/>
      <c r="L18" s="145"/>
      <c r="M18" s="147"/>
      <c r="N18" s="242"/>
      <c r="O18" s="233"/>
      <c r="P18" s="147"/>
      <c r="Q18" s="147"/>
    </row>
    <row r="19" spans="2:17" x14ac:dyDescent="0.25">
      <c r="B19" s="145"/>
      <c r="C19" s="36">
        <v>3</v>
      </c>
      <c r="D19" s="232" t="s">
        <v>230</v>
      </c>
      <c r="E19" s="121">
        <v>7.9000000000000001E-2</v>
      </c>
      <c r="F19" s="249"/>
      <c r="G19" s="117"/>
      <c r="H19" s="145"/>
      <c r="I19" s="145"/>
      <c r="J19" s="145"/>
      <c r="K19" s="145"/>
      <c r="L19" s="145"/>
      <c r="M19" s="147"/>
      <c r="N19" s="147"/>
      <c r="O19" s="147"/>
      <c r="P19" s="147"/>
      <c r="Q19" s="147"/>
    </row>
    <row r="20" spans="2:17" x14ac:dyDescent="0.25">
      <c r="B20" s="145"/>
      <c r="C20" s="36">
        <v>4</v>
      </c>
      <c r="D20" s="232" t="s">
        <v>226</v>
      </c>
      <c r="E20" s="121">
        <v>1.17</v>
      </c>
      <c r="F20" s="249"/>
      <c r="G20" s="117"/>
      <c r="H20" s="145"/>
      <c r="I20" s="145"/>
      <c r="J20" s="145"/>
      <c r="K20" s="145"/>
      <c r="L20" s="145"/>
      <c r="M20" s="147"/>
      <c r="N20" s="147"/>
      <c r="O20" s="147"/>
      <c r="P20" s="147"/>
      <c r="Q20" s="147"/>
    </row>
    <row r="21" spans="2:17" x14ac:dyDescent="0.25">
      <c r="B21" s="145"/>
      <c r="C21" s="36">
        <v>5</v>
      </c>
      <c r="D21" s="158"/>
      <c r="E21" s="121"/>
      <c r="F21" s="249"/>
      <c r="G21" s="117"/>
      <c r="H21" s="145"/>
      <c r="I21" s="145"/>
      <c r="J21" s="145"/>
      <c r="K21" s="145"/>
      <c r="L21" s="145"/>
    </row>
    <row r="22" spans="2:17" x14ac:dyDescent="0.25">
      <c r="B22" s="145"/>
      <c r="C22" s="36">
        <v>6</v>
      </c>
      <c r="D22" s="158"/>
      <c r="E22" s="121"/>
      <c r="F22" s="249"/>
      <c r="G22" s="117"/>
      <c r="H22" s="145"/>
      <c r="I22" s="145"/>
      <c r="J22" s="145"/>
      <c r="K22" s="145"/>
      <c r="L22" s="145"/>
    </row>
    <row r="23" spans="2:17" x14ac:dyDescent="0.25">
      <c r="B23" s="145"/>
      <c r="C23" s="36">
        <v>7</v>
      </c>
      <c r="D23" s="158"/>
      <c r="E23" s="121"/>
      <c r="F23" s="249"/>
      <c r="G23" s="117"/>
      <c r="H23" s="145"/>
      <c r="I23" s="145"/>
      <c r="J23" s="145"/>
      <c r="K23" s="145"/>
      <c r="L23" s="145"/>
    </row>
    <row r="24" spans="2:17" x14ac:dyDescent="0.25">
      <c r="B24" s="145"/>
      <c r="C24" s="36">
        <v>8</v>
      </c>
      <c r="D24" s="158"/>
      <c r="E24" s="121"/>
      <c r="F24" s="249"/>
      <c r="G24" s="117"/>
      <c r="H24" s="145"/>
      <c r="I24" s="145"/>
      <c r="J24" s="145"/>
      <c r="K24" s="145"/>
      <c r="L24" s="145"/>
    </row>
    <row r="25" spans="2:17" x14ac:dyDescent="0.25">
      <c r="B25" s="145"/>
      <c r="C25" s="36">
        <v>9</v>
      </c>
      <c r="D25" s="158"/>
      <c r="E25" s="121"/>
      <c r="F25" s="249"/>
      <c r="G25" s="117"/>
      <c r="H25" s="145"/>
      <c r="I25" s="145"/>
      <c r="J25" s="145"/>
      <c r="K25" s="145"/>
      <c r="L25" s="145"/>
    </row>
    <row r="26" spans="2:17" x14ac:dyDescent="0.25">
      <c r="B26" s="145"/>
      <c r="C26" s="36">
        <v>10</v>
      </c>
      <c r="D26" s="158"/>
      <c r="E26" s="121"/>
      <c r="F26" s="249"/>
      <c r="G26" s="117"/>
      <c r="H26" s="145"/>
      <c r="I26" s="145"/>
      <c r="J26" s="145"/>
      <c r="K26" s="145"/>
      <c r="L26" s="145"/>
    </row>
    <row r="27" spans="2:17" x14ac:dyDescent="0.25">
      <c r="B27" s="145"/>
      <c r="C27" s="36">
        <v>11</v>
      </c>
      <c r="D27" s="158"/>
      <c r="E27" s="121"/>
      <c r="F27" s="249"/>
      <c r="G27" s="117"/>
      <c r="H27" s="145"/>
      <c r="I27" s="350" t="s">
        <v>120</v>
      </c>
      <c r="J27" s="351"/>
      <c r="K27" s="352"/>
      <c r="L27" s="145"/>
    </row>
    <row r="28" spans="2:17" x14ac:dyDescent="0.25">
      <c r="B28" s="145"/>
      <c r="C28" s="36">
        <v>12</v>
      </c>
      <c r="D28" s="158"/>
      <c r="E28" s="121"/>
      <c r="F28" s="249"/>
      <c r="G28" s="117"/>
      <c r="H28" s="145"/>
      <c r="I28" s="294"/>
      <c r="J28" s="353"/>
      <c r="K28" s="354"/>
      <c r="L28" s="145"/>
    </row>
    <row r="29" spans="2:17" x14ac:dyDescent="0.25">
      <c r="B29" s="145"/>
      <c r="C29" s="36">
        <v>13</v>
      </c>
      <c r="D29" s="158"/>
      <c r="E29" s="121"/>
      <c r="F29" s="249"/>
      <c r="G29" s="117"/>
      <c r="H29" s="145"/>
      <c r="I29" s="294"/>
      <c r="J29" s="353"/>
      <c r="K29" s="354"/>
      <c r="L29" s="145"/>
    </row>
    <row r="30" spans="2:17" x14ac:dyDescent="0.25">
      <c r="B30" s="145"/>
      <c r="C30" s="36">
        <v>14</v>
      </c>
      <c r="D30" s="158"/>
      <c r="E30" s="121"/>
      <c r="F30" s="249"/>
      <c r="G30" s="117"/>
      <c r="H30" s="145"/>
      <c r="I30" s="294"/>
      <c r="J30" s="353"/>
      <c r="K30" s="354"/>
      <c r="L30" s="145"/>
    </row>
    <row r="31" spans="2:17" x14ac:dyDescent="0.25">
      <c r="B31" s="145"/>
      <c r="C31" s="36">
        <v>15</v>
      </c>
      <c r="D31" s="158"/>
      <c r="E31" s="121"/>
      <c r="F31" s="249"/>
      <c r="G31" s="117"/>
      <c r="H31" s="145"/>
      <c r="I31" s="294"/>
      <c r="J31" s="353"/>
      <c r="K31" s="354"/>
      <c r="L31" s="145"/>
    </row>
    <row r="32" spans="2:17" x14ac:dyDescent="0.25">
      <c r="B32" s="145"/>
      <c r="C32" s="36">
        <v>16</v>
      </c>
      <c r="D32" s="158"/>
      <c r="E32" s="121"/>
      <c r="F32" s="249"/>
      <c r="G32" s="117"/>
      <c r="H32" s="145"/>
      <c r="I32" s="294"/>
      <c r="J32" s="353"/>
      <c r="K32" s="354"/>
      <c r="L32" s="145"/>
    </row>
    <row r="33" spans="2:12" x14ac:dyDescent="0.25">
      <c r="B33" s="145"/>
      <c r="C33" s="36">
        <v>17</v>
      </c>
      <c r="D33" s="158"/>
      <c r="E33" s="121"/>
      <c r="F33" s="249"/>
      <c r="G33" s="117"/>
      <c r="H33" s="145"/>
      <c r="I33" s="355"/>
      <c r="J33" s="356"/>
      <c r="K33" s="357"/>
      <c r="L33" s="145"/>
    </row>
    <row r="34" spans="2:12" x14ac:dyDescent="0.25">
      <c r="B34" s="145"/>
      <c r="C34" s="36">
        <v>18</v>
      </c>
      <c r="D34" s="158"/>
      <c r="E34" s="121"/>
      <c r="F34" s="249"/>
      <c r="G34" s="117"/>
      <c r="H34" s="145"/>
      <c r="I34" s="145"/>
      <c r="J34" s="145"/>
      <c r="K34" s="145"/>
      <c r="L34" s="145"/>
    </row>
    <row r="35" spans="2:12" x14ac:dyDescent="0.25">
      <c r="B35" s="145"/>
      <c r="C35" s="36">
        <v>19</v>
      </c>
      <c r="D35" s="158"/>
      <c r="E35" s="121"/>
      <c r="F35" s="249"/>
      <c r="G35" s="117"/>
      <c r="H35" s="145"/>
      <c r="I35" s="145"/>
      <c r="J35" s="145"/>
      <c r="K35" s="145"/>
      <c r="L35" s="145"/>
    </row>
    <row r="36" spans="2:12" x14ac:dyDescent="0.25">
      <c r="B36" s="145"/>
      <c r="C36" s="36">
        <v>20</v>
      </c>
      <c r="D36" s="158"/>
      <c r="E36" s="121"/>
      <c r="F36" s="249"/>
      <c r="G36" s="117"/>
      <c r="H36" s="145"/>
      <c r="I36" s="145"/>
      <c r="J36" s="145"/>
      <c r="K36" s="145"/>
      <c r="L36" s="145"/>
    </row>
    <row r="37" spans="2:12" x14ac:dyDescent="0.25">
      <c r="B37" s="145"/>
      <c r="C37" s="36">
        <v>21</v>
      </c>
      <c r="D37" s="158"/>
      <c r="E37" s="121"/>
      <c r="F37" s="249"/>
      <c r="G37" s="117"/>
      <c r="H37" s="145"/>
      <c r="I37" s="145"/>
      <c r="J37" s="145"/>
      <c r="K37" s="145"/>
      <c r="L37" s="145"/>
    </row>
    <row r="38" spans="2:12" x14ac:dyDescent="0.25">
      <c r="B38" s="145"/>
      <c r="C38" s="36">
        <v>22</v>
      </c>
      <c r="D38" s="158"/>
      <c r="E38" s="121"/>
      <c r="F38" s="249"/>
      <c r="G38" s="117"/>
      <c r="H38" s="145"/>
      <c r="I38" s="145"/>
      <c r="J38" s="145"/>
      <c r="K38" s="145"/>
      <c r="L38" s="145"/>
    </row>
    <row r="39" spans="2:12" x14ac:dyDescent="0.25">
      <c r="B39" s="145"/>
      <c r="C39" s="36">
        <v>23</v>
      </c>
      <c r="D39" s="158"/>
      <c r="E39" s="121"/>
      <c r="F39" s="249"/>
      <c r="G39" s="117"/>
      <c r="H39" s="145"/>
      <c r="I39" s="145"/>
      <c r="J39" s="145"/>
      <c r="K39" s="145"/>
      <c r="L39" s="145"/>
    </row>
    <row r="40" spans="2:12" x14ac:dyDescent="0.25">
      <c r="B40" s="145"/>
      <c r="C40" s="36">
        <v>24</v>
      </c>
      <c r="D40" s="158"/>
      <c r="E40" s="121"/>
      <c r="F40" s="249"/>
      <c r="G40" s="117"/>
      <c r="H40" s="145"/>
      <c r="I40" s="145"/>
      <c r="J40" s="145"/>
      <c r="K40" s="145"/>
      <c r="L40" s="145"/>
    </row>
    <row r="41" spans="2:12" x14ac:dyDescent="0.25">
      <c r="B41" s="145"/>
      <c r="C41" s="36">
        <v>25</v>
      </c>
      <c r="D41" s="158"/>
      <c r="E41" s="121"/>
      <c r="F41" s="249"/>
      <c r="G41" s="117"/>
      <c r="H41" s="145"/>
      <c r="I41" s="145"/>
      <c r="J41" s="145"/>
      <c r="K41" s="145"/>
      <c r="L41" s="145"/>
    </row>
    <row r="42" spans="2:12" x14ac:dyDescent="0.25">
      <c r="B42" s="145"/>
      <c r="C42" s="36">
        <v>26</v>
      </c>
      <c r="D42" s="158"/>
      <c r="E42" s="121"/>
      <c r="F42" s="249"/>
      <c r="G42" s="117"/>
      <c r="H42" s="145"/>
      <c r="I42" s="145"/>
      <c r="J42" s="145"/>
      <c r="K42" s="145"/>
      <c r="L42" s="145"/>
    </row>
    <row r="43" spans="2:12" x14ac:dyDescent="0.25">
      <c r="B43" s="145"/>
      <c r="C43" s="36">
        <v>27</v>
      </c>
      <c r="D43" s="158"/>
      <c r="E43" s="121"/>
      <c r="F43" s="249"/>
      <c r="G43" s="117"/>
      <c r="H43" s="145"/>
      <c r="I43" s="145"/>
      <c r="J43" s="145"/>
      <c r="K43" s="145"/>
      <c r="L43" s="145"/>
    </row>
    <row r="44" spans="2:12" x14ac:dyDescent="0.25">
      <c r="B44" s="145"/>
      <c r="C44" s="36">
        <v>28</v>
      </c>
      <c r="D44" s="158"/>
      <c r="E44" s="121"/>
      <c r="F44" s="249"/>
      <c r="G44" s="117"/>
      <c r="H44" s="145"/>
      <c r="I44" s="145"/>
      <c r="J44" s="145"/>
      <c r="K44" s="145"/>
      <c r="L44" s="145"/>
    </row>
    <row r="45" spans="2:12" x14ac:dyDescent="0.25">
      <c r="B45" s="145"/>
      <c r="C45" s="36">
        <v>29</v>
      </c>
      <c r="D45" s="158"/>
      <c r="E45" s="121"/>
      <c r="F45" s="249"/>
      <c r="G45" s="117"/>
      <c r="H45" s="145"/>
      <c r="I45" s="145"/>
      <c r="J45" s="145"/>
      <c r="K45" s="145"/>
      <c r="L45" s="145"/>
    </row>
    <row r="46" spans="2:12" x14ac:dyDescent="0.25">
      <c r="B46" s="38"/>
      <c r="C46" s="36">
        <v>30</v>
      </c>
      <c r="D46" s="197"/>
      <c r="E46" s="198"/>
      <c r="F46" s="250"/>
      <c r="G46" s="118"/>
      <c r="H46" s="145"/>
      <c r="I46" s="145"/>
      <c r="J46" s="145"/>
      <c r="K46" s="145"/>
      <c r="L46" s="145"/>
    </row>
    <row r="47" spans="2:12" x14ac:dyDescent="0.25">
      <c r="B47" s="145"/>
      <c r="C47" s="145"/>
      <c r="D47" s="145"/>
      <c r="E47" s="233"/>
      <c r="F47" s="100"/>
      <c r="G47" s="145"/>
      <c r="H47" s="145"/>
      <c r="I47" s="145"/>
      <c r="J47" s="145"/>
      <c r="K47" s="145"/>
      <c r="L47" s="145"/>
    </row>
    <row r="48" spans="2:12" x14ac:dyDescent="0.25">
      <c r="B48" s="145"/>
      <c r="C48" s="145"/>
      <c r="D48" s="145"/>
      <c r="E48" s="233"/>
      <c r="F48" s="100"/>
      <c r="G48" s="145"/>
      <c r="H48" s="145"/>
      <c r="I48" s="145"/>
      <c r="J48" s="145"/>
      <c r="K48" s="145"/>
      <c r="L48" s="145"/>
    </row>
    <row r="49" spans="2:12" x14ac:dyDescent="0.25">
      <c r="B49" s="145"/>
      <c r="C49" s="145"/>
      <c r="D49" s="145"/>
      <c r="E49" s="233"/>
      <c r="F49" s="100"/>
      <c r="G49" s="145"/>
      <c r="H49" s="145"/>
      <c r="I49" s="145"/>
      <c r="J49" s="145"/>
      <c r="K49" s="145"/>
      <c r="L49" s="145"/>
    </row>
    <row r="50" spans="2:12" ht="15" customHeight="1" x14ac:dyDescent="0.25">
      <c r="B50" s="145"/>
      <c r="C50" s="145"/>
      <c r="D50" s="223"/>
      <c r="E50" s="235"/>
      <c r="F50" s="224"/>
      <c r="G50" s="224"/>
      <c r="H50" s="225"/>
      <c r="I50" s="145"/>
      <c r="J50" s="145"/>
      <c r="K50" s="145"/>
      <c r="L50" s="145"/>
    </row>
    <row r="51" spans="2:12" ht="15" customHeight="1" x14ac:dyDescent="0.25">
      <c r="B51" s="145"/>
      <c r="C51" s="145"/>
      <c r="D51" s="226"/>
      <c r="E51" s="234"/>
      <c r="F51" s="227"/>
      <c r="G51" s="227"/>
      <c r="H51" s="228"/>
      <c r="I51" s="145"/>
      <c r="J51" s="145"/>
      <c r="K51" s="145"/>
      <c r="L51" s="145"/>
    </row>
    <row r="52" spans="2:12" ht="15" customHeight="1" x14ac:dyDescent="0.25">
      <c r="B52" s="145"/>
      <c r="C52" s="145"/>
      <c r="D52" s="226"/>
      <c r="E52" s="234"/>
      <c r="F52" s="227"/>
      <c r="G52" s="227"/>
      <c r="H52" s="228"/>
      <c r="I52" s="145"/>
      <c r="J52" s="145"/>
      <c r="K52" s="145"/>
      <c r="L52" s="145"/>
    </row>
    <row r="53" spans="2:12" ht="15" customHeight="1" x14ac:dyDescent="0.25">
      <c r="B53" s="145"/>
      <c r="C53" s="145"/>
      <c r="D53" s="226"/>
      <c r="E53" s="234"/>
      <c r="F53" s="227"/>
      <c r="G53" s="227"/>
      <c r="H53" s="228"/>
      <c r="I53" s="145"/>
      <c r="J53" s="145"/>
      <c r="K53" s="145"/>
      <c r="L53" s="145"/>
    </row>
    <row r="54" spans="2:12" ht="15" customHeight="1" x14ac:dyDescent="0.25">
      <c r="B54" s="145"/>
      <c r="C54" s="145"/>
      <c r="D54" s="229"/>
      <c r="E54" s="236"/>
      <c r="F54" s="230"/>
      <c r="G54" s="230"/>
      <c r="H54" s="231"/>
      <c r="I54" s="145"/>
      <c r="J54" s="145"/>
      <c r="K54" s="145"/>
      <c r="L54" s="145"/>
    </row>
    <row r="55" spans="2:12" x14ac:dyDescent="0.25">
      <c r="E55" s="233"/>
    </row>
    <row r="56" spans="2:12" x14ac:dyDescent="0.25">
      <c r="E56" s="233"/>
    </row>
    <row r="57" spans="2:12" x14ac:dyDescent="0.25">
      <c r="E57" s="233"/>
    </row>
    <row r="58" spans="2:12" x14ac:dyDescent="0.25">
      <c r="E58" s="233"/>
    </row>
    <row r="59" spans="2:12" x14ac:dyDescent="0.25">
      <c r="E59" s="233"/>
    </row>
    <row r="60" spans="2:12" x14ac:dyDescent="0.25">
      <c r="E60" s="233"/>
    </row>
    <row r="61" spans="2:12" x14ac:dyDescent="0.25">
      <c r="E61" s="233"/>
    </row>
    <row r="62" spans="2:12" x14ac:dyDescent="0.25">
      <c r="E62" s="233"/>
    </row>
    <row r="63" spans="2:12" x14ac:dyDescent="0.25">
      <c r="E63" s="233"/>
    </row>
    <row r="64" spans="2:12"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AC18" sqref="AC18"/>
    </sheetView>
  </sheetViews>
  <sheetFormatPr defaultRowHeight="15" x14ac:dyDescent="0.25"/>
  <cols>
    <col min="1" max="3" width="9.140625" style="145"/>
    <col min="4" max="4" width="27.42578125" style="145" customWidth="1"/>
    <col min="5" max="5" width="10.42578125" style="145" customWidth="1"/>
    <col min="6" max="6" width="15.28515625" style="145" customWidth="1"/>
    <col min="7" max="16384" width="9.140625" style="145"/>
  </cols>
  <sheetData>
    <row r="1" spans="2:17" x14ac:dyDescent="0.25">
      <c r="E1" s="107"/>
      <c r="F1" s="100"/>
    </row>
    <row r="2" spans="2:17" x14ac:dyDescent="0.25">
      <c r="E2" s="107"/>
      <c r="F2" s="100"/>
    </row>
    <row r="3" spans="2:17" x14ac:dyDescent="0.25">
      <c r="E3" s="107"/>
      <c r="F3" s="100"/>
    </row>
    <row r="4" spans="2:17" x14ac:dyDescent="0.25">
      <c r="E4" s="107"/>
      <c r="F4" s="100"/>
    </row>
    <row r="5" spans="2:17" x14ac:dyDescent="0.25">
      <c r="E5" s="107"/>
      <c r="F5" s="100"/>
    </row>
    <row r="6" spans="2:17" x14ac:dyDescent="0.25">
      <c r="B6" s="271" t="s">
        <v>246</v>
      </c>
      <c r="C6" s="272"/>
      <c r="D6" s="272"/>
      <c r="E6" s="272"/>
      <c r="F6" s="272"/>
      <c r="G6" s="272"/>
      <c r="H6" s="272"/>
      <c r="I6" s="273"/>
      <c r="K6" s="365">
        <f ca="1">TODAY()</f>
        <v>43269</v>
      </c>
      <c r="L6" s="366"/>
    </row>
    <row r="7" spans="2:17" x14ac:dyDescent="0.25">
      <c r="B7" s="274"/>
      <c r="C7" s="275"/>
      <c r="D7" s="275"/>
      <c r="E7" s="275"/>
      <c r="F7" s="275"/>
      <c r="G7" s="275"/>
      <c r="H7" s="275"/>
      <c r="I7" s="276"/>
      <c r="K7" s="366"/>
      <c r="L7" s="366"/>
    </row>
    <row r="8" spans="2:17" ht="15.75" x14ac:dyDescent="0.25">
      <c r="B8" s="91"/>
      <c r="C8" s="91"/>
      <c r="D8" s="91"/>
      <c r="E8" s="108"/>
      <c r="F8" s="100"/>
    </row>
    <row r="9" spans="2:17" ht="15.75" x14ac:dyDescent="0.25">
      <c r="B9" s="321" t="s">
        <v>236</v>
      </c>
      <c r="C9" s="322"/>
      <c r="D9" s="322"/>
      <c r="E9" s="322"/>
      <c r="F9" s="322"/>
      <c r="G9" s="322"/>
      <c r="H9" s="322"/>
      <c r="I9" s="323"/>
    </row>
    <row r="10" spans="2:17" ht="15.75" x14ac:dyDescent="0.25">
      <c r="B10" s="91"/>
      <c r="C10" s="91"/>
      <c r="D10" s="91"/>
      <c r="E10" s="108"/>
      <c r="F10" s="100"/>
    </row>
    <row r="11" spans="2:17" ht="15" customHeight="1" x14ac:dyDescent="0.25">
      <c r="B11" s="367" t="s">
        <v>245</v>
      </c>
      <c r="C11" s="368"/>
      <c r="D11" s="368"/>
      <c r="E11" s="368"/>
      <c r="F11" s="368"/>
      <c r="G11" s="368"/>
      <c r="H11" s="368"/>
      <c r="I11" s="369"/>
    </row>
    <row r="12" spans="2:17" x14ac:dyDescent="0.25">
      <c r="B12" s="370"/>
      <c r="C12" s="371"/>
      <c r="D12" s="371"/>
      <c r="E12" s="371"/>
      <c r="F12" s="371"/>
      <c r="G12" s="371"/>
      <c r="H12" s="371"/>
      <c r="I12" s="372"/>
    </row>
    <row r="13" spans="2:17" x14ac:dyDescent="0.25">
      <c r="E13" s="107"/>
      <c r="F13" s="100"/>
    </row>
    <row r="14" spans="2:17" ht="15" customHeight="1" x14ac:dyDescent="0.25">
      <c r="B14" s="373" t="s">
        <v>237</v>
      </c>
      <c r="C14" s="374"/>
      <c r="D14" s="374"/>
      <c r="E14" s="374"/>
      <c r="F14" s="374"/>
      <c r="G14" s="374"/>
      <c r="H14" s="374"/>
      <c r="I14" s="375"/>
      <c r="M14" s="147"/>
      <c r="N14" s="147"/>
      <c r="O14" s="147"/>
      <c r="P14" s="147"/>
      <c r="Q14" s="147"/>
    </row>
    <row r="15" spans="2:17" x14ac:dyDescent="0.25">
      <c r="D15" s="145" t="str">
        <f>_xll.fbnAnalyticsAdd_Template()</f>
        <v>OK</v>
      </c>
      <c r="E15" s="107"/>
      <c r="F15" s="100"/>
      <c r="G15" s="175"/>
      <c r="H15" s="175"/>
      <c r="I15" s="175"/>
      <c r="M15" s="147"/>
      <c r="N15" s="242"/>
      <c r="O15" s="233"/>
      <c r="P15" s="147"/>
      <c r="Q15" s="147"/>
    </row>
    <row r="16" spans="2:17" ht="15.75" thickBot="1" x14ac:dyDescent="0.3">
      <c r="B16" s="6"/>
      <c r="C16" s="6"/>
      <c r="D16" s="245" t="s">
        <v>9</v>
      </c>
      <c r="E16" s="120" t="s">
        <v>114</v>
      </c>
      <c r="F16" s="248" t="s">
        <v>231</v>
      </c>
      <c r="G16" s="122" t="s">
        <v>49</v>
      </c>
      <c r="H16" s="175"/>
      <c r="I16" s="175"/>
      <c r="M16" s="147"/>
      <c r="N16" s="242"/>
      <c r="O16" s="233"/>
      <c r="P16" s="147"/>
      <c r="Q16" s="147"/>
    </row>
    <row r="17" spans="3:17" ht="15.75" thickTop="1" x14ac:dyDescent="0.25">
      <c r="C17" s="36">
        <v>1</v>
      </c>
      <c r="D17" s="246" t="str">
        <f>IF(Setup!D14="",NA(),Setup!D14)</f>
        <v>FIGI_BBG00JVK5K09</v>
      </c>
      <c r="E17" s="121">
        <v>1</v>
      </c>
      <c r="F17" s="249"/>
      <c r="G17" s="181"/>
      <c r="M17" s="147"/>
      <c r="N17" s="242"/>
      <c r="O17" s="233"/>
      <c r="P17" s="147"/>
      <c r="Q17" s="147"/>
    </row>
    <row r="18" spans="3:17" x14ac:dyDescent="0.25">
      <c r="C18" s="36">
        <v>2</v>
      </c>
      <c r="D18" s="246" t="str">
        <f>IF(Setup!D15="",NA(),Setup!D15)</f>
        <v>FIGI_BBG00DL94N94</v>
      </c>
      <c r="E18" s="121">
        <v>2</v>
      </c>
      <c r="F18" s="249"/>
      <c r="G18" s="117"/>
      <c r="M18" s="147"/>
      <c r="N18" s="242"/>
      <c r="O18" s="233"/>
      <c r="P18" s="147"/>
      <c r="Q18" s="147"/>
    </row>
    <row r="19" spans="3:17" x14ac:dyDescent="0.25">
      <c r="C19" s="36">
        <v>3</v>
      </c>
      <c r="D19" s="246" t="str">
        <f>IF(Setup!D16="",NA(),Setup!D16)</f>
        <v>FIGI_BBG00DL98GH6</v>
      </c>
      <c r="E19" s="121">
        <v>3</v>
      </c>
      <c r="F19" s="249"/>
      <c r="G19" s="117"/>
      <c r="M19" s="147"/>
      <c r="N19" s="147"/>
      <c r="O19" s="147"/>
      <c r="P19" s="147"/>
      <c r="Q19" s="147"/>
    </row>
    <row r="20" spans="3:17" x14ac:dyDescent="0.25">
      <c r="C20" s="36">
        <v>4</v>
      </c>
      <c r="D20" s="246" t="str">
        <f>IF(Setup!D17="",NA(),Setup!D17)</f>
        <v>FIGI_BBG00FF56P88</v>
      </c>
      <c r="E20" s="121">
        <v>4</v>
      </c>
      <c r="F20" s="249"/>
      <c r="G20" s="117"/>
      <c r="M20" s="147"/>
      <c r="N20" s="147"/>
      <c r="O20" s="147"/>
      <c r="P20" s="147"/>
      <c r="Q20" s="147"/>
    </row>
    <row r="21" spans="3:17" x14ac:dyDescent="0.25">
      <c r="C21" s="36">
        <v>5</v>
      </c>
      <c r="D21" s="246" t="str">
        <f>IF(Setup!D18="",NA(),Setup!D18)</f>
        <v>FIGI_BBG00DL98GS4</v>
      </c>
      <c r="E21" s="121">
        <v>4</v>
      </c>
      <c r="F21" s="249"/>
      <c r="G21" s="117"/>
    </row>
    <row r="22" spans="3:17" x14ac:dyDescent="0.25">
      <c r="C22" s="36">
        <v>6</v>
      </c>
      <c r="D22" s="246" t="str">
        <f>IF(Setup!D19="",NA(),Setup!D19)</f>
        <v>FIGI_BBG00FB4V5K7</v>
      </c>
      <c r="E22" s="121">
        <v>4</v>
      </c>
      <c r="F22" s="249"/>
      <c r="G22" s="117"/>
    </row>
    <row r="23" spans="3:17" x14ac:dyDescent="0.25">
      <c r="C23" s="36">
        <v>7</v>
      </c>
      <c r="D23" s="246" t="str">
        <f>IF(Setup!D20="",NA(),Setup!D20)</f>
        <v>FIGI_BBG00FJ5T5T0</v>
      </c>
      <c r="E23" s="121">
        <v>4</v>
      </c>
      <c r="F23" s="249"/>
      <c r="G23" s="117"/>
    </row>
    <row r="24" spans="3:17" x14ac:dyDescent="0.25">
      <c r="C24" s="36">
        <v>8</v>
      </c>
      <c r="D24" s="246" t="str">
        <f>IF(Setup!D21="",NA(),Setup!D21)</f>
        <v>FIGI_BBG00FJ5T5V7</v>
      </c>
      <c r="E24" s="121">
        <v>4</v>
      </c>
      <c r="F24" s="249"/>
      <c r="G24" s="117"/>
    </row>
    <row r="25" spans="3:17" x14ac:dyDescent="0.25">
      <c r="C25" s="36">
        <v>9</v>
      </c>
      <c r="D25" s="246" t="str">
        <f>IF(Setup!D22="",NA(),Setup!D22)</f>
        <v>FIGI_BBG001STKP50</v>
      </c>
      <c r="E25" s="121">
        <v>4</v>
      </c>
      <c r="F25" s="249"/>
      <c r="G25" s="117"/>
    </row>
    <row r="26" spans="3:17" x14ac:dyDescent="0.25">
      <c r="C26" s="36">
        <v>10</v>
      </c>
      <c r="D26" s="246" t="str">
        <f>IF(Setup!D23="",NA(),Setup!D23)</f>
        <v>FIGI_BBG001SRSD26</v>
      </c>
      <c r="E26" s="121">
        <v>4</v>
      </c>
      <c r="F26" s="249"/>
      <c r="G26" s="117"/>
    </row>
    <row r="27" spans="3:17" x14ac:dyDescent="0.25">
      <c r="C27" s="36">
        <v>11</v>
      </c>
      <c r="D27" s="246" t="str">
        <f>IF(Setup!D24="",NA(),Setup!D24)</f>
        <v>FIGI_BBG00H15BY93</v>
      </c>
      <c r="E27" s="121">
        <v>4</v>
      </c>
      <c r="F27" s="249"/>
      <c r="G27" s="117"/>
      <c r="I27" s="350" t="s">
        <v>235</v>
      </c>
      <c r="J27" s="351"/>
      <c r="K27" s="352"/>
    </row>
    <row r="28" spans="3:17" x14ac:dyDescent="0.25">
      <c r="C28" s="36">
        <v>12</v>
      </c>
      <c r="D28" s="246" t="str">
        <f>IF(Setup!D25="",NA(),Setup!D25)</f>
        <v>FIGI_BBG00H15BYQ4</v>
      </c>
      <c r="E28" s="121">
        <v>4</v>
      </c>
      <c r="F28" s="249"/>
      <c r="G28" s="117"/>
      <c r="I28" s="294"/>
      <c r="J28" s="353"/>
      <c r="K28" s="354"/>
    </row>
    <row r="29" spans="3:17" x14ac:dyDescent="0.25">
      <c r="C29" s="36">
        <v>13</v>
      </c>
      <c r="D29" s="246" t="str">
        <f>IF(Setup!D26="",NA(),Setup!D26)</f>
        <v>FIGI_BBG007V3VDV6</v>
      </c>
      <c r="E29" s="121">
        <v>4</v>
      </c>
      <c r="F29" s="249"/>
      <c r="G29" s="117"/>
      <c r="I29" s="294"/>
      <c r="J29" s="353"/>
      <c r="K29" s="354"/>
    </row>
    <row r="30" spans="3:17" x14ac:dyDescent="0.25">
      <c r="C30" s="36">
        <v>14</v>
      </c>
      <c r="D30" s="246" t="str">
        <f>IF(Setup!D27="",NA(),Setup!D27)</f>
        <v>FIGI_BBG001T0SRJ5</v>
      </c>
      <c r="E30" s="121">
        <v>4</v>
      </c>
      <c r="F30" s="249"/>
      <c r="G30" s="117"/>
      <c r="I30" s="294"/>
      <c r="J30" s="353"/>
      <c r="K30" s="354"/>
    </row>
    <row r="31" spans="3:17" x14ac:dyDescent="0.25">
      <c r="C31" s="36">
        <v>15</v>
      </c>
      <c r="D31" s="246" t="str">
        <f>IF(Setup!D28="",NA(),Setup!D28)</f>
        <v>FIGI_BBG001T1P853</v>
      </c>
      <c r="E31" s="121">
        <v>4</v>
      </c>
      <c r="F31" s="249"/>
      <c r="G31" s="117"/>
      <c r="I31" s="294"/>
      <c r="J31" s="353"/>
      <c r="K31" s="354"/>
    </row>
    <row r="32" spans="3:17" x14ac:dyDescent="0.25">
      <c r="C32" s="36">
        <v>16</v>
      </c>
      <c r="D32" s="246" t="str">
        <f>IF(Setup!D29="",NA(),Setup!D29)</f>
        <v>FIGI_BBG001T8ZB05</v>
      </c>
      <c r="E32" s="121">
        <v>4</v>
      </c>
      <c r="F32" s="249"/>
      <c r="G32" s="117"/>
      <c r="I32" s="294"/>
      <c r="J32" s="353"/>
      <c r="K32" s="354"/>
    </row>
    <row r="33" spans="2:11" x14ac:dyDescent="0.25">
      <c r="C33" s="36">
        <v>17</v>
      </c>
      <c r="D33" s="246" t="str">
        <f>IF(Setup!D30="",NA(),Setup!D30)</f>
        <v>FIGI_BBG001STMN80</v>
      </c>
      <c r="E33" s="121">
        <v>4</v>
      </c>
      <c r="F33" s="249"/>
      <c r="G33" s="117"/>
      <c r="I33" s="355"/>
      <c r="J33" s="356"/>
      <c r="K33" s="357"/>
    </row>
    <row r="34" spans="2:11" x14ac:dyDescent="0.25">
      <c r="C34" s="36">
        <v>18</v>
      </c>
      <c r="D34" s="246" t="str">
        <f>IF(Setup!D31="",NA(),Setup!D31)</f>
        <v>FIGI_BBG001T8ZB14</v>
      </c>
      <c r="E34" s="121">
        <v>4</v>
      </c>
      <c r="F34" s="249"/>
      <c r="G34" s="117"/>
    </row>
    <row r="35" spans="2:11" x14ac:dyDescent="0.25">
      <c r="C35" s="36">
        <v>19</v>
      </c>
      <c r="D35" s="246" t="str">
        <f>IF(Setup!D32="",NA(),Setup!D32)</f>
        <v>FIGI_BBG001V0BND5</v>
      </c>
      <c r="E35" s="121">
        <v>4</v>
      </c>
      <c r="F35" s="249"/>
      <c r="G35" s="117"/>
    </row>
    <row r="36" spans="2:11" x14ac:dyDescent="0.25">
      <c r="C36" s="36">
        <v>20</v>
      </c>
      <c r="D36" s="246" t="str">
        <f>IF(Setup!D33="",NA(),Setup!D33)</f>
        <v>FIGI_BBG0037S1FF3</v>
      </c>
      <c r="E36" s="121">
        <v>4</v>
      </c>
      <c r="F36" s="249"/>
      <c r="G36" s="117"/>
    </row>
    <row r="37" spans="2:11" x14ac:dyDescent="0.25">
      <c r="C37" s="36">
        <v>21</v>
      </c>
      <c r="D37" s="246" t="str">
        <f>IF(Setup!D34="",NA(),Setup!D34)</f>
        <v>FIGI_BBG001TJMQW7</v>
      </c>
      <c r="E37" s="121">
        <v>4</v>
      </c>
      <c r="F37" s="249"/>
      <c r="G37" s="117"/>
    </row>
    <row r="38" spans="2:11" x14ac:dyDescent="0.25">
      <c r="C38" s="36">
        <v>22</v>
      </c>
      <c r="D38" s="246" t="str">
        <f>IF(Setup!D35="",NA(),Setup!D35)</f>
        <v>FIGI_BBG0034YPJH7</v>
      </c>
      <c r="E38" s="121">
        <v>4</v>
      </c>
      <c r="F38" s="249"/>
      <c r="G38" s="117"/>
    </row>
    <row r="39" spans="2:11" x14ac:dyDescent="0.25">
      <c r="C39" s="36">
        <v>23</v>
      </c>
      <c r="D39" s="246" t="str">
        <f>IF(Setup!D36="",NA(),Setup!D36)</f>
        <v>FIGI_BBG0034YQ817</v>
      </c>
      <c r="E39" s="121">
        <v>4</v>
      </c>
      <c r="F39" s="249"/>
      <c r="G39" s="117"/>
    </row>
    <row r="40" spans="2:11" x14ac:dyDescent="0.25">
      <c r="C40" s="36">
        <v>24</v>
      </c>
      <c r="D40" s="246" t="str">
        <f>IF(Setup!D37="",NA(),Setup!D37)</f>
        <v>FIGI_BBG004733G08</v>
      </c>
      <c r="E40" s="121">
        <v>4</v>
      </c>
      <c r="F40" s="249"/>
      <c r="G40" s="117"/>
    </row>
    <row r="41" spans="2:11" x14ac:dyDescent="0.25">
      <c r="C41" s="36">
        <v>25</v>
      </c>
      <c r="D41" s="246" t="str">
        <f>IF(Setup!D38="",NA(),Setup!D38)</f>
        <v>FIGI_BBG004XQG9G3</v>
      </c>
      <c r="E41" s="121">
        <v>4</v>
      </c>
      <c r="F41" s="249"/>
      <c r="G41" s="117"/>
    </row>
    <row r="42" spans="2:11" x14ac:dyDescent="0.25">
      <c r="C42" s="36">
        <v>26</v>
      </c>
      <c r="D42" s="246" t="str">
        <f>IF(Setup!D39="",NA(),Setup!D39)</f>
        <v>FIGI_BBG003BJ6K53</v>
      </c>
      <c r="E42" s="121">
        <v>4</v>
      </c>
      <c r="F42" s="249"/>
      <c r="G42" s="117"/>
    </row>
    <row r="43" spans="2:11" x14ac:dyDescent="0.25">
      <c r="C43" s="36">
        <v>27</v>
      </c>
      <c r="D43" s="246" t="e">
        <f>IF(Setup!D40="",NA(),Setup!D40)</f>
        <v>#N/A</v>
      </c>
      <c r="E43" s="121"/>
      <c r="F43" s="249"/>
      <c r="G43" s="117"/>
    </row>
    <row r="44" spans="2:11" x14ac:dyDescent="0.25">
      <c r="C44" s="36">
        <v>28</v>
      </c>
      <c r="D44" s="246" t="e">
        <f>IF(Setup!D41="",NA(),Setup!D41)</f>
        <v>#N/A</v>
      </c>
      <c r="E44" s="121"/>
      <c r="F44" s="249"/>
      <c r="G44" s="117"/>
    </row>
    <row r="45" spans="2:11" x14ac:dyDescent="0.25">
      <c r="C45" s="36">
        <v>29</v>
      </c>
      <c r="D45" s="246" t="e">
        <f>IF(Setup!D42="",NA(),Setup!D42)</f>
        <v>#N/A</v>
      </c>
      <c r="E45" s="121"/>
      <c r="F45" s="249"/>
      <c r="G45" s="117"/>
    </row>
    <row r="46" spans="2:11" x14ac:dyDescent="0.25">
      <c r="B46" s="38"/>
      <c r="C46" s="36">
        <v>30</v>
      </c>
      <c r="D46" s="247" t="e">
        <f>IF(Setup!D43="",NA(),Setup!D43)</f>
        <v>#N/A</v>
      </c>
      <c r="E46" s="198"/>
      <c r="F46" s="250"/>
      <c r="G46" s="118"/>
    </row>
    <row r="47" spans="2:11" x14ac:dyDescent="0.25">
      <c r="E47" s="233"/>
      <c r="F47" s="100"/>
    </row>
    <row r="48" spans="2:11" x14ac:dyDescent="0.25">
      <c r="E48" s="233"/>
      <c r="F48" s="100"/>
    </row>
    <row r="49" spans="3:8" x14ac:dyDescent="0.25">
      <c r="E49" s="233"/>
      <c r="F49" s="100"/>
    </row>
    <row r="50" spans="3:8" ht="15" customHeight="1" x14ac:dyDescent="0.25">
      <c r="C50" s="343" t="s">
        <v>238</v>
      </c>
      <c r="D50" s="344"/>
      <c r="E50" s="344"/>
      <c r="F50" s="344"/>
      <c r="G50" s="344"/>
      <c r="H50" s="345"/>
    </row>
    <row r="51" spans="3:8" ht="15" customHeight="1" x14ac:dyDescent="0.25">
      <c r="C51" s="346"/>
      <c r="D51" s="332"/>
      <c r="E51" s="332"/>
      <c r="F51" s="332"/>
      <c r="G51" s="332"/>
      <c r="H51" s="347"/>
    </row>
    <row r="52" spans="3:8" ht="15" customHeight="1" x14ac:dyDescent="0.25">
      <c r="C52" s="346"/>
      <c r="D52" s="332"/>
      <c r="E52" s="332"/>
      <c r="F52" s="332"/>
      <c r="G52" s="332"/>
      <c r="H52" s="347"/>
    </row>
    <row r="53" spans="3:8" ht="15" customHeight="1" x14ac:dyDescent="0.25">
      <c r="C53" s="346"/>
      <c r="D53" s="332"/>
      <c r="E53" s="332"/>
      <c r="F53" s="332"/>
      <c r="G53" s="332"/>
      <c r="H53" s="347"/>
    </row>
    <row r="54" spans="3:8" ht="15" customHeight="1" x14ac:dyDescent="0.25">
      <c r="C54" s="364"/>
      <c r="D54" s="348"/>
      <c r="E54" s="348"/>
      <c r="F54" s="348"/>
      <c r="G54" s="348"/>
      <c r="H54" s="349"/>
    </row>
    <row r="55" spans="3:8" x14ac:dyDescent="0.25">
      <c r="E55" s="233"/>
    </row>
    <row r="56" spans="3:8" x14ac:dyDescent="0.25">
      <c r="E56" s="233"/>
    </row>
    <row r="57" spans="3:8" x14ac:dyDescent="0.25">
      <c r="E57" s="233"/>
    </row>
    <row r="58" spans="3:8" x14ac:dyDescent="0.25">
      <c r="E58" s="233"/>
    </row>
    <row r="59" spans="3:8" x14ac:dyDescent="0.25">
      <c r="E59" s="233"/>
    </row>
    <row r="60" spans="3:8" x14ac:dyDescent="0.25">
      <c r="E60" s="233"/>
    </row>
    <row r="61" spans="3:8" x14ac:dyDescent="0.25">
      <c r="E61" s="233"/>
    </row>
    <row r="62" spans="3:8" x14ac:dyDescent="0.25">
      <c r="E62" s="233"/>
    </row>
    <row r="63" spans="3:8" x14ac:dyDescent="0.25">
      <c r="E63" s="233"/>
    </row>
    <row r="64" spans="3:8"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ur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5"/>
  <sheetViews>
    <sheetView topLeftCell="A10" zoomScale="80" zoomScaleNormal="80" workbookViewId="0">
      <selection activeCell="I39" sqref="I39"/>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343" t="s">
        <v>189</v>
      </c>
      <c r="C6" s="344"/>
      <c r="D6" s="344"/>
      <c r="E6" s="344"/>
      <c r="F6" s="344"/>
      <c r="G6" s="344"/>
      <c r="H6" s="345"/>
      <c r="I6" s="129"/>
      <c r="L6" s="129"/>
      <c r="M6" s="129"/>
      <c r="N6" s="129"/>
    </row>
    <row r="7" spans="2:14" ht="15" customHeight="1" x14ac:dyDescent="0.25">
      <c r="B7" s="346"/>
      <c r="C7" s="332"/>
      <c r="D7" s="332"/>
      <c r="E7" s="332"/>
      <c r="F7" s="332"/>
      <c r="G7" s="332"/>
      <c r="H7" s="347"/>
      <c r="I7" s="129"/>
      <c r="L7" s="129"/>
      <c r="M7" s="129"/>
      <c r="N7" s="129"/>
    </row>
    <row r="8" spans="2:14" ht="15.75" customHeight="1" x14ac:dyDescent="0.25">
      <c r="B8" s="364"/>
      <c r="C8" s="348"/>
      <c r="D8" s="348"/>
      <c r="E8" s="348"/>
      <c r="F8" s="348"/>
      <c r="G8" s="348"/>
      <c r="H8" s="349"/>
      <c r="I8" s="25"/>
    </row>
    <row r="10" spans="2:14" ht="15.75" customHeight="1" x14ac:dyDescent="0.25">
      <c r="B10" s="312" t="s">
        <v>188</v>
      </c>
      <c r="C10" s="313"/>
      <c r="D10" s="313"/>
      <c r="E10" s="313"/>
      <c r="F10" s="313"/>
      <c r="G10" s="313"/>
      <c r="H10" s="314"/>
      <c r="I10" s="91"/>
    </row>
    <row r="11" spans="2:14" ht="15.75" x14ac:dyDescent="0.25">
      <c r="B11" s="315"/>
      <c r="C11" s="316"/>
      <c r="D11" s="316"/>
      <c r="E11" s="316"/>
      <c r="F11" s="316"/>
      <c r="G11" s="316"/>
      <c r="H11" s="317"/>
      <c r="I11" s="91"/>
    </row>
    <row r="12" spans="2:14" ht="15.75" x14ac:dyDescent="0.25">
      <c r="D12" s="91"/>
      <c r="E12" s="91"/>
      <c r="F12" s="91"/>
      <c r="G12" s="91"/>
      <c r="H12" s="91"/>
      <c r="I12" s="91"/>
    </row>
    <row r="13" spans="2:14" ht="16.5" customHeight="1" thickBot="1" x14ac:dyDescent="0.3">
      <c r="B13" s="125" t="s">
        <v>1</v>
      </c>
      <c r="C13" s="126" t="s">
        <v>114</v>
      </c>
      <c r="D13" s="91"/>
      <c r="E13" s="343" t="s">
        <v>205</v>
      </c>
      <c r="F13" s="344"/>
      <c r="G13" s="344"/>
      <c r="H13" s="345"/>
      <c r="I13" s="140"/>
    </row>
    <row r="14" spans="2:14" ht="16.5" customHeight="1" thickTop="1" x14ac:dyDescent="0.25">
      <c r="B14" s="123" t="s">
        <v>121</v>
      </c>
      <c r="C14" s="98" t="str">
        <f>Scope</f>
        <v>MyNameSpace</v>
      </c>
      <c r="D14" s="91"/>
      <c r="E14" s="346"/>
      <c r="F14" s="332"/>
      <c r="G14" s="332"/>
      <c r="H14" s="347"/>
      <c r="I14" s="140"/>
    </row>
    <row r="15" spans="2:14" ht="15.75" customHeight="1" x14ac:dyDescent="0.25">
      <c r="B15" s="123" t="s">
        <v>122</v>
      </c>
      <c r="C15" s="98" t="str">
        <f>Scope</f>
        <v>MyNameSpace</v>
      </c>
      <c r="D15" s="91"/>
      <c r="E15" s="346"/>
      <c r="F15" s="332"/>
      <c r="G15" s="332"/>
      <c r="H15" s="347"/>
      <c r="I15" s="140"/>
    </row>
    <row r="16" spans="2:14" ht="15.75" customHeight="1" x14ac:dyDescent="0.25">
      <c r="B16" s="123" t="s">
        <v>123</v>
      </c>
      <c r="C16" s="98" t="s">
        <v>124</v>
      </c>
      <c r="D16" s="91"/>
      <c r="E16" s="346"/>
      <c r="F16" s="332"/>
      <c r="G16" s="332"/>
      <c r="H16" s="347"/>
      <c r="I16" s="140"/>
    </row>
    <row r="17" spans="1:10" ht="15.75" customHeight="1" x14ac:dyDescent="0.25">
      <c r="B17" s="123" t="s">
        <v>125</v>
      </c>
      <c r="C17" s="191" t="s">
        <v>201</v>
      </c>
      <c r="D17" s="91"/>
      <c r="E17" s="346"/>
      <c r="F17" s="332"/>
      <c r="G17" s="332"/>
      <c r="H17" s="347"/>
      <c r="I17" s="140"/>
      <c r="J17" s="188"/>
    </row>
    <row r="18" spans="1:10" ht="15.75" customHeight="1" x14ac:dyDescent="0.25">
      <c r="B18" s="123" t="s">
        <v>47</v>
      </c>
      <c r="C18" s="187" t="s">
        <v>126</v>
      </c>
      <c r="D18" s="91"/>
      <c r="E18" s="346"/>
      <c r="F18" s="332"/>
      <c r="G18" s="332"/>
      <c r="H18" s="347"/>
      <c r="I18" s="91"/>
      <c r="J18" s="148"/>
    </row>
    <row r="19" spans="1:10" ht="15.75" customHeight="1" x14ac:dyDescent="0.25">
      <c r="B19" s="124" t="s">
        <v>127</v>
      </c>
      <c r="C19" s="127">
        <f ca="1">AnalyticsStoreDate</f>
        <v>43269</v>
      </c>
      <c r="D19" s="91"/>
      <c r="E19" s="364"/>
      <c r="F19" s="348"/>
      <c r="G19" s="348"/>
      <c r="H19" s="349"/>
      <c r="I19" s="91"/>
      <c r="J19" s="147"/>
    </row>
    <row r="20" spans="1:10" ht="15.75" x14ac:dyDescent="0.25">
      <c r="D20" s="91"/>
      <c r="E20" s="91"/>
      <c r="F20" s="91"/>
      <c r="G20" s="91"/>
      <c r="H20" s="91"/>
      <c r="I20" s="91"/>
    </row>
    <row r="21" spans="1:10" ht="15.75" x14ac:dyDescent="0.25">
      <c r="D21" s="91"/>
      <c r="E21" s="91"/>
      <c r="F21" s="91"/>
      <c r="G21" s="91"/>
      <c r="H21" s="91"/>
      <c r="I21" s="91"/>
    </row>
    <row r="22" spans="1:10" ht="15.75" customHeight="1" x14ac:dyDescent="0.25">
      <c r="B22" s="305" t="s">
        <v>187</v>
      </c>
      <c r="C22" s="306"/>
      <c r="D22" s="306"/>
      <c r="E22" s="307"/>
      <c r="F22" s="105"/>
      <c r="G22" s="105"/>
      <c r="H22" s="91"/>
      <c r="I22" s="91"/>
    </row>
    <row r="23" spans="1:10" ht="15.75" customHeight="1" x14ac:dyDescent="0.25">
      <c r="B23" s="324"/>
      <c r="C23" s="325"/>
      <c r="D23" s="325"/>
      <c r="E23" s="326"/>
      <c r="F23" s="105"/>
      <c r="G23" s="105"/>
      <c r="H23" s="91"/>
      <c r="I23" s="91"/>
    </row>
    <row r="24" spans="1:10" ht="15.75" x14ac:dyDescent="0.25">
      <c r="B24" s="308"/>
      <c r="C24" s="327"/>
      <c r="D24" s="327"/>
      <c r="E24" s="310"/>
      <c r="F24" s="105"/>
      <c r="G24" s="105"/>
      <c r="H24" s="91"/>
      <c r="I24" s="91"/>
    </row>
    <row r="25" spans="1:10" ht="15.75" x14ac:dyDescent="0.25">
      <c r="D25" s="91"/>
      <c r="E25" s="91"/>
      <c r="F25" s="91"/>
      <c r="G25" s="91"/>
      <c r="H25" s="91"/>
      <c r="I25" s="91"/>
    </row>
    <row r="26" spans="1:10" ht="15.75" x14ac:dyDescent="0.25">
      <c r="B26" s="244" t="s">
        <v>190</v>
      </c>
      <c r="D26" s="91"/>
      <c r="E26" s="91"/>
      <c r="F26" s="91"/>
      <c r="G26" s="91"/>
      <c r="H26" s="91"/>
      <c r="I26" s="91"/>
    </row>
    <row r="27" spans="1:10" ht="15.75" x14ac:dyDescent="0.25">
      <c r="B27" s="147"/>
      <c r="C27" s="147"/>
      <c r="D27" s="91"/>
      <c r="E27" s="91"/>
      <c r="F27" s="91"/>
      <c r="G27" s="91"/>
      <c r="H27" s="91"/>
      <c r="I27" s="91"/>
    </row>
    <row r="28" spans="1:10" ht="15.75" x14ac:dyDescent="0.25">
      <c r="A28" s="147"/>
      <c r="B28" s="243"/>
      <c r="C28" s="243"/>
      <c r="D28" s="243"/>
      <c r="E28" s="243"/>
      <c r="F28" s="147"/>
      <c r="G28" s="91"/>
      <c r="H28" s="91"/>
      <c r="I28" s="91"/>
    </row>
    <row r="29" spans="1:10" ht="15.75" x14ac:dyDescent="0.25">
      <c r="A29" s="147"/>
      <c r="B29" s="243"/>
      <c r="C29" s="243"/>
      <c r="D29" s="243"/>
      <c r="E29" s="243"/>
      <c r="F29" s="147"/>
      <c r="G29" s="91"/>
      <c r="H29" s="91"/>
      <c r="I29" s="91"/>
    </row>
    <row r="30" spans="1:10" ht="15.75" x14ac:dyDescent="0.25">
      <c r="A30" s="147"/>
      <c r="B30" s="243"/>
      <c r="C30" s="243"/>
      <c r="D30" s="243"/>
      <c r="E30" s="243"/>
      <c r="F30" s="147"/>
      <c r="G30" s="91"/>
      <c r="H30" s="91"/>
      <c r="I30" s="91"/>
    </row>
    <row r="31" spans="1:10" x14ac:dyDescent="0.25">
      <c r="A31" s="147"/>
      <c r="B31" s="243"/>
      <c r="C31" s="243"/>
      <c r="D31" s="243"/>
      <c r="E31" s="243"/>
      <c r="F31" s="147"/>
      <c r="G31" s="147"/>
    </row>
    <row r="32" spans="1:10" x14ac:dyDescent="0.25">
      <c r="A32" s="147"/>
      <c r="B32" s="243"/>
      <c r="C32" s="243"/>
      <c r="D32" s="243"/>
      <c r="E32" s="243"/>
      <c r="F32" s="147"/>
      <c r="G32" s="147"/>
    </row>
    <row r="33" spans="1:7" x14ac:dyDescent="0.25">
      <c r="A33" s="147"/>
      <c r="B33" s="243"/>
      <c r="C33" s="243"/>
      <c r="D33" s="243"/>
      <c r="E33" s="243"/>
      <c r="F33" s="147"/>
      <c r="G33" s="147"/>
    </row>
    <row r="34" spans="1:7" ht="15" customHeight="1" x14ac:dyDescent="0.25">
      <c r="A34" s="147"/>
      <c r="B34" s="243"/>
      <c r="C34" s="243"/>
      <c r="D34" s="243"/>
      <c r="E34" s="243"/>
      <c r="F34" s="147"/>
      <c r="G34" s="147"/>
    </row>
    <row r="35" spans="1:7" x14ac:dyDescent="0.25">
      <c r="A35" s="147"/>
      <c r="B35" s="243"/>
      <c r="C35" s="243"/>
      <c r="D35" s="243"/>
      <c r="E35" s="243"/>
      <c r="F35" s="147"/>
      <c r="G35" s="147"/>
    </row>
    <row r="36" spans="1:7" x14ac:dyDescent="0.25">
      <c r="A36" s="147"/>
      <c r="B36" s="243"/>
      <c r="C36" s="243"/>
      <c r="D36" s="243"/>
      <c r="E36" s="243"/>
      <c r="F36" s="147"/>
      <c r="G36" s="147"/>
    </row>
    <row r="37" spans="1:7" x14ac:dyDescent="0.25">
      <c r="A37" s="147"/>
      <c r="B37" s="243"/>
      <c r="C37" s="243"/>
      <c r="D37" s="243"/>
      <c r="E37" s="243"/>
      <c r="F37" s="147"/>
      <c r="G37" s="147"/>
    </row>
    <row r="38" spans="1:7" x14ac:dyDescent="0.25">
      <c r="A38" s="147"/>
      <c r="B38" s="243"/>
      <c r="C38" s="243"/>
      <c r="D38" s="243"/>
      <c r="E38" s="243"/>
      <c r="F38" s="147"/>
      <c r="G38" s="147"/>
    </row>
    <row r="39" spans="1:7" x14ac:dyDescent="0.25">
      <c r="A39" s="147"/>
      <c r="B39" s="243"/>
      <c r="C39" s="243"/>
      <c r="D39" s="243"/>
      <c r="E39" s="243"/>
      <c r="F39" s="147"/>
      <c r="G39" s="147"/>
    </row>
    <row r="40" spans="1:7" x14ac:dyDescent="0.25">
      <c r="A40" s="147"/>
      <c r="B40" s="243"/>
      <c r="C40" s="243"/>
      <c r="D40" s="243"/>
      <c r="E40" s="243"/>
      <c r="F40" s="147"/>
      <c r="G40" s="147"/>
    </row>
    <row r="41" spans="1:7" x14ac:dyDescent="0.25">
      <c r="A41" s="147"/>
      <c r="B41" s="243"/>
      <c r="C41" s="243"/>
      <c r="D41" s="243"/>
      <c r="E41" s="243"/>
      <c r="F41" s="147"/>
      <c r="G41" s="147"/>
    </row>
    <row r="42" spans="1:7" x14ac:dyDescent="0.25">
      <c r="A42" s="147"/>
      <c r="B42" s="243"/>
      <c r="C42" s="243"/>
      <c r="D42" s="243"/>
      <c r="E42" s="243"/>
      <c r="F42" s="147"/>
      <c r="G42" s="147"/>
    </row>
    <row r="43" spans="1:7" x14ac:dyDescent="0.25">
      <c r="A43" s="147"/>
      <c r="B43" s="243"/>
      <c r="C43" s="243"/>
      <c r="D43" s="243"/>
      <c r="E43" s="243"/>
      <c r="F43" s="147"/>
      <c r="G43" s="147"/>
    </row>
    <row r="44" spans="1:7" x14ac:dyDescent="0.25">
      <c r="A44" s="147"/>
      <c r="B44" s="243"/>
      <c r="C44" s="243"/>
      <c r="D44" s="243"/>
      <c r="E44" s="243"/>
      <c r="F44" s="147"/>
      <c r="G44" s="147"/>
    </row>
    <row r="45" spans="1:7" x14ac:dyDescent="0.25">
      <c r="A45" s="147"/>
      <c r="B45" s="243"/>
      <c r="C45" s="243"/>
      <c r="D45" s="243"/>
      <c r="E45" s="243"/>
      <c r="F45" s="147"/>
      <c r="G45" s="147"/>
    </row>
    <row r="46" spans="1:7" x14ac:dyDescent="0.25">
      <c r="A46" s="147"/>
      <c r="B46" s="243"/>
      <c r="C46" s="243"/>
      <c r="D46" s="243"/>
      <c r="E46" s="243"/>
      <c r="F46" s="147"/>
      <c r="G46" s="147"/>
    </row>
    <row r="47" spans="1:7" x14ac:dyDescent="0.25">
      <c r="A47" s="147"/>
      <c r="B47" s="243"/>
      <c r="C47" s="243"/>
      <c r="D47" s="243"/>
      <c r="E47" s="243"/>
      <c r="F47" s="147"/>
      <c r="G47" s="147"/>
    </row>
    <row r="48" spans="1:7" x14ac:dyDescent="0.25">
      <c r="A48" s="147"/>
      <c r="B48" s="243"/>
      <c r="C48" s="243"/>
      <c r="D48" s="243"/>
      <c r="E48" s="243"/>
      <c r="F48" s="147"/>
      <c r="G48" s="147"/>
    </row>
    <row r="49" spans="1:7" x14ac:dyDescent="0.25">
      <c r="A49" s="147"/>
      <c r="B49" s="243"/>
      <c r="C49" s="243"/>
      <c r="D49" s="243"/>
      <c r="E49" s="243"/>
      <c r="F49" s="147"/>
      <c r="G49" s="147"/>
    </row>
    <row r="50" spans="1:7" x14ac:dyDescent="0.25">
      <c r="A50" s="147"/>
      <c r="B50" s="243"/>
      <c r="C50" s="243"/>
      <c r="D50" s="243"/>
      <c r="E50" s="243"/>
      <c r="F50" s="147"/>
      <c r="G50" s="147"/>
    </row>
    <row r="51" spans="1:7" x14ac:dyDescent="0.25">
      <c r="A51" s="147"/>
      <c r="B51" s="243"/>
      <c r="C51" s="243"/>
      <c r="D51" s="243"/>
      <c r="E51" s="243"/>
      <c r="F51" s="147"/>
      <c r="G51" s="147"/>
    </row>
    <row r="52" spans="1:7" x14ac:dyDescent="0.25">
      <c r="A52" s="147"/>
      <c r="B52" s="243"/>
      <c r="C52" s="243"/>
      <c r="D52" s="243"/>
      <c r="E52" s="243"/>
      <c r="F52" s="147"/>
      <c r="G52" s="147"/>
    </row>
    <row r="53" spans="1:7" x14ac:dyDescent="0.25">
      <c r="A53" s="147"/>
      <c r="B53" s="243"/>
      <c r="C53" s="243"/>
      <c r="D53" s="243"/>
      <c r="E53" s="243"/>
      <c r="F53" s="147"/>
      <c r="G53" s="147"/>
    </row>
    <row r="54" spans="1:7" x14ac:dyDescent="0.25">
      <c r="A54" s="147"/>
      <c r="B54" s="243"/>
      <c r="C54" s="243"/>
      <c r="D54" s="243"/>
      <c r="E54" s="243"/>
      <c r="F54" s="147"/>
      <c r="G54" s="147"/>
    </row>
    <row r="55" spans="1:7" x14ac:dyDescent="0.25">
      <c r="A55" s="147"/>
      <c r="B55" s="147"/>
      <c r="C55" s="147"/>
      <c r="D55" s="147"/>
      <c r="E55" s="147"/>
      <c r="F55" s="147"/>
      <c r="G55" s="147"/>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14" sqref="G14:H15"/>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80" t="s">
        <v>80</v>
      </c>
      <c r="D7" s="381"/>
      <c r="E7" s="382"/>
      <c r="F7" s="23"/>
    </row>
    <row r="8" spans="3:8" x14ac:dyDescent="0.25">
      <c r="C8" s="383"/>
      <c r="D8" s="384"/>
      <c r="E8" s="385"/>
      <c r="F8" s="23"/>
    </row>
    <row r="9" spans="3:8" x14ac:dyDescent="0.25">
      <c r="C9" s="386"/>
      <c r="D9" s="387"/>
      <c r="E9" s="388"/>
    </row>
    <row r="11" spans="3:8" ht="16.5" customHeight="1" x14ac:dyDescent="0.25">
      <c r="C11" s="376" t="s">
        <v>11</v>
      </c>
      <c r="D11" s="377"/>
      <c r="E11" s="378"/>
      <c r="G11" s="376" t="s">
        <v>4</v>
      </c>
      <c r="H11" s="378"/>
    </row>
    <row r="12" spans="3:8" x14ac:dyDescent="0.25">
      <c r="C12" t="str">
        <f>_xll.fbnSecuritiesAdd_Template()</f>
        <v>OK</v>
      </c>
    </row>
    <row r="13" spans="3:8" ht="15.75" thickBot="1" x14ac:dyDescent="0.3">
      <c r="C13" s="150" t="s">
        <v>0</v>
      </c>
      <c r="D13" s="151" t="s">
        <v>1</v>
      </c>
      <c r="E13" s="152" t="s">
        <v>2</v>
      </c>
      <c r="F13" s="1"/>
      <c r="G13" s="54" t="s">
        <v>5</v>
      </c>
      <c r="H13" s="55" t="s">
        <v>50</v>
      </c>
    </row>
    <row r="14" spans="3:8" ht="15.75" thickTop="1" x14ac:dyDescent="0.25">
      <c r="C14" s="153" t="s">
        <v>185</v>
      </c>
      <c r="D14" s="154" t="s">
        <v>186</v>
      </c>
      <c r="E14" s="155"/>
      <c r="F14" s="2"/>
      <c r="G14" s="56"/>
      <c r="H14" s="57"/>
    </row>
    <row r="15" spans="3:8" x14ac:dyDescent="0.25">
      <c r="C15" s="153"/>
      <c r="D15" s="154"/>
      <c r="E15" s="155"/>
      <c r="F15" s="3"/>
      <c r="G15" s="18"/>
      <c r="H15" s="19"/>
    </row>
    <row r="16" spans="3:8" x14ac:dyDescent="0.25">
      <c r="C16" s="153"/>
      <c r="D16" s="154"/>
      <c r="E16" s="155"/>
      <c r="F16" s="3"/>
      <c r="G16" s="18"/>
      <c r="H16" s="19"/>
    </row>
    <row r="17" spans="3:15" x14ac:dyDescent="0.25">
      <c r="C17" s="153"/>
      <c r="D17" s="154"/>
      <c r="E17" s="155"/>
      <c r="F17" s="3"/>
      <c r="G17" s="18"/>
      <c r="H17" s="19"/>
    </row>
    <row r="18" spans="3:15" x14ac:dyDescent="0.25">
      <c r="C18" s="153"/>
      <c r="D18" s="154"/>
      <c r="E18" s="155"/>
      <c r="F18" s="3"/>
      <c r="G18" s="18"/>
      <c r="H18" s="19"/>
    </row>
    <row r="19" spans="3:15" x14ac:dyDescent="0.25">
      <c r="C19" s="153"/>
      <c r="D19" s="154"/>
      <c r="E19" s="155"/>
      <c r="F19" s="3"/>
      <c r="G19" s="18"/>
      <c r="H19" s="19"/>
    </row>
    <row r="20" spans="3:15" x14ac:dyDescent="0.25">
      <c r="C20" s="153"/>
      <c r="D20" s="154"/>
      <c r="E20" s="155"/>
      <c r="F20" s="3"/>
      <c r="G20" s="18"/>
      <c r="H20" s="19"/>
      <c r="K20" s="379" t="s">
        <v>72</v>
      </c>
      <c r="L20" s="379"/>
      <c r="M20" s="379"/>
      <c r="N20" s="379"/>
      <c r="O20" s="379"/>
    </row>
    <row r="21" spans="3:15" x14ac:dyDescent="0.25">
      <c r="C21" s="153"/>
      <c r="D21" s="154"/>
      <c r="E21" s="155"/>
      <c r="F21" s="3"/>
      <c r="G21" s="18"/>
      <c r="H21" s="19"/>
      <c r="K21" s="379"/>
      <c r="L21" s="379"/>
      <c r="M21" s="379"/>
      <c r="N21" s="379"/>
      <c r="O21" s="379"/>
    </row>
    <row r="22" spans="3:15" x14ac:dyDescent="0.25">
      <c r="C22" s="153"/>
      <c r="D22" s="154"/>
      <c r="E22" s="155"/>
      <c r="F22" s="3"/>
      <c r="G22" s="18"/>
      <c r="H22" s="19"/>
      <c r="K22" s="379"/>
      <c r="L22" s="379"/>
      <c r="M22" s="379"/>
      <c r="N22" s="379"/>
      <c r="O22" s="379"/>
    </row>
    <row r="23" spans="3:15" x14ac:dyDescent="0.25">
      <c r="C23" s="153"/>
      <c r="D23" s="154"/>
      <c r="E23" s="155"/>
      <c r="F23" s="3"/>
      <c r="G23" s="18"/>
      <c r="H23" s="19"/>
      <c r="K23" s="379"/>
      <c r="L23" s="379"/>
      <c r="M23" s="379"/>
      <c r="N23" s="379"/>
      <c r="O23" s="379"/>
    </row>
    <row r="24" spans="3:15" x14ac:dyDescent="0.25">
      <c r="C24" s="153"/>
      <c r="D24" s="154"/>
      <c r="E24" s="155"/>
      <c r="F24" s="3"/>
      <c r="G24" s="18"/>
      <c r="H24" s="19"/>
      <c r="K24" s="379"/>
      <c r="L24" s="379"/>
      <c r="M24" s="379"/>
      <c r="N24" s="379"/>
      <c r="O24" s="379"/>
    </row>
    <row r="25" spans="3:15" x14ac:dyDescent="0.25">
      <c r="C25" s="153"/>
      <c r="D25" s="154"/>
      <c r="E25" s="155"/>
      <c r="F25" s="3"/>
      <c r="G25" s="18"/>
      <c r="H25" s="19"/>
    </row>
    <row r="26" spans="3:15" x14ac:dyDescent="0.25">
      <c r="C26" s="153"/>
      <c r="D26" s="154"/>
      <c r="E26" s="155"/>
      <c r="F26" s="3"/>
      <c r="G26" s="18"/>
      <c r="H26" s="19"/>
    </row>
    <row r="27" spans="3:15" x14ac:dyDescent="0.25">
      <c r="C27" s="153"/>
      <c r="D27" s="154"/>
      <c r="E27" s="155"/>
      <c r="F27" s="3"/>
      <c r="G27" s="18"/>
      <c r="H27" s="19"/>
    </row>
    <row r="28" spans="3:15" x14ac:dyDescent="0.25">
      <c r="C28" s="153"/>
      <c r="D28" s="154"/>
      <c r="E28" s="155"/>
      <c r="F28" s="3"/>
      <c r="G28" s="18"/>
      <c r="H28" s="19"/>
    </row>
    <row r="29" spans="3:15" x14ac:dyDescent="0.25">
      <c r="C29" s="153"/>
      <c r="D29" s="154"/>
      <c r="E29" s="155"/>
      <c r="F29" s="3"/>
      <c r="G29" s="18"/>
      <c r="H29" s="19"/>
    </row>
    <row r="30" spans="3:15" x14ac:dyDescent="0.25">
      <c r="C30" s="153"/>
      <c r="D30" s="154"/>
      <c r="E30" s="155"/>
      <c r="F30" s="3"/>
      <c r="G30" s="18"/>
      <c r="H30" s="19"/>
    </row>
    <row r="31" spans="3:15" x14ac:dyDescent="0.25">
      <c r="C31" s="153"/>
      <c r="D31" s="154"/>
      <c r="E31" s="155"/>
      <c r="F31" s="3"/>
      <c r="G31" s="18"/>
      <c r="H31" s="19"/>
    </row>
    <row r="32" spans="3:15" x14ac:dyDescent="0.25">
      <c r="C32" s="153"/>
      <c r="D32" s="154"/>
      <c r="E32" s="155"/>
      <c r="F32" s="3"/>
      <c r="G32" s="18"/>
      <c r="H32" s="19"/>
    </row>
    <row r="33" spans="3:8" x14ac:dyDescent="0.25">
      <c r="C33" s="153"/>
      <c r="D33" s="154"/>
      <c r="E33" s="155"/>
      <c r="F33" s="3"/>
      <c r="G33" s="18"/>
      <c r="H33" s="19"/>
    </row>
    <row r="34" spans="3:8" x14ac:dyDescent="0.25">
      <c r="C34" s="153"/>
      <c r="D34" s="154"/>
      <c r="E34" s="155"/>
      <c r="F34" s="3"/>
      <c r="G34" s="18"/>
      <c r="H34" s="19"/>
    </row>
    <row r="35" spans="3:8" x14ac:dyDescent="0.25">
      <c r="C35" s="153"/>
      <c r="D35" s="154"/>
      <c r="E35" s="155"/>
      <c r="F35" s="3"/>
      <c r="G35" s="18"/>
      <c r="H35" s="19"/>
    </row>
    <row r="36" spans="3:8" x14ac:dyDescent="0.25">
      <c r="C36" s="153"/>
      <c r="D36" s="154"/>
      <c r="E36" s="155"/>
      <c r="F36" s="3"/>
      <c r="G36" s="18"/>
      <c r="H36" s="19"/>
    </row>
    <row r="37" spans="3:8" x14ac:dyDescent="0.25">
      <c r="C37" s="153"/>
      <c r="D37" s="154"/>
      <c r="E37" s="155"/>
      <c r="F37" s="3"/>
      <c r="G37" s="18"/>
      <c r="H37" s="19"/>
    </row>
    <row r="38" spans="3:8" x14ac:dyDescent="0.25">
      <c r="C38" s="153"/>
      <c r="D38" s="154"/>
      <c r="E38" s="155"/>
      <c r="F38" s="3"/>
      <c r="G38" s="18"/>
      <c r="H38" s="19"/>
    </row>
    <row r="39" spans="3:8" x14ac:dyDescent="0.25">
      <c r="C39" s="153"/>
      <c r="D39" s="154"/>
      <c r="E39" s="155"/>
      <c r="F39" s="3"/>
      <c r="G39" s="18"/>
      <c r="H39" s="19"/>
    </row>
    <row r="40" spans="3:8" x14ac:dyDescent="0.25">
      <c r="C40" s="153"/>
      <c r="D40" s="154"/>
      <c r="E40" s="155"/>
      <c r="F40" s="3"/>
      <c r="G40" s="18"/>
      <c r="H40" s="19"/>
    </row>
    <row r="41" spans="3:8" x14ac:dyDescent="0.25">
      <c r="C41" s="156"/>
      <c r="D41" s="53"/>
      <c r="E41" s="157"/>
      <c r="F41" s="3"/>
      <c r="G41" s="20"/>
      <c r="H41" s="21"/>
    </row>
    <row r="44" spans="3:8" x14ac:dyDescent="0.25">
      <c r="C44" s="343" t="s">
        <v>206</v>
      </c>
      <c r="D44" s="344"/>
      <c r="E44" s="344"/>
      <c r="F44" s="345"/>
    </row>
    <row r="45" spans="3:8" x14ac:dyDescent="0.25">
      <c r="C45" s="346"/>
      <c r="D45" s="332"/>
      <c r="E45" s="332"/>
      <c r="F45" s="347"/>
    </row>
    <row r="46" spans="3:8" x14ac:dyDescent="0.25">
      <c r="C46" s="346"/>
      <c r="D46" s="332"/>
      <c r="E46" s="332"/>
      <c r="F46" s="347"/>
    </row>
    <row r="47" spans="3:8" x14ac:dyDescent="0.25">
      <c r="C47" s="346"/>
      <c r="D47" s="332"/>
      <c r="E47" s="332"/>
      <c r="F47" s="347"/>
    </row>
    <row r="48" spans="3:8" x14ac:dyDescent="0.25">
      <c r="C48" s="346"/>
      <c r="D48" s="332"/>
      <c r="E48" s="332"/>
      <c r="F48" s="347"/>
    </row>
    <row r="49" spans="3:6" x14ac:dyDescent="0.25">
      <c r="C49" s="346"/>
      <c r="D49" s="332"/>
      <c r="E49" s="332"/>
      <c r="F49" s="347"/>
    </row>
    <row r="50" spans="3:6" x14ac:dyDescent="0.25">
      <c r="C50" s="364"/>
      <c r="D50" s="348"/>
      <c r="E50" s="348"/>
      <c r="F50" s="349"/>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53</vt:i4>
      </vt:variant>
    </vt:vector>
  </HeadingPairs>
  <TitlesOfParts>
    <vt:vector size="69"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Steve Collie</cp:lastModifiedBy>
  <dcterms:created xsi:type="dcterms:W3CDTF">2018-03-27T09:49:44Z</dcterms:created>
  <dcterms:modified xsi:type="dcterms:W3CDTF">2018-06-18T06:54:37Z</dcterms:modified>
</cp:coreProperties>
</file>