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87409599-CEA7-438B-929D-9C52AB8080F1}" xr6:coauthVersionLast="37" xr6:coauthVersionMax="37" xr10:uidLastSave="{00000000-0000-0000-0000-000000000000}"/>
  <bookViews>
    <workbookView xWindow="0" yWindow="0" windowWidth="28800" windowHeight="12210" tabRatio="915" firstSheet="5" activeTab="15"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Security'!$P$14:$P$44</definedName>
    <definedName name="AddTradesSelection">'Add Trades On Security'!$C$14:$O$44</definedName>
    <definedName name="AdjustHoldingsUploadData">'Adjust Holdings'!$C$13:$E$43</definedName>
    <definedName name="AdjustHoldingsUploadDataDate">'Adjust Holdings'!$F$10</definedName>
    <definedName name="AdjustHoldingsUploadDataResult">'Adjust Holdings'!$F$13:$F$43</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Portfolio'!$C$13:$J$40</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Security'!#REF!</definedName>
    <definedName name="fbnHoldings_Template_ref" localSheetId="7">'Adjust Holdings'!$C$13:$I$13</definedName>
    <definedName name="fbnPortfoliosAdd_Template_ref" localSheetId="6">'Add Trades On Security'!#REF!</definedName>
    <definedName name="fbnPortfoliosAdd_Template_ref" localSheetId="2">'Define Portfolio'!$C$13:$J$13</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Securities'!$M$5:$Q$5</definedName>
    <definedName name="fbnSecurities_Template_ref" localSheetId="5">'Master Securities View'!$C$13:$E$13</definedName>
    <definedName name="fbnTradesAdd_Template_ref" localSheetId="6">'Add Trades On Security'!$C$14:$O$14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Portfolio'!$L$14:$L$40</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6" i="6" l="1"/>
  <c r="F16" i="6"/>
  <c r="G16" i="6"/>
  <c r="H16" i="6"/>
  <c r="I16" i="6"/>
  <c r="J16" i="6"/>
  <c r="E17" i="6"/>
  <c r="F17" i="6"/>
  <c r="G17" i="6"/>
  <c r="H17" i="6"/>
  <c r="I17" i="6"/>
  <c r="J17" i="6"/>
  <c r="F16" i="8"/>
  <c r="F17" i="8"/>
  <c r="F18" i="8"/>
  <c r="F19" i="8"/>
  <c r="F20" i="8"/>
  <c r="F21" i="8"/>
  <c r="E16" i="8"/>
  <c r="E17" i="8"/>
  <c r="E18" i="8"/>
  <c r="E19" i="8"/>
  <c r="E20" i="8"/>
  <c r="E21" i="8"/>
  <c r="C17" i="14" a="1"/>
  <c r="C17" i="14" s="1"/>
  <c r="F15" i="8"/>
  <c r="E15" i="8"/>
  <c r="C14" i="4" l="1"/>
  <c r="G14" i="4"/>
  <c r="I14" i="4"/>
  <c r="H15" i="6" l="1"/>
  <c r="C19" i="13" l="1"/>
  <c r="K6" i="18" l="1"/>
  <c r="D19" i="13"/>
  <c r="C18" i="13"/>
  <c r="C17" i="13" l="1"/>
  <c r="K6" i="17"/>
  <c r="F10" i="16" l="1"/>
  <c r="E18" i="6" l="1"/>
  <c r="E19" i="6"/>
  <c r="E20" i="6"/>
  <c r="E21" i="6"/>
  <c r="E22" i="6"/>
  <c r="E23" i="6"/>
  <c r="E24" i="6"/>
  <c r="E25" i="6"/>
  <c r="E26" i="6"/>
  <c r="E27" i="6"/>
  <c r="E28" i="6"/>
  <c r="E29" i="6"/>
  <c r="E30" i="6"/>
  <c r="E31" i="6"/>
  <c r="E32" i="6"/>
  <c r="E33" i="6"/>
  <c r="E34" i="6"/>
  <c r="E35" i="6"/>
  <c r="E36" i="6"/>
  <c r="E37" i="6"/>
  <c r="E38" i="6"/>
  <c r="E39" i="6"/>
  <c r="E40" i="6"/>
  <c r="E41" i="6"/>
  <c r="E42" i="6"/>
  <c r="E43" i="6"/>
  <c r="E15" i="6"/>
  <c r="D13" i="1" a="1"/>
  <c r="C14" i="14" l="1"/>
  <c r="M36" i="1"/>
  <c r="E26" i="1"/>
  <c r="D43" i="1"/>
  <c r="D37" i="1"/>
  <c r="D23" i="1"/>
  <c r="E30" i="1"/>
  <c r="D40" i="1"/>
  <c r="E21" i="1"/>
  <c r="D19" i="1"/>
  <c r="D41" i="1"/>
  <c r="E16" i="1"/>
  <c r="D20" i="1"/>
  <c r="E24" i="1"/>
  <c r="E39" i="1"/>
  <c r="D27" i="1"/>
  <c r="D32" i="1"/>
  <c r="D30" i="1"/>
  <c r="D39" i="1"/>
  <c r="D16" i="1"/>
  <c r="E20" i="1"/>
  <c r="D31" i="1"/>
  <c r="E13" i="1"/>
  <c r="D25" i="1"/>
  <c r="D13" i="1"/>
  <c r="E32" i="1"/>
  <c r="D21" i="1"/>
  <c r="E15" i="1"/>
  <c r="D33" i="1"/>
  <c r="E43" i="1"/>
  <c r="D28" i="1"/>
  <c r="E31" i="1"/>
  <c r="E29" i="1"/>
  <c r="D34" i="1"/>
  <c r="E33" i="1"/>
  <c r="D15" i="1"/>
  <c r="E34" i="1"/>
  <c r="E36" i="1"/>
  <c r="E41" i="1"/>
  <c r="D35" i="1"/>
  <c r="E14" i="1"/>
  <c r="D22" i="1"/>
  <c r="E25" i="1"/>
  <c r="D26" i="1"/>
  <c r="E22" i="1"/>
  <c r="D18" i="1"/>
  <c r="D14" i="1"/>
  <c r="D36" i="1"/>
  <c r="E37" i="1"/>
  <c r="E40" i="1"/>
  <c r="E17" i="1"/>
  <c r="D17" i="1"/>
  <c r="D38" i="1"/>
  <c r="D24" i="1"/>
  <c r="E18" i="1"/>
  <c r="E27" i="1"/>
  <c r="E38" i="1"/>
  <c r="E42" i="1"/>
  <c r="E28" i="1"/>
  <c r="E19" i="1"/>
  <c r="E35" i="1"/>
  <c r="D42" i="1"/>
  <c r="D29" i="1"/>
  <c r="E23" i="1"/>
  <c r="D21" i="8" l="1"/>
  <c r="D16" i="8"/>
  <c r="D17" i="8"/>
  <c r="D18" i="8"/>
  <c r="D15" i="8"/>
  <c r="D20" i="8"/>
  <c r="D19" i="8"/>
  <c r="C30" i="16"/>
  <c r="C26" i="16"/>
  <c r="C37" i="16"/>
  <c r="C28" i="16"/>
  <c r="C25" i="16"/>
  <c r="C22" i="16"/>
  <c r="C15" i="16"/>
  <c r="C38" i="16"/>
  <c r="C24" i="16"/>
  <c r="C36" i="16"/>
  <c r="C39" i="16"/>
  <c r="C40" i="16"/>
  <c r="C19" i="16"/>
  <c r="C27" i="16"/>
  <c r="C14" i="16"/>
  <c r="C33" i="16"/>
  <c r="C21" i="16"/>
  <c r="C18" i="16"/>
  <c r="C34" i="16"/>
  <c r="C41" i="16"/>
  <c r="C17" i="16"/>
  <c r="C23" i="16"/>
  <c r="C31" i="16"/>
  <c r="C42" i="16"/>
  <c r="C16" i="16"/>
  <c r="C43" i="16"/>
  <c r="C29" i="16"/>
  <c r="C20" i="16"/>
  <c r="C32" i="16"/>
  <c r="C35" i="16"/>
  <c r="D39" i="18"/>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C17" i="5"/>
  <c r="E21" i="12"/>
  <c r="C38" i="5"/>
  <c r="E42" i="12"/>
  <c r="E46" i="12"/>
  <c r="C42" i="5"/>
  <c r="C33" i="5"/>
  <c r="E37" i="12"/>
  <c r="E22" i="12"/>
  <c r="C18" i="5"/>
  <c r="C16" i="5"/>
  <c r="E20" i="12"/>
  <c r="E30" i="12"/>
  <c r="C26" i="5"/>
  <c r="C22" i="5"/>
  <c r="E26" i="12"/>
  <c r="C25" i="5"/>
  <c r="E29" i="12"/>
  <c r="C40" i="5"/>
  <c r="E44" i="12"/>
  <c r="C24" i="5"/>
  <c r="E28" i="12"/>
  <c r="C23" i="5"/>
  <c r="E27" i="12"/>
  <c r="E39" i="12"/>
  <c r="C35" i="5"/>
  <c r="C31" i="5"/>
  <c r="E35" i="12"/>
  <c r="E31" i="12"/>
  <c r="C27" i="5"/>
  <c r="E23" i="12"/>
  <c r="C19" i="5"/>
  <c r="C37" i="5"/>
  <c r="E41" i="12"/>
  <c r="E47" i="12"/>
  <c r="C43" i="5"/>
  <c r="C29" i="5"/>
  <c r="E33" i="12"/>
  <c r="C32" i="5"/>
  <c r="E36" i="12"/>
  <c r="C28" i="5"/>
  <c r="E32" i="12"/>
  <c r="C20" i="5"/>
  <c r="E24" i="12"/>
  <c r="E38" i="12"/>
  <c r="C34" i="5"/>
  <c r="C30" i="5"/>
  <c r="E34" i="12"/>
  <c r="C39" i="5"/>
  <c r="E43" i="12"/>
  <c r="C36" i="5"/>
  <c r="E40" i="12"/>
  <c r="C15" i="5"/>
  <c r="C44" i="5"/>
  <c r="E48" i="12"/>
  <c r="C41" i="5"/>
  <c r="E45" i="12"/>
  <c r="C19" i="14"/>
  <c r="H10" i="11"/>
  <c r="G15" i="6" l="1"/>
  <c r="D44" i="5" l="1"/>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L20" i="6"/>
  <c r="L21" i="6"/>
  <c r="L22" i="6"/>
  <c r="L23" i="6"/>
  <c r="L24" i="6"/>
  <c r="L25" i="6"/>
  <c r="L26" i="6"/>
  <c r="L27" i="6"/>
  <c r="L18" i="6"/>
  <c r="L19" i="6"/>
  <c r="J19" i="6"/>
  <c r="H19" i="6"/>
  <c r="F19" i="6"/>
  <c r="E14" i="5" l="1" a="1"/>
  <c r="E14" i="5" s="1"/>
  <c r="J7" i="5" l="1"/>
  <c r="I14" i="5"/>
  <c r="H14" i="5"/>
  <c r="G14" i="5"/>
  <c r="F14" i="5"/>
  <c r="D19" i="5" l="1"/>
  <c r="D25" i="5"/>
  <c r="D20" i="5"/>
  <c r="D26" i="5"/>
  <c r="D35" i="5"/>
  <c r="D29" i="5"/>
  <c r="D33" i="5"/>
  <c r="D21" i="5"/>
  <c r="D16" i="5"/>
  <c r="D36" i="5"/>
  <c r="D31" i="5"/>
  <c r="D22" i="5"/>
  <c r="D30" i="5"/>
  <c r="D23" i="5"/>
  <c r="D24" i="5"/>
  <c r="D27" i="5"/>
  <c r="D32" i="5"/>
  <c r="D18" i="5"/>
  <c r="D34" i="5"/>
  <c r="D15" i="5"/>
  <c r="D38" i="5"/>
  <c r="D37" i="5"/>
  <c r="D39" i="5"/>
  <c r="M35" i="1"/>
</calcChain>
</file>

<file path=xl/sharedStrings.xml><?xml version="1.0" encoding="utf-8"?>
<sst xmlns="http://schemas.openxmlformats.org/spreadsheetml/2006/main" count="309" uniqueCount="246">
  <si>
    <t>Name</t>
  </si>
  <si>
    <t>LookThroughPortfolioId</t>
  </si>
  <si>
    <t>Scope</t>
  </si>
  <si>
    <t>Feedback from Create</t>
  </si>
  <si>
    <t>Results</t>
  </si>
  <si>
    <t>Code</t>
  </si>
  <si>
    <t>Date Created</t>
  </si>
  <si>
    <t>Base Currency</t>
  </si>
  <si>
    <t>SecurityUid</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</si>
  <si>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</si>
  <si>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</si>
  <si>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</si>
  <si>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</si>
  <si>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</si>
  <si>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</si>
  <si>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</si>
  <si>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</si>
  <si>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</si>
  <si>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</si>
  <si>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</si>
  <si>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</si>
  <si>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</si>
  <si>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</si>
  <si>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</si>
  <si>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</si>
  <si>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</si>
  <si>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</si>
  <si>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</si>
  <si>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</si>
  <si>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</si>
  <si>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</si>
  <si>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</si>
  <si>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</si>
  <si>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</si>
  <si>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</si>
  <si>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</si>
  <si>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</si>
  <si>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</si>
  <si>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</si>
  <si>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</si>
  <si>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</si>
  <si>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</si>
  <si>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</si>
  <si>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</si>
  <si>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Sort</t>
  </si>
  <si>
    <t>LifeTime</t>
  </si>
  <si>
    <t>Result</t>
  </si>
  <si>
    <t>Unique Code</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</si>
  <si>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</si>
  <si>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</si>
  <si>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</si>
  <si>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</si>
  <si>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</si>
  <si>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</si>
  <si>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</si>
  <si>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</si>
  <si>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</si>
  <si>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</si>
  <si>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</si>
  <si>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</si>
  <si>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</si>
  <si>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</si>
  <si>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</si>
  <si>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</si>
  <si>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</si>
  <si>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</si>
  <si>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</si>
  <si>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</si>
  <si>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</si>
  <si>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</si>
  <si>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Security Uid</t>
  </si>
  <si>
    <t>Settlement Date</t>
  </si>
  <si>
    <t>Transaction Type</t>
  </si>
  <si>
    <t>Source</t>
  </si>
  <si>
    <t>Total Consideration</t>
  </si>
  <si>
    <t>Exchange Rate</t>
  </si>
  <si>
    <t>Counterparty ID</t>
  </si>
  <si>
    <t>Netting Set</t>
  </si>
  <si>
    <t>GBP</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</si>
  <si>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</si>
  <si>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</si>
  <si>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</si>
  <si>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</si>
  <si>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</si>
  <si>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</si>
  <si>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</si>
  <si>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</si>
  <si>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</si>
  <si>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</si>
  <si>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</si>
  <si>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</si>
  <si>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</si>
  <si>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</si>
  <si>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</si>
  <si>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</si>
  <si>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</si>
  <si>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</si>
  <si>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</si>
  <si>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</si>
  <si>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</si>
  <si>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</si>
  <si>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</si>
  <si>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</si>
  <si>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</si>
  <si>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</si>
  <si>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LG EM MK GOV BOND-ZEURAUNH</t>
  </si>
  <si>
    <t>LG EMERGING MARKET-NEURACC</t>
  </si>
  <si>
    <t>LG EMERGING MKTS EQ-ZEURACC</t>
  </si>
  <si>
    <t>LG EMERGING MARKET-ZGBPACC</t>
  </si>
  <si>
    <t>LG EUR TREAS BD IN-N EUR ACC</t>
  </si>
  <si>
    <t>M&amp;G LUX ABS RET BD-CH GBP AC</t>
  </si>
  <si>
    <t>M&amp;G LUX ABS RET BD-CH GBP IN</t>
  </si>
  <si>
    <t>LEGAL &amp; GENERAL EURO IND-I A</t>
  </si>
  <si>
    <t>LEGAL &amp; GENERAL US INDEX-I-A</t>
  </si>
  <si>
    <t>WINTON-DIVERSIFIED UC-USD I</t>
  </si>
  <si>
    <t>WINTON-DIVERSIFIED UC-GBP ID</t>
  </si>
  <si>
    <t>DIVER GRW-FRANCK MULL-A EUR</t>
  </si>
  <si>
    <t>LEGAL &amp; GENERAL PAC IDX-I AC</t>
  </si>
  <si>
    <t>LEGAL&amp;GENERAL UK 100 INDX-IA</t>
  </si>
  <si>
    <t>LEGAL &amp; GENERAL FXD INT-IA</t>
  </si>
  <si>
    <t>STANDARD LIFE UK EQ INC UN-A</t>
  </si>
  <si>
    <t>LEGAL&amp;GENERAL INTL INX T-I A</t>
  </si>
  <si>
    <t>FIDELITY UK SMALLER COMP-AA</t>
  </si>
  <si>
    <t>LEGAL &amp; GENERAL STERLING-I-A</t>
  </si>
  <si>
    <t>L&amp;G GLB EMERG MKT INDEX-I IN</t>
  </si>
  <si>
    <t>M&amp;G GBL HI YLD BOND GBP-I-A</t>
  </si>
  <si>
    <t>M&amp;G EPISODE GROWTH-GBP-I-A</t>
  </si>
  <si>
    <t>STNDRD LIFE-GL ABS RETS-P1GA</t>
  </si>
  <si>
    <t>STANDARD LIFE GL SM COMP-P1A</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</si>
  <si>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</si>
  <si>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</si>
  <si>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</si>
  <si>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</si>
  <si>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</si>
  <si>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</si>
  <si>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</si>
  <si>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</si>
  <si>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</si>
  <si>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</si>
  <si>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</si>
  <si>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</si>
  <si>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</si>
  <si>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</si>
  <si>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</si>
  <si>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</si>
  <si>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</si>
  <si>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</si>
  <si>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</si>
  <si>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</si>
  <si>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</si>
  <si>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</si>
  <si>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</si>
  <si>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</si>
  <si>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</si>
  <si>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</si>
  <si>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</si>
  <si>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</si>
  <si>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</si>
  <si>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</si>
  <si>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</si>
  <si>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</si>
  <si>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</si>
  <si>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</si>
  <si>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</si>
  <si>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</si>
  <si>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</si>
  <si>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</si>
  <si>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</si>
  <si>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</si>
  <si>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</si>
  <si>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</si>
  <si>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</si>
  <si>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</si>
  <si>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</si>
  <si>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</si>
  <si>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</si>
  <si>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</si>
  <si>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</si>
  <si>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</si>
  <si>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Portfolio Cost</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</si>
  <si>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</si>
  <si>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</si>
  <si>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</si>
  <si>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</si>
  <si>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</si>
  <si>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</si>
  <si>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</si>
  <si>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</si>
  <si>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</si>
  <si>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DemoScope</t>
  </si>
  <si>
    <t>FIGI_BBG00JVF3738</t>
  </si>
  <si>
    <t>FIGI_BBG00DKL90B0</t>
  </si>
  <si>
    <t>FIGI_BBG00DKL91M6</t>
  </si>
  <si>
    <t>FIGI_BBG00FDG24R6</t>
  </si>
  <si>
    <t>FIGI_BBG00DKL91L7</t>
  </si>
  <si>
    <t>FIGI_BBG00FB2C3M5</t>
  </si>
  <si>
    <t>FIGI_BBG00FJ5L0H2</t>
  </si>
  <si>
    <t>FIGI_BBG00FJ5L0Q2</t>
  </si>
  <si>
    <t>FIGI_BBG000C5GF49</t>
  </si>
  <si>
    <t>FIGI_BBG000C45QW9</t>
  </si>
  <si>
    <t>FIGI_BBG00GZY0K24</t>
  </si>
  <si>
    <t>FIGI_BBG00GZXXVG1</t>
  </si>
  <si>
    <t>FIGI_BBG007V3VDW5</t>
  </si>
  <si>
    <t>FIGI_BBG000GM7Q26</t>
  </si>
  <si>
    <t>FIGI_BBG000V7VSG6</t>
  </si>
  <si>
    <t>FIGI_BBG000F8XRF3</t>
  </si>
  <si>
    <t>FIGI_BBG000RH4VW4</t>
  </si>
  <si>
    <t>FIGI_BBG000R173D9</t>
  </si>
  <si>
    <t>FIGI_BBG001HQYT28</t>
  </si>
  <si>
    <t>FIGI_BBG0037S1FD5</t>
  </si>
  <si>
    <t>FIGI_BBG001B81KF5</t>
  </si>
  <si>
    <t>FIGI_BBG0034YPJG8</t>
  </si>
  <si>
    <t>FIGI_BBG0034YQ808</t>
  </si>
  <si>
    <t>FIGI_BBG004733FZ2</t>
  </si>
  <si>
    <t>FIGI_BBG004XQG9D6</t>
  </si>
  <si>
    <t>FIGI_BBG003BJ6K44</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</si>
  <si>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</si>
  <si>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</si>
  <si>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</si>
  <si>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</si>
  <si>
    <t>Corporate Action Source</t>
  </si>
  <si>
    <t>Accounting Method</t>
  </si>
  <si>
    <t>Sub-Holding Keys</t>
  </si>
  <si>
    <t>Display Name</t>
  </si>
  <si>
    <t>Description</t>
  </si>
  <si>
    <t>DataTypeId</t>
  </si>
  <si>
    <t>Type</t>
  </si>
  <si>
    <t>MySecurityClassification42</t>
  </si>
  <si>
    <t>Transaction Id</t>
  </si>
  <si>
    <t>Instrument Uid</t>
  </si>
  <si>
    <t>Transaction Date</t>
  </si>
  <si>
    <t>Instrument Units Transacted</t>
  </si>
  <si>
    <t>Transaction Currency</t>
  </si>
  <si>
    <t>Transaction Price</t>
  </si>
  <si>
    <t>client</t>
  </si>
  <si>
    <t>Id</t>
  </si>
  <si>
    <t>default</t>
  </si>
  <si>
    <t>MyId1</t>
  </si>
  <si>
    <t>MyId2</t>
  </si>
  <si>
    <t>MyId3</t>
  </si>
  <si>
    <t>MyId4</t>
  </si>
  <si>
    <t>MyId5</t>
  </si>
  <si>
    <t>MyId6</t>
  </si>
  <si>
    <t>MyId7</t>
  </si>
  <si>
    <t>PortfolioABCDEF</t>
  </si>
  <si>
    <t>ClientInstrumentId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</si>
</sst>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7">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1"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6">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0" fillId="0" borderId="0" xfId="0" applyBorder="1"/>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6" xfId="2" applyBorder="1" applyProtection="1">
      <protection locked="0"/>
    </xf>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0" fontId="0" fillId="4" borderId="0" xfId="3" applyFont="1" applyBorder="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1"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3" fillId="0" borderId="0" xfId="0" applyFont="1" applyAlignment="1">
      <alignment wrapText="1"/>
    </xf>
    <xf numFmtId="0" fontId="14" fillId="0" borderId="0" xfId="0" applyFont="1" applyAlignment="1">
      <alignment wrapText="1"/>
    </xf>
    <xf numFmtId="2" fontId="1" fillId="4" borderId="0" xfId="3" applyNumberForma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9" borderId="9" xfId="7" applyFont="1" applyBorder="1"/>
    <xf numFmtId="0" fontId="5" fillId="4" borderId="35" xfId="6" applyFill="1" applyBorder="1"/>
    <xf numFmtId="0" fontId="0" fillId="5" borderId="19" xfId="4" applyFont="1" applyBorder="1" applyProtection="1"/>
    <xf numFmtId="0" fontId="0" fillId="5" borderId="20" xfId="4" applyFont="1" applyBorder="1" applyProtection="1"/>
    <xf numFmtId="2" fontId="5" fillId="4" borderId="35"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8" fillId="0" borderId="32" xfId="7" applyFont="1" applyFill="1" applyBorder="1" applyAlignment="1">
      <alignment vertical="center" wrapText="1"/>
    </xf>
    <xf numFmtId="0" fontId="0" fillId="0" borderId="0" xfId="0" applyAlignment="1">
      <alignment horizontal="right"/>
    </xf>
    <xf numFmtId="0" fontId="5" fillId="0" borderId="36" xfId="0" applyFont="1" applyFill="1" applyBorder="1" applyAlignment="1"/>
    <xf numFmtId="0" fontId="5" fillId="8" borderId="36" xfId="6" applyFill="1" applyBorder="1" applyAlignment="1"/>
    <xf numFmtId="0" fontId="5" fillId="3" borderId="25" xfId="2" applyFont="1" applyBorder="1"/>
    <xf numFmtId="0" fontId="5" fillId="3" borderId="26" xfId="2" applyFont="1" applyBorder="1"/>
    <xf numFmtId="0" fontId="5" fillId="8" borderId="9" xfId="12" applyFont="1" applyBorder="1" applyAlignment="1"/>
    <xf numFmtId="0" fontId="1" fillId="8" borderId="19" xfId="12" applyBorder="1" applyAlignment="1"/>
    <xf numFmtId="0" fontId="1" fillId="8" borderId="19" xfId="12" applyBorder="1"/>
    <xf numFmtId="0" fontId="1" fillId="8" borderId="20" xfId="12" applyBorder="1"/>
    <xf numFmtId="0" fontId="5" fillId="4" borderId="21" xfId="3" applyFont="1" applyBorder="1"/>
    <xf numFmtId="0" fontId="5" fillId="4" borderId="22" xfId="3" applyFont="1" applyBorder="1"/>
    <xf numFmtId="2" fontId="5" fillId="4" borderId="22" xfId="3" applyNumberFormat="1" applyFont="1" applyBorder="1"/>
    <xf numFmtId="2" fontId="1" fillId="4" borderId="32" xfId="3" applyNumberFormat="1" applyBorder="1"/>
    <xf numFmtId="0" fontId="5" fillId="13" borderId="35" xfId="6" applyFill="1" applyBorder="1" applyAlignment="1"/>
    <xf numFmtId="0" fontId="5" fillId="13" borderId="19" xfId="0" applyFont="1" applyFill="1" applyBorder="1" applyAlignment="1"/>
    <xf numFmtId="0" fontId="0" fillId="13" borderId="19" xfId="0" applyFill="1" applyBorder="1" applyAlignment="1"/>
    <xf numFmtId="0" fontId="0" fillId="13" borderId="20" xfId="0" applyFill="1" applyBorder="1" applyAlignment="1"/>
    <xf numFmtId="0" fontId="6" fillId="2" borderId="0" xfId="1" applyFont="1" applyAlignment="1">
      <alignment horizontal="left" wrapText="1"/>
    </xf>
    <xf numFmtId="0" fontId="6" fillId="2" borderId="25" xfId="1" applyFont="1" applyBorder="1" applyAlignment="1">
      <alignment horizontal="center"/>
    </xf>
    <xf numFmtId="0" fontId="5" fillId="3" borderId="1" xfId="6" applyFill="1" applyProtection="1">
      <protection locked="0"/>
    </xf>
    <xf numFmtId="14" fontId="5" fillId="3" borderId="1" xfId="6" applyNumberFormat="1" applyFill="1" applyProtection="1">
      <protection locked="0"/>
    </xf>
    <xf numFmtId="0" fontId="5" fillId="3" borderId="1" xfId="6" applyFill="1"/>
    <xf numFmtId="0" fontId="1" fillId="3" borderId="0" xfId="2" applyBorder="1"/>
    <xf numFmtId="0" fontId="1" fillId="3" borderId="5" xfId="2" applyBorder="1"/>
    <xf numFmtId="0" fontId="1" fillId="3" borderId="32" xfId="2" applyBorder="1" applyProtection="1">
      <protection locked="0"/>
    </xf>
    <xf numFmtId="0" fontId="1" fillId="3" borderId="32" xfId="2" applyBorder="1"/>
    <xf numFmtId="0" fontId="1" fillId="3" borderId="7" xfId="2" applyBorder="1"/>
    <xf numFmtId="0" fontId="0" fillId="0" borderId="0" xfId="0" quotePrefix="1"/>
    <xf numFmtId="0" fontId="5" fillId="8" borderId="35" xfId="6" applyFill="1" applyBorder="1"/>
    <xf numFmtId="0" fontId="1" fillId="7" borderId="19" xfId="5" quotePrefix="1" applyBorder="1" applyProtection="1">
      <protection locked="0"/>
    </xf>
    <xf numFmtId="0" fontId="1" fillId="7" borderId="19" xfId="5" applyBorder="1" applyProtection="1">
      <protection locked="0"/>
    </xf>
    <xf numFmtId="0" fontId="1" fillId="7" borderId="20" xfId="5" applyBorder="1" applyProtection="1">
      <protection locked="0"/>
    </xf>
    <xf numFmtId="0" fontId="0" fillId="0" borderId="0" xfId="0" applyFill="1" applyBorder="1" applyAlignment="1">
      <alignment wrapText="1"/>
    </xf>
    <xf numFmtId="0" fontId="5" fillId="4" borderId="1" xfId="6" applyFill="1" applyProtection="1"/>
    <xf numFmtId="0" fontId="5" fillId="15" borderId="1" xfId="6" applyFill="1" applyAlignment="1"/>
    <xf numFmtId="0" fontId="5" fillId="4" borderId="1" xfId="6" applyFill="1"/>
    <xf numFmtId="14" fontId="5" fillId="4" borderId="1" xfId="6" applyNumberFormat="1" applyFill="1"/>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32"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6" fillId="2" borderId="0" xfId="1" applyFont="1" applyAlignment="1">
      <alignment horizontal="left"/>
    </xf>
    <xf numFmtId="0" fontId="6" fillId="2" borderId="0" xfId="1" applyFont="1" applyAlignment="1">
      <alignment horizontal="left" vertical="center" wrapText="1"/>
    </xf>
    <xf numFmtId="0" fontId="8" fillId="9" borderId="3" xfId="7" applyFont="1" applyBorder="1" applyAlignment="1">
      <alignment horizontal="center" vertical="center"/>
    </xf>
    <xf numFmtId="0" fontId="8" fillId="9" borderId="7" xfId="7" applyFont="1" applyBorder="1" applyAlignment="1">
      <alignment horizontal="center" vertical="center"/>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6" fillId="2" borderId="2" xfId="1" applyFont="1" applyBorder="1" applyAlignment="1">
      <alignment horizontal="left" vertical="center"/>
    </xf>
    <xf numFmtId="0" fontId="6" fillId="2" borderId="10" xfId="1" applyFont="1" applyBorder="1" applyAlignment="1">
      <alignment horizontal="left" vertical="center"/>
    </xf>
    <xf numFmtId="0" fontId="6"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Fill="1" applyBorder="1" applyAlignment="1">
      <alignment horizontal="center" vertical="center"/>
    </xf>
    <xf numFmtId="0" fontId="6" fillId="2" borderId="25" xfId="1" applyFont="1" applyBorder="1" applyAlignment="1">
      <alignment horizontal="left" vertical="center"/>
    </xf>
    <xf numFmtId="0" fontId="6" fillId="2" borderId="27" xfId="1" applyFont="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2" fillId="2" borderId="11" xfId="1" applyBorder="1" applyAlignment="1">
      <alignment horizontal="left" vertical="center"/>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6"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14" fontId="11" fillId="14" borderId="28" xfId="11" applyNumberFormat="1" applyAlignment="1">
      <alignment horizontal="center" vertical="center" wrapText="1"/>
    </xf>
    <xf numFmtId="0" fontId="11"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9a9e18d1429a47bea5fcd42986a7d7f7">
      <tp>
        <v>-1</v>
        <stp/>
        <stp>c95321a2-5815-4007-a4b6-9a4625f8bb0c</stp>
        <tr r="E23" s="1"/>
        <tr r="D29" s="1"/>
        <tr r="D42" s="1"/>
        <tr r="E35" s="1"/>
        <tr r="E19" s="1"/>
        <tr r="E28" s="1"/>
        <tr r="E42" s="1"/>
        <tr r="E38" s="1"/>
        <tr r="E27" s="1"/>
        <tr r="E18" s="1"/>
        <tr r="D24" s="1"/>
        <tr r="D38" s="1"/>
        <tr r="D17" s="1"/>
        <tr r="E17" s="1"/>
        <tr r="E40" s="1"/>
        <tr r="E37" s="1"/>
        <tr r="D36" s="1"/>
        <tr r="D14" s="1"/>
        <tr r="D18" s="1"/>
        <tr r="E22" s="1"/>
        <tr r="D26" s="1"/>
        <tr r="E25" s="1"/>
        <tr r="D22" s="1"/>
        <tr r="E14" s="1"/>
        <tr r="D35" s="1"/>
        <tr r="E41" s="1"/>
        <tr r="E36" s="1"/>
        <tr r="E34" s="1"/>
        <tr r="D15" s="1"/>
        <tr r="E33" s="1"/>
        <tr r="D34" s="1"/>
        <tr r="E29" s="1"/>
        <tr r="E31" s="1"/>
        <tr r="D28" s="1"/>
        <tr r="E43" s="1"/>
        <tr r="D33" s="1"/>
        <tr r="E15" s="1"/>
        <tr r="D21" s="1"/>
        <tr r="E32" s="1"/>
        <tr r="D13" s="1"/>
        <tr r="D25" s="1"/>
        <tr r="E13" s="1"/>
        <tr r="D31" s="1"/>
        <tr r="E20" s="1"/>
        <tr r="D16" s="1"/>
        <tr r="D39" s="1"/>
        <tr r="D30" s="1"/>
        <tr r="D32" s="1"/>
        <tr r="D27" s="1"/>
        <tr r="E39" s="1"/>
        <tr r="E24" s="1"/>
        <tr r="D20" s="1"/>
        <tr r="E16" s="1"/>
        <tr r="D41" s="1"/>
        <tr r="D19" s="1"/>
        <tr r="E21" s="1"/>
        <tr r="D40" s="1"/>
        <tr r="E30" s="1"/>
        <tr r="D23" s="1"/>
        <tr r="D37" s="1"/>
        <tr r="D43" s="1"/>
        <tr r="E26"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371475</xdr:colOff>
          <xdr:row>22</xdr:row>
          <xdr:rowOff>9525</xdr:rowOff>
        </xdr:from>
        <xdr:to>
          <xdr:col>16</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10</xdr:row>
          <xdr:rowOff>47625</xdr:rowOff>
        </xdr:from>
        <xdr:to>
          <xdr:col>10</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463582</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13</xdr:col>
          <xdr:colOff>92869</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18" customWidth="1"/>
  </cols>
  <sheetData>
    <row r="3" spans="2:2" ht="21" x14ac:dyDescent="0.35">
      <c r="B3" s="170" t="s">
        <v>147</v>
      </c>
    </row>
    <row r="4" spans="2:2" ht="21" x14ac:dyDescent="0.35">
      <c r="B4" s="171"/>
    </row>
    <row r="5" spans="2:2" ht="126" x14ac:dyDescent="0.35">
      <c r="B5" s="171" t="s">
        <v>148</v>
      </c>
    </row>
    <row r="6" spans="2:2" ht="21" x14ac:dyDescent="0.35">
      <c r="B6" s="171"/>
    </row>
    <row r="7" spans="2:2" ht="42" x14ac:dyDescent="0.35">
      <c r="B7" s="171" t="s">
        <v>149</v>
      </c>
    </row>
    <row r="8" spans="2:2" ht="21" x14ac:dyDescent="0.35">
      <c r="B8" s="171"/>
    </row>
    <row r="9" spans="2:2" ht="168" x14ac:dyDescent="0.35">
      <c r="B9" s="171" t="s">
        <v>150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7" sqref="M37"/>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49" t="s">
        <v>84</v>
      </c>
      <c r="C11" s="250"/>
      <c r="D11" s="250"/>
      <c r="E11" s="251"/>
    </row>
    <row r="13" spans="2:21" x14ac:dyDescent="0.25">
      <c r="B13" s="20" t="s">
        <v>62</v>
      </c>
      <c r="C13" s="1"/>
      <c r="D13" s="147" t="str">
        <f t="array" ref="D13:E43">_xll.fbnSecuritiesLookup("Isin",RawSecuritiesRange)</f>
        <v>Uid</v>
      </c>
      <c r="E13" s="148" t="str">
        <v>CommonName</v>
      </c>
    </row>
    <row r="14" spans="2:21" x14ac:dyDescent="0.25">
      <c r="B14" s="21" t="s">
        <v>10</v>
      </c>
      <c r="D14" s="108" t="str">
        <v>FIGI_BBG00JVF3738</v>
      </c>
      <c r="E14" s="107" t="str">
        <v>LG EM MK GOV BOND US-KEURAUH</v>
      </c>
    </row>
    <row r="15" spans="2:21" ht="15" customHeight="1" x14ac:dyDescent="0.25">
      <c r="B15" s="22" t="s">
        <v>11</v>
      </c>
      <c r="D15" s="108" t="str">
        <v>FIGI_BBG00DKL90B0</v>
      </c>
      <c r="E15" s="107" t="str">
        <v>LG EM MK GOV BOND-ZEURAUNH</v>
      </c>
      <c r="L15" s="243" t="s">
        <v>60</v>
      </c>
      <c r="M15" s="244"/>
      <c r="N15" s="244"/>
      <c r="O15" s="244"/>
      <c r="P15" s="244"/>
      <c r="Q15" s="244"/>
      <c r="R15" s="244"/>
      <c r="S15" s="244"/>
      <c r="T15" s="244"/>
      <c r="U15" s="245"/>
    </row>
    <row r="16" spans="2:21" x14ac:dyDescent="0.25">
      <c r="B16" s="22" t="s">
        <v>12</v>
      </c>
      <c r="D16" s="108" t="str">
        <v>FIGI_BBG00DKL91M6</v>
      </c>
      <c r="E16" s="107" t="str">
        <v>LG EMERGING MARKET-NEURACC</v>
      </c>
      <c r="L16" s="252"/>
      <c r="M16" s="253"/>
      <c r="N16" s="253"/>
      <c r="O16" s="253"/>
      <c r="P16" s="253"/>
      <c r="Q16" s="253"/>
      <c r="R16" s="253"/>
      <c r="S16" s="253"/>
      <c r="T16" s="253"/>
      <c r="U16" s="254"/>
    </row>
    <row r="17" spans="2:21" x14ac:dyDescent="0.25">
      <c r="B17" s="22" t="s">
        <v>13</v>
      </c>
      <c r="D17" s="108" t="str">
        <v>FIGI_BBG00FDG24R6</v>
      </c>
      <c r="E17" s="107" t="str">
        <v>LG EMERGING MKTS EQ-ZEURACC</v>
      </c>
      <c r="L17" s="246"/>
      <c r="M17" s="247"/>
      <c r="N17" s="247"/>
      <c r="O17" s="247"/>
      <c r="P17" s="247"/>
      <c r="Q17" s="247"/>
      <c r="R17" s="247"/>
      <c r="S17" s="247"/>
      <c r="T17" s="247"/>
      <c r="U17" s="248"/>
    </row>
    <row r="18" spans="2:21" x14ac:dyDescent="0.25">
      <c r="B18" s="22" t="s">
        <v>14</v>
      </c>
      <c r="D18" s="108" t="str">
        <v>FIGI_BBG00DKL91L7</v>
      </c>
      <c r="E18" s="107" t="str">
        <v>LG EMERGING MARKET-ZGBPACC</v>
      </c>
    </row>
    <row r="19" spans="2:21" x14ac:dyDescent="0.25">
      <c r="B19" s="22" t="s">
        <v>15</v>
      </c>
      <c r="D19" s="108" t="str">
        <v>FIGI_BBG00FB2C3M5</v>
      </c>
      <c r="E19" s="107" t="str">
        <v>LG EUR TREAS BD IN-N EUR ACC</v>
      </c>
    </row>
    <row r="20" spans="2:21" x14ac:dyDescent="0.25">
      <c r="B20" s="22" t="s">
        <v>16</v>
      </c>
      <c r="D20" s="108" t="str">
        <v>FIGI_BBG00FJ5L0H2</v>
      </c>
      <c r="E20" s="107" t="str">
        <v>M&amp;G LUX ABS RET BD-CH GBP AC</v>
      </c>
      <c r="L20" s="243" t="s">
        <v>218</v>
      </c>
      <c r="M20" s="244"/>
      <c r="N20" s="244"/>
      <c r="O20" s="244"/>
      <c r="P20" s="244"/>
      <c r="Q20" s="244"/>
      <c r="R20" s="244"/>
      <c r="S20" s="244"/>
      <c r="T20" s="244"/>
      <c r="U20" s="245"/>
    </row>
    <row r="21" spans="2:21" x14ac:dyDescent="0.25">
      <c r="B21" s="22" t="s">
        <v>17</v>
      </c>
      <c r="D21" s="108" t="str">
        <v>FIGI_BBG00FJ5L0Q2</v>
      </c>
      <c r="E21" s="107" t="str">
        <v>M&amp;G LUX ABS RET BD-CH GBP IN</v>
      </c>
      <c r="L21" s="246"/>
      <c r="M21" s="247"/>
      <c r="N21" s="247"/>
      <c r="O21" s="247"/>
      <c r="P21" s="247"/>
      <c r="Q21" s="247"/>
      <c r="R21" s="247"/>
      <c r="S21" s="247"/>
      <c r="T21" s="247"/>
      <c r="U21" s="248"/>
    </row>
    <row r="22" spans="2:21" x14ac:dyDescent="0.25">
      <c r="B22" s="22" t="s">
        <v>18</v>
      </c>
      <c r="D22" s="108" t="str">
        <v>FIGI_BBG000C5GF49</v>
      </c>
      <c r="E22" s="107" t="str">
        <v>LEGAL &amp; GENERAL EURO IND-I A</v>
      </c>
    </row>
    <row r="23" spans="2:21" x14ac:dyDescent="0.25">
      <c r="B23" s="22" t="s">
        <v>19</v>
      </c>
      <c r="D23" s="108" t="str">
        <v>FIGI_BBG000C45QW9</v>
      </c>
      <c r="E23" s="107" t="str">
        <v>LEGAL &amp; GENERAL US INDEX-I-A</v>
      </c>
      <c r="L23" s="242" t="s">
        <v>56</v>
      </c>
      <c r="M23" s="242"/>
      <c r="N23" s="242"/>
      <c r="O23" s="242"/>
    </row>
    <row r="24" spans="2:21" x14ac:dyDescent="0.25">
      <c r="B24" s="22" t="s">
        <v>20</v>
      </c>
      <c r="D24" s="108" t="str">
        <v>FIGI_BBG00GZY0K24</v>
      </c>
      <c r="E24" s="107" t="str">
        <v>WINTON-DIVERSIFIED UC-USD I</v>
      </c>
      <c r="L24" s="255" t="s">
        <v>58</v>
      </c>
      <c r="M24" s="255"/>
      <c r="N24" s="255"/>
      <c r="O24" s="255"/>
    </row>
    <row r="25" spans="2:21" x14ac:dyDescent="0.25">
      <c r="B25" s="22" t="s">
        <v>21</v>
      </c>
      <c r="D25" s="108" t="str">
        <v>FIGI_BBG00GZXXVG1</v>
      </c>
      <c r="E25" s="107" t="str">
        <v>WINTON-DIVERSIFIED UC-GBP ID</v>
      </c>
      <c r="L25" s="256" t="s">
        <v>57</v>
      </c>
      <c r="M25" s="256"/>
      <c r="N25" s="256"/>
      <c r="O25" s="256"/>
    </row>
    <row r="26" spans="2:21" x14ac:dyDescent="0.25">
      <c r="B26" s="22" t="s">
        <v>22</v>
      </c>
      <c r="D26" s="108" t="str">
        <v>FIGI_BBG007V3VDW5</v>
      </c>
      <c r="E26" s="107" t="str">
        <v>DIVER GRW-FRANCK MULL-A EUR</v>
      </c>
      <c r="L26" s="257" t="s">
        <v>55</v>
      </c>
      <c r="M26" s="257"/>
      <c r="N26" s="257"/>
      <c r="O26" s="257"/>
    </row>
    <row r="27" spans="2:21" x14ac:dyDescent="0.25">
      <c r="B27" s="22" t="s">
        <v>23</v>
      </c>
      <c r="D27" s="108" t="str">
        <v>FIGI_BBG000GM7Q26</v>
      </c>
      <c r="E27" s="107" t="str">
        <v>LEGAL &amp; GENERAL PAC IDX-I AC</v>
      </c>
      <c r="L27" s="241" t="s">
        <v>59</v>
      </c>
      <c r="M27" s="241"/>
      <c r="N27" s="241"/>
      <c r="O27" s="241"/>
    </row>
    <row r="28" spans="2:21" x14ac:dyDescent="0.25">
      <c r="B28" s="22" t="s">
        <v>24</v>
      </c>
      <c r="D28" s="108" t="str">
        <v>FIGI_BBG000V7VSG6</v>
      </c>
      <c r="E28" s="107" t="str">
        <v>LEGAL&amp;GENERAL UK 100 INDX-IA</v>
      </c>
      <c r="L28" s="10"/>
      <c r="M28" s="10"/>
      <c r="N28" s="10"/>
      <c r="O28" s="10"/>
    </row>
    <row r="29" spans="2:21" x14ac:dyDescent="0.25">
      <c r="B29" s="22" t="s">
        <v>25</v>
      </c>
      <c r="D29" s="108" t="str">
        <v>FIGI_BBG000F8XRF3</v>
      </c>
      <c r="E29" s="107" t="str">
        <v>LEGAL &amp; GENERAL FXD INT-IA</v>
      </c>
      <c r="L29" s="10"/>
      <c r="M29" s="10"/>
      <c r="N29" s="10"/>
      <c r="O29" s="10"/>
    </row>
    <row r="30" spans="2:21" x14ac:dyDescent="0.25">
      <c r="B30" s="22" t="s">
        <v>26</v>
      </c>
      <c r="D30" s="108" t="str">
        <v>FIGI_BBG000RH4VW4</v>
      </c>
      <c r="E30" s="107" t="str">
        <v>STANDARD LIFE UK EQ INC UN-A</v>
      </c>
      <c r="L30" s="10"/>
      <c r="M30" s="10"/>
      <c r="N30" s="10"/>
      <c r="O30" s="10"/>
    </row>
    <row r="31" spans="2:21" x14ac:dyDescent="0.25">
      <c r="B31" s="22" t="s">
        <v>27</v>
      </c>
      <c r="D31" s="108" t="str">
        <v>FIGI_BBG000R173D9</v>
      </c>
      <c r="E31" s="107" t="str">
        <v>LEGAL&amp;GENERAL INTL INX T-I A</v>
      </c>
      <c r="L31" t="s">
        <v>136</v>
      </c>
      <c r="N31" s="10"/>
      <c r="O31" s="10"/>
    </row>
    <row r="32" spans="2:21" x14ac:dyDescent="0.25">
      <c r="B32" s="22" t="s">
        <v>28</v>
      </c>
      <c r="D32" s="108" t="str">
        <v>FIGI_BBG001HQYT28</v>
      </c>
      <c r="E32" s="107" t="str">
        <v>FIDELITY UK SMALLER COMP-AA</v>
      </c>
      <c r="L32" s="40" t="s">
        <v>65</v>
      </c>
      <c r="M32" s="96" t="s">
        <v>189</v>
      </c>
      <c r="N32" s="10"/>
      <c r="O32" s="10"/>
    </row>
    <row r="33" spans="2:15" x14ac:dyDescent="0.25">
      <c r="B33" s="22" t="s">
        <v>29</v>
      </c>
      <c r="D33" s="108" t="str">
        <v>FIGI_BBG0037S1FD5</v>
      </c>
      <c r="E33" s="107" t="str">
        <v>LEGAL &amp; GENERAL STERLING-I-A</v>
      </c>
      <c r="L33" s="40" t="s">
        <v>99</v>
      </c>
      <c r="M33" s="96" t="s">
        <v>165</v>
      </c>
      <c r="N33" s="10"/>
      <c r="O33" s="10"/>
    </row>
    <row r="34" spans="2:15" x14ac:dyDescent="0.25">
      <c r="B34" s="22" t="s">
        <v>30</v>
      </c>
      <c r="D34" s="108" t="str">
        <v>FIGI_BBG001B81KF5</v>
      </c>
      <c r="E34" s="107" t="str">
        <v>L&amp;G GLB EMERG MKT INDEX-I IN</v>
      </c>
      <c r="L34" s="40" t="s">
        <v>100</v>
      </c>
      <c r="M34" s="96" t="s">
        <v>244</v>
      </c>
    </row>
    <row r="35" spans="2:15" x14ac:dyDescent="0.25">
      <c r="B35" s="22" t="s">
        <v>31</v>
      </c>
      <c r="D35" s="108" t="str">
        <v>FIGI_BBG0034YPJG8</v>
      </c>
      <c r="E35" s="107" t="str">
        <v>M&amp;G GBL HI YLD BOND GBP-I-A</v>
      </c>
      <c r="L35" s="40" t="s">
        <v>101</v>
      </c>
      <c r="M35" s="97">
        <f ca="1">TODAY()</f>
        <v>43396</v>
      </c>
    </row>
    <row r="36" spans="2:15" x14ac:dyDescent="0.25">
      <c r="B36" s="23" t="s">
        <v>32</v>
      </c>
      <c r="C36" s="1"/>
      <c r="D36" s="108" t="str">
        <v>FIGI_BBG0034YQ808</v>
      </c>
      <c r="E36" s="107" t="str">
        <v>M&amp;G EPISODE GROWTH-GBP-I-A</v>
      </c>
      <c r="L36" s="40" t="s">
        <v>86</v>
      </c>
      <c r="M36" s="97">
        <f ca="1">TODAY()</f>
        <v>43396</v>
      </c>
    </row>
    <row r="37" spans="2:15" x14ac:dyDescent="0.25">
      <c r="B37" s="22" t="s">
        <v>33</v>
      </c>
      <c r="D37" s="108" t="str">
        <v>FIGI_BBG004733FZ2</v>
      </c>
      <c r="E37" s="107" t="str">
        <v>STNDRD LIFE-GL ABS RETS-P1GA</v>
      </c>
    </row>
    <row r="38" spans="2:15" x14ac:dyDescent="0.25">
      <c r="B38" s="22" t="s">
        <v>34</v>
      </c>
      <c r="D38" s="108" t="str">
        <v>FIGI_BBG004XQG9D6</v>
      </c>
      <c r="E38" s="107" t="str">
        <v>STANDARD LIFE GL SM COMP-P1A</v>
      </c>
    </row>
    <row r="39" spans="2:15" x14ac:dyDescent="0.25">
      <c r="B39" s="22" t="s">
        <v>35</v>
      </c>
      <c r="D39" s="108" t="str">
        <v>FIGI_BBG003BJ6K44</v>
      </c>
      <c r="E39" s="107" t="str">
        <v>FIDELITY SPECIAL SITS-W-ACC</v>
      </c>
    </row>
    <row r="40" spans="2:15" x14ac:dyDescent="0.25">
      <c r="B40" s="22" t="s">
        <v>36</v>
      </c>
      <c r="D40" s="108" t="e">
        <v>#N/A</v>
      </c>
      <c r="E40" s="107" t="e">
        <v>#N/A</v>
      </c>
    </row>
    <row r="41" spans="2:15" x14ac:dyDescent="0.25">
      <c r="B41" s="22" t="s">
        <v>37</v>
      </c>
      <c r="D41" s="108" t="e">
        <v>#N/A</v>
      </c>
      <c r="E41" s="107" t="e">
        <v>#N/A</v>
      </c>
    </row>
    <row r="42" spans="2:15" x14ac:dyDescent="0.25">
      <c r="B42" s="22" t="s">
        <v>38</v>
      </c>
      <c r="D42" s="108" t="e">
        <v>#N/A</v>
      </c>
      <c r="E42" s="107" t="e">
        <v>#N/A</v>
      </c>
    </row>
    <row r="43" spans="2:15" x14ac:dyDescent="0.25">
      <c r="B43" s="24" t="s">
        <v>39</v>
      </c>
      <c r="D43" s="106" t="e">
        <v>#N/A</v>
      </c>
      <c r="E43" s="105"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Q47"/>
  <sheetViews>
    <sheetView zoomScale="80" zoomScaleNormal="80" workbookViewId="0">
      <selection activeCell="C12" sqref="C12"/>
    </sheetView>
  </sheetViews>
  <sheetFormatPr defaultRowHeight="15" x14ac:dyDescent="0.25"/>
  <cols>
    <col min="1" max="2" width="11.5703125" customWidth="1"/>
    <col min="3" max="3" width="14.85546875" customWidth="1"/>
    <col min="4" max="4" width="25.7109375" customWidth="1"/>
    <col min="5" max="5" width="19.28515625" customWidth="1"/>
    <col min="6" max="6" width="20" customWidth="1"/>
    <col min="7" max="7" width="19" customWidth="1"/>
    <col min="8" max="8" width="14" customWidth="1"/>
    <col min="9" max="9" width="14.85546875" style="109" customWidth="1"/>
    <col min="10" max="10" width="15.5703125" style="109" customWidth="1"/>
    <col min="11" max="11" width="9.140625" style="109"/>
    <col min="12" max="12" width="42.85546875" customWidth="1"/>
  </cols>
  <sheetData>
    <row r="8" spans="3:13" x14ac:dyDescent="0.25">
      <c r="C8" s="258" t="s">
        <v>180</v>
      </c>
      <c r="D8" s="259"/>
      <c r="E8" s="259"/>
      <c r="F8" s="259"/>
      <c r="G8" s="259"/>
      <c r="H8" s="259"/>
      <c r="I8" s="259"/>
      <c r="J8" s="259"/>
      <c r="K8" s="259"/>
      <c r="L8" s="259"/>
    </row>
    <row r="9" spans="3:13" x14ac:dyDescent="0.25">
      <c r="C9" s="260"/>
      <c r="D9" s="261"/>
      <c r="E9" s="261"/>
      <c r="F9" s="261"/>
      <c r="G9" s="261"/>
      <c r="H9" s="261"/>
      <c r="I9" s="262"/>
      <c r="J9" s="262"/>
      <c r="K9" s="262"/>
      <c r="L9" s="261"/>
    </row>
    <row r="11" spans="3:13" x14ac:dyDescent="0.25">
      <c r="C11" s="265" t="s">
        <v>181</v>
      </c>
      <c r="D11" s="266"/>
      <c r="E11" s="266"/>
      <c r="F11" s="266"/>
      <c r="G11" s="267"/>
      <c r="L11" s="222" t="s">
        <v>4</v>
      </c>
    </row>
    <row r="13" spans="3:13" ht="15.75" thickBot="1" x14ac:dyDescent="0.3">
      <c r="C13" s="223" t="s">
        <v>5</v>
      </c>
      <c r="D13" s="223" t="s">
        <v>220</v>
      </c>
      <c r="E13" s="224" t="s">
        <v>221</v>
      </c>
      <c r="F13" s="224" t="s">
        <v>222</v>
      </c>
      <c r="G13" s="223" t="s">
        <v>223</v>
      </c>
      <c r="H13" s="225" t="s">
        <v>224</v>
      </c>
      <c r="I13" s="225" t="s">
        <v>6</v>
      </c>
      <c r="J13" s="225" t="s">
        <v>7</v>
      </c>
      <c r="L13" s="232" t="s">
        <v>48</v>
      </c>
    </row>
    <row r="14" spans="3:13" ht="15.75" thickTop="1" x14ac:dyDescent="0.25">
      <c r="C14" s="63" t="str">
        <f>PortfolioCode</f>
        <v>PortfolioABCDEF</v>
      </c>
      <c r="D14" s="64"/>
      <c r="E14" s="226"/>
      <c r="F14" s="226"/>
      <c r="G14" s="62" t="str">
        <f>PortfolioName</f>
        <v>FirstPortfolio</v>
      </c>
      <c r="H14" s="226"/>
      <c r="I14" s="62">
        <f ca="1">TODAY()</f>
        <v>43396</v>
      </c>
      <c r="J14" s="227" t="s">
        <v>78</v>
      </c>
      <c r="L14" s="233"/>
    </row>
    <row r="15" spans="3:13" x14ac:dyDescent="0.25">
      <c r="C15" s="60"/>
      <c r="D15" s="64"/>
      <c r="E15" s="62"/>
      <c r="F15" s="62"/>
      <c r="G15" s="61"/>
      <c r="H15" s="226"/>
      <c r="I15" s="62"/>
      <c r="J15" s="227"/>
      <c r="L15" s="233"/>
      <c r="M15" s="231"/>
    </row>
    <row r="16" spans="3:13" x14ac:dyDescent="0.25">
      <c r="C16" s="60"/>
      <c r="D16" s="64"/>
      <c r="E16" s="62"/>
      <c r="F16" s="62"/>
      <c r="G16" s="61"/>
      <c r="H16" s="226"/>
      <c r="I16" s="62"/>
      <c r="J16" s="227"/>
      <c r="L16" s="234"/>
    </row>
    <row r="17" spans="3:17" x14ac:dyDescent="0.25">
      <c r="C17" s="60"/>
      <c r="D17" s="64"/>
      <c r="E17" s="62"/>
      <c r="F17" s="64"/>
      <c r="G17" s="61"/>
      <c r="H17" s="226"/>
      <c r="I17" s="62"/>
      <c r="J17" s="227"/>
      <c r="L17" s="234"/>
    </row>
    <row r="18" spans="3:17" x14ac:dyDescent="0.25">
      <c r="C18" s="63"/>
      <c r="D18" s="64"/>
      <c r="E18" s="62"/>
      <c r="F18" s="64"/>
      <c r="G18" s="64"/>
      <c r="H18" s="226"/>
      <c r="I18" s="226"/>
      <c r="J18" s="227"/>
      <c r="L18" s="234"/>
    </row>
    <row r="19" spans="3:17" x14ac:dyDescent="0.25">
      <c r="C19" s="63"/>
      <c r="D19" s="64"/>
      <c r="E19" s="62"/>
      <c r="F19" s="64"/>
      <c r="G19" s="64"/>
      <c r="H19" s="226"/>
      <c r="I19" s="226"/>
      <c r="J19" s="227"/>
      <c r="L19" s="234"/>
    </row>
    <row r="20" spans="3:17" x14ac:dyDescent="0.25">
      <c r="C20" s="63"/>
      <c r="D20" s="64"/>
      <c r="E20" s="62"/>
      <c r="F20" s="64"/>
      <c r="G20" s="64"/>
      <c r="H20" s="226"/>
      <c r="I20" s="226"/>
      <c r="J20" s="227"/>
      <c r="L20" s="234"/>
    </row>
    <row r="21" spans="3:17" x14ac:dyDescent="0.25">
      <c r="C21" s="63"/>
      <c r="D21" s="64"/>
      <c r="E21" s="62"/>
      <c r="F21" s="64"/>
      <c r="G21" s="64"/>
      <c r="H21" s="226"/>
      <c r="I21" s="226"/>
      <c r="J21" s="227"/>
      <c r="L21" s="234"/>
      <c r="N21" s="263" t="s">
        <v>182</v>
      </c>
      <c r="O21" s="264"/>
      <c r="P21" s="264"/>
      <c r="Q21" s="264"/>
    </row>
    <row r="22" spans="3:17" x14ac:dyDescent="0.25">
      <c r="C22" s="63"/>
      <c r="D22" s="64"/>
      <c r="E22" s="62"/>
      <c r="F22" s="64"/>
      <c r="G22" s="64"/>
      <c r="H22" s="226"/>
      <c r="I22" s="226"/>
      <c r="J22" s="227"/>
      <c r="L22" s="234"/>
      <c r="N22" s="264"/>
      <c r="O22" s="264"/>
      <c r="P22" s="264"/>
      <c r="Q22" s="264"/>
    </row>
    <row r="23" spans="3:17" x14ac:dyDescent="0.25">
      <c r="C23" s="63"/>
      <c r="D23" s="64"/>
      <c r="E23" s="62"/>
      <c r="F23" s="64"/>
      <c r="G23" s="64"/>
      <c r="H23" s="226"/>
      <c r="I23" s="226"/>
      <c r="J23" s="227"/>
      <c r="L23" s="234"/>
      <c r="N23" s="264"/>
      <c r="O23" s="264"/>
      <c r="P23" s="264"/>
      <c r="Q23" s="264"/>
    </row>
    <row r="24" spans="3:17" x14ac:dyDescent="0.25">
      <c r="C24" s="63"/>
      <c r="D24" s="64"/>
      <c r="E24" s="62"/>
      <c r="F24" s="64"/>
      <c r="G24" s="64"/>
      <c r="H24" s="226"/>
      <c r="I24" s="226"/>
      <c r="J24" s="227"/>
      <c r="L24" s="234"/>
      <c r="N24" s="264"/>
      <c r="O24" s="264"/>
      <c r="P24" s="264"/>
      <c r="Q24" s="264"/>
    </row>
    <row r="25" spans="3:17" x14ac:dyDescent="0.25">
      <c r="C25" s="63"/>
      <c r="D25" s="64"/>
      <c r="E25" s="62"/>
      <c r="F25" s="64"/>
      <c r="G25" s="64"/>
      <c r="H25" s="226"/>
      <c r="I25" s="226"/>
      <c r="J25" s="227"/>
      <c r="L25" s="234"/>
      <c r="N25" s="264"/>
      <c r="O25" s="264"/>
      <c r="P25" s="264"/>
      <c r="Q25" s="264"/>
    </row>
    <row r="26" spans="3:17" x14ac:dyDescent="0.25">
      <c r="C26" s="63"/>
      <c r="D26" s="64"/>
      <c r="E26" s="62"/>
      <c r="F26" s="64"/>
      <c r="G26" s="64"/>
      <c r="H26" s="226"/>
      <c r="I26" s="226"/>
      <c r="J26" s="227"/>
      <c r="L26" s="234"/>
    </row>
    <row r="27" spans="3:17" x14ac:dyDescent="0.25">
      <c r="C27" s="63"/>
      <c r="D27" s="64"/>
      <c r="E27" s="62"/>
      <c r="F27" s="64"/>
      <c r="G27" s="64"/>
      <c r="H27" s="226"/>
      <c r="I27" s="226"/>
      <c r="J27" s="227"/>
      <c r="L27" s="234"/>
    </row>
    <row r="28" spans="3:17" x14ac:dyDescent="0.25">
      <c r="C28" s="63"/>
      <c r="D28" s="64"/>
      <c r="E28" s="64"/>
      <c r="F28" s="64"/>
      <c r="G28" s="64"/>
      <c r="H28" s="226"/>
      <c r="I28" s="226"/>
      <c r="J28" s="227"/>
      <c r="L28" s="234"/>
    </row>
    <row r="29" spans="3:17" x14ac:dyDescent="0.25">
      <c r="C29" s="63"/>
      <c r="D29" s="64"/>
      <c r="E29" s="64"/>
      <c r="F29" s="64"/>
      <c r="G29" s="64"/>
      <c r="H29" s="226"/>
      <c r="I29" s="226"/>
      <c r="J29" s="227"/>
      <c r="L29" s="234"/>
    </row>
    <row r="30" spans="3:17" x14ac:dyDescent="0.25">
      <c r="C30" s="63"/>
      <c r="D30" s="64"/>
      <c r="E30" s="64"/>
      <c r="F30" s="64"/>
      <c r="G30" s="64"/>
      <c r="H30" s="226"/>
      <c r="I30" s="226"/>
      <c r="J30" s="227"/>
      <c r="L30" s="234"/>
    </row>
    <row r="31" spans="3:17" x14ac:dyDescent="0.25">
      <c r="C31" s="63"/>
      <c r="D31" s="64"/>
      <c r="E31" s="64"/>
      <c r="F31" s="64"/>
      <c r="G31" s="64"/>
      <c r="H31" s="226"/>
      <c r="I31" s="226"/>
      <c r="J31" s="227"/>
      <c r="L31" s="234"/>
    </row>
    <row r="32" spans="3:17" x14ac:dyDescent="0.25">
      <c r="C32" s="63"/>
      <c r="D32" s="64"/>
      <c r="E32" s="64"/>
      <c r="F32" s="64"/>
      <c r="G32" s="64"/>
      <c r="H32" s="226"/>
      <c r="I32" s="226"/>
      <c r="J32" s="227"/>
      <c r="L32" s="234"/>
    </row>
    <row r="33" spans="3:17" x14ac:dyDescent="0.25">
      <c r="C33" s="63"/>
      <c r="D33" s="64"/>
      <c r="E33" s="64"/>
      <c r="F33" s="64"/>
      <c r="G33" s="64"/>
      <c r="H33" s="226"/>
      <c r="I33" s="226"/>
      <c r="J33" s="227"/>
      <c r="L33" s="234"/>
    </row>
    <row r="34" spans="3:17" x14ac:dyDescent="0.25">
      <c r="C34" s="63"/>
      <c r="D34" s="64"/>
      <c r="E34" s="64"/>
      <c r="F34" s="64"/>
      <c r="G34" s="64"/>
      <c r="H34" s="226"/>
      <c r="I34" s="226"/>
      <c r="J34" s="227"/>
      <c r="L34" s="234"/>
    </row>
    <row r="35" spans="3:17" x14ac:dyDescent="0.25">
      <c r="C35" s="63"/>
      <c r="D35" s="64"/>
      <c r="E35" s="64"/>
      <c r="F35" s="64"/>
      <c r="G35" s="64"/>
      <c r="H35" s="226"/>
      <c r="I35" s="226"/>
      <c r="J35" s="227"/>
      <c r="L35" s="234"/>
    </row>
    <row r="36" spans="3:17" x14ac:dyDescent="0.25">
      <c r="C36" s="63"/>
      <c r="D36" s="64"/>
      <c r="E36" s="64"/>
      <c r="F36" s="64"/>
      <c r="G36" s="64"/>
      <c r="H36" s="226"/>
      <c r="I36" s="226"/>
      <c r="J36" s="227"/>
      <c r="L36" s="234"/>
    </row>
    <row r="37" spans="3:17" x14ac:dyDescent="0.25">
      <c r="C37" s="63"/>
      <c r="D37" s="64"/>
      <c r="E37" s="64"/>
      <c r="F37" s="64"/>
      <c r="G37" s="64"/>
      <c r="H37" s="226"/>
      <c r="I37" s="226"/>
      <c r="J37" s="227"/>
      <c r="L37" s="234"/>
    </row>
    <row r="38" spans="3:17" x14ac:dyDescent="0.25">
      <c r="C38" s="63"/>
      <c r="D38" s="64"/>
      <c r="E38" s="64"/>
      <c r="F38" s="64"/>
      <c r="G38" s="64"/>
      <c r="H38" s="226"/>
      <c r="I38" s="226"/>
      <c r="J38" s="227"/>
      <c r="L38" s="234"/>
    </row>
    <row r="39" spans="3:17" x14ac:dyDescent="0.25">
      <c r="C39" s="63"/>
      <c r="D39" s="64"/>
      <c r="E39" s="64"/>
      <c r="F39" s="64"/>
      <c r="G39" s="64"/>
      <c r="H39" s="226"/>
      <c r="I39" s="226"/>
      <c r="J39" s="227"/>
      <c r="L39" s="234"/>
    </row>
    <row r="40" spans="3:17" x14ac:dyDescent="0.25">
      <c r="C40" s="65"/>
      <c r="D40" s="228"/>
      <c r="E40" s="228"/>
      <c r="F40" s="228"/>
      <c r="G40" s="228"/>
      <c r="H40" s="229"/>
      <c r="I40" s="229"/>
      <c r="J40" s="230"/>
      <c r="L40" s="235"/>
    </row>
    <row r="43" spans="3:17" ht="15" customHeight="1" x14ac:dyDescent="0.25">
      <c r="C43" s="243" t="s">
        <v>139</v>
      </c>
      <c r="D43" s="244"/>
      <c r="E43" s="244"/>
      <c r="F43" s="244"/>
      <c r="G43" s="244"/>
      <c r="H43" s="244"/>
      <c r="I43" s="244"/>
      <c r="J43" s="244"/>
      <c r="K43" s="244"/>
      <c r="L43" s="244"/>
      <c r="M43" s="8"/>
      <c r="N43" s="8"/>
      <c r="O43" s="8"/>
      <c r="P43" s="8"/>
      <c r="Q43" s="8"/>
    </row>
    <row r="44" spans="3:17" x14ac:dyDescent="0.25">
      <c r="C44" s="252"/>
      <c r="D44" s="253"/>
      <c r="E44" s="253"/>
      <c r="F44" s="253"/>
      <c r="G44" s="253"/>
      <c r="H44" s="253"/>
      <c r="I44" s="253"/>
      <c r="J44" s="253"/>
      <c r="K44" s="253"/>
      <c r="L44" s="253"/>
      <c r="M44" s="8"/>
      <c r="N44" s="8"/>
      <c r="O44" s="8"/>
      <c r="P44" s="8"/>
      <c r="Q44" s="8"/>
    </row>
    <row r="45" spans="3:17" x14ac:dyDescent="0.25">
      <c r="C45" s="252"/>
      <c r="D45" s="253"/>
      <c r="E45" s="253"/>
      <c r="F45" s="253"/>
      <c r="G45" s="253"/>
      <c r="H45" s="253"/>
      <c r="I45" s="253"/>
      <c r="J45" s="253"/>
      <c r="K45" s="253"/>
      <c r="L45" s="253"/>
      <c r="M45" s="8"/>
      <c r="N45" s="8"/>
      <c r="O45" s="8"/>
      <c r="P45" s="8"/>
      <c r="Q45" s="8"/>
    </row>
    <row r="46" spans="3:17" x14ac:dyDescent="0.25">
      <c r="C46" s="252"/>
      <c r="D46" s="253"/>
      <c r="E46" s="253"/>
      <c r="F46" s="253"/>
      <c r="G46" s="253"/>
      <c r="H46" s="253"/>
      <c r="I46" s="253"/>
      <c r="J46" s="253"/>
      <c r="K46" s="253"/>
      <c r="L46" s="253"/>
      <c r="M46" s="8"/>
      <c r="N46" s="8"/>
      <c r="O46" s="8"/>
      <c r="P46" s="8"/>
      <c r="Q46" s="8"/>
    </row>
    <row r="47" spans="3:17" x14ac:dyDescent="0.25">
      <c r="C47" s="246"/>
      <c r="D47" s="268"/>
      <c r="E47" s="268"/>
      <c r="F47" s="268"/>
      <c r="G47" s="268"/>
      <c r="H47" s="268"/>
      <c r="I47" s="268"/>
      <c r="J47" s="268"/>
      <c r="K47" s="268"/>
      <c r="L47" s="268"/>
      <c r="M47" s="8"/>
      <c r="N47" s="8"/>
      <c r="O47" s="8"/>
      <c r="P47" s="8"/>
      <c r="Q47" s="8"/>
    </row>
  </sheetData>
  <mergeCells count="4">
    <mergeCell ref="C8:L9"/>
    <mergeCell ref="N21:Q25"/>
    <mergeCell ref="C11:G11"/>
    <mergeCell ref="C43:L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13</xdr:col>
                    <xdr:colOff>371475</xdr:colOff>
                    <xdr:row>22</xdr:row>
                    <xdr:rowOff>9525</xdr:rowOff>
                  </from>
                  <to>
                    <xdr:col>16</xdr:col>
                    <xdr:colOff>180975</xdr:colOff>
                    <xdr:row>23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E13" sqref="E13"/>
    </sheetView>
  </sheetViews>
  <sheetFormatPr defaultRowHeight="15" x14ac:dyDescent="0.25"/>
  <cols>
    <col min="3" max="3" width="42.140625" customWidth="1"/>
    <col min="4" max="4" width="3.42578125" customWidth="1"/>
    <col min="6" max="6" width="21.28515625" customWidth="1"/>
    <col min="7" max="7" width="32.85546875" customWidth="1"/>
    <col min="8" max="8" width="14.140625" customWidth="1"/>
    <col min="9" max="9" width="20.7109375" customWidth="1"/>
    <col min="10" max="10" width="16.140625" customWidth="1"/>
    <col min="11" max="11" width="12" customWidth="1"/>
    <col min="12" max="12" width="11.28515625" customWidth="1"/>
    <col min="13" max="13" width="3.42578125" customWidth="1"/>
    <col min="14" max="14" width="33.5703125" customWidth="1"/>
    <col min="15" max="15" width="40.28515625" customWidth="1"/>
    <col min="16" max="16" width="3" customWidth="1"/>
    <col min="18" max="18" width="11.28515625" customWidth="1"/>
  </cols>
  <sheetData>
    <row r="9" spans="3:15" ht="15" customHeight="1" x14ac:dyDescent="0.25">
      <c r="C9" s="258" t="s">
        <v>183</v>
      </c>
      <c r="D9" s="259"/>
      <c r="E9" s="259"/>
      <c r="F9" s="259"/>
      <c r="G9" s="259"/>
      <c r="H9" s="259"/>
      <c r="I9" s="271"/>
      <c r="J9" s="8"/>
      <c r="K9" s="8"/>
      <c r="L9" s="8"/>
      <c r="M9" s="8"/>
      <c r="N9" s="8"/>
      <c r="O9" s="8"/>
    </row>
    <row r="10" spans="3:15" ht="15" customHeight="1" x14ac:dyDescent="0.25">
      <c r="C10" s="260"/>
      <c r="D10" s="261"/>
      <c r="E10" s="261"/>
      <c r="F10" s="261"/>
      <c r="G10" s="261"/>
      <c r="H10" s="261"/>
      <c r="I10" s="272"/>
      <c r="J10" s="8"/>
      <c r="K10" s="8"/>
      <c r="L10" s="8"/>
      <c r="M10" s="8"/>
      <c r="N10" s="8"/>
      <c r="O10" s="8"/>
    </row>
    <row r="11" spans="3:15" ht="15" customHeight="1" x14ac:dyDescent="0.25"/>
    <row r="12" spans="3:15" x14ac:dyDescent="0.25">
      <c r="C12" s="221" t="s">
        <v>61</v>
      </c>
      <c r="E12" s="269" t="s">
        <v>219</v>
      </c>
      <c r="F12" s="269"/>
      <c r="G12" s="269"/>
      <c r="H12" s="269"/>
      <c r="I12" s="269"/>
      <c r="J12" s="269"/>
      <c r="K12" s="269"/>
      <c r="L12" s="269"/>
      <c r="N12" s="270" t="s">
        <v>51</v>
      </c>
      <c r="O12" s="270"/>
    </row>
    <row r="13" spans="3:15" x14ac:dyDescent="0.25">
      <c r="C13" s="4"/>
    </row>
    <row r="14" spans="3:15" ht="15.75" thickBot="1" x14ac:dyDescent="0.3">
      <c r="C14" s="225" t="s">
        <v>40</v>
      </c>
      <c r="E14" s="237" t="s">
        <v>41</v>
      </c>
      <c r="F14" s="237" t="s">
        <v>2</v>
      </c>
      <c r="G14" s="237" t="s">
        <v>5</v>
      </c>
      <c r="H14" s="237" t="s">
        <v>42</v>
      </c>
      <c r="I14" s="237" t="s">
        <v>43</v>
      </c>
      <c r="J14" s="237" t="s">
        <v>225</v>
      </c>
      <c r="K14" s="237" t="s">
        <v>45</v>
      </c>
      <c r="L14" s="237" t="s">
        <v>226</v>
      </c>
      <c r="N14" s="11" t="s">
        <v>50</v>
      </c>
      <c r="O14" s="12" t="s">
        <v>49</v>
      </c>
    </row>
    <row r="15" spans="3:15" ht="22.5" customHeight="1" thickTop="1" x14ac:dyDescent="0.25">
      <c r="C15" s="48" t="s">
        <v>227</v>
      </c>
      <c r="E15" s="41" t="str">
        <f>IF(C15="","","Security")</f>
        <v>Security</v>
      </c>
      <c r="F15" s="42" t="str">
        <f t="shared" ref="F15:F43" si="0">IF(C15="","",Scope)</f>
        <v>DemoScope</v>
      </c>
      <c r="G15" s="42" t="str">
        <f t="shared" ref="G15:G18" si="1">IF(C15="","",C15)</f>
        <v>MySecurityClassification42</v>
      </c>
      <c r="H15" s="42" t="str">
        <f t="shared" ref="H15" si="2">IF(C15="","", "TRUE")</f>
        <v>TRUE</v>
      </c>
      <c r="I15" s="42" t="str">
        <f t="shared" ref="I15:I18" si="3">IF(C15="","",C15)</f>
        <v>MySecurityClassification42</v>
      </c>
      <c r="J15" s="43" t="str">
        <f t="shared" ref="J15" si="4">IF(C15="","","default:string")</f>
        <v>default:string</v>
      </c>
      <c r="K15" s="42"/>
      <c r="L15" s="44"/>
      <c r="N15" s="50"/>
      <c r="O15" s="143"/>
    </row>
    <row r="16" spans="3:15" x14ac:dyDescent="0.25">
      <c r="C16" s="48"/>
      <c r="E16" s="41" t="str">
        <f t="shared" ref="E16:E17" si="5">IF(C16="","","Security")</f>
        <v/>
      </c>
      <c r="F16" s="42" t="str">
        <f t="shared" ref="F16:F17" si="6">IF(C16="","",Scope)</f>
        <v/>
      </c>
      <c r="G16" s="42" t="str">
        <f t="shared" ref="G16:G17" si="7">IF(C16="","",C16)</f>
        <v/>
      </c>
      <c r="H16" s="42" t="str">
        <f t="shared" ref="H16:H17" si="8">IF(C16="","", "TRUE")</f>
        <v/>
      </c>
      <c r="I16" s="42" t="str">
        <f t="shared" ref="I16:I17" si="9">IF(C16="","",C16)</f>
        <v/>
      </c>
      <c r="J16" s="43" t="str">
        <f t="shared" ref="J16:J17" si="10">IF(C16="","","default:string")</f>
        <v/>
      </c>
      <c r="K16" s="42"/>
      <c r="L16" s="44"/>
      <c r="N16" s="50"/>
      <c r="O16" s="51"/>
    </row>
    <row r="17" spans="3:18" x14ac:dyDescent="0.25">
      <c r="C17" s="48"/>
      <c r="E17" s="41" t="str">
        <f t="shared" si="5"/>
        <v/>
      </c>
      <c r="F17" s="42" t="str">
        <f t="shared" si="6"/>
        <v/>
      </c>
      <c r="G17" s="42" t="str">
        <f t="shared" si="7"/>
        <v/>
      </c>
      <c r="H17" s="42" t="str">
        <f t="shared" si="8"/>
        <v/>
      </c>
      <c r="I17" s="42" t="str">
        <f t="shared" si="9"/>
        <v/>
      </c>
      <c r="J17" s="43" t="str">
        <f t="shared" si="10"/>
        <v/>
      </c>
      <c r="K17" s="42"/>
      <c r="L17" s="44"/>
      <c r="N17" s="50"/>
      <c r="O17" s="51"/>
    </row>
    <row r="18" spans="3:18" x14ac:dyDescent="0.25">
      <c r="C18" s="48"/>
      <c r="E18" s="41" t="str">
        <f t="shared" ref="E18:E43" si="11">IF(C18="","","Security")</f>
        <v/>
      </c>
      <c r="F18" s="42" t="str">
        <f t="shared" si="0"/>
        <v/>
      </c>
      <c r="G18" s="42" t="str">
        <f t="shared" si="1"/>
        <v/>
      </c>
      <c r="H18" s="42" t="str">
        <f t="shared" ref="H18" si="12">IF(C18="","", "TRUE")</f>
        <v/>
      </c>
      <c r="I18" s="42" t="str">
        <f t="shared" si="3"/>
        <v/>
      </c>
      <c r="J18" s="43" t="str">
        <f>IF(C18="","","default:string")</f>
        <v/>
      </c>
      <c r="K18" s="42" t="str">
        <f t="shared" ref="K18:K27" si="13">IF(C18="","","asc")</f>
        <v/>
      </c>
      <c r="L18" s="44" t="str">
        <f t="shared" ref="L18:L27" si="14">IF(C18="","","Perpetual")</f>
        <v/>
      </c>
      <c r="N18" s="52"/>
      <c r="O18" s="51"/>
    </row>
    <row r="19" spans="3:18" x14ac:dyDescent="0.25">
      <c r="C19" s="48"/>
      <c r="E19" s="41" t="str">
        <f t="shared" si="11"/>
        <v/>
      </c>
      <c r="F19" s="42" t="str">
        <f t="shared" si="0"/>
        <v/>
      </c>
      <c r="G19" s="42" t="str">
        <f>IF(C19="","",C19)</f>
        <v/>
      </c>
      <c r="H19" s="42" t="str">
        <f>IF(C19="","", "TRUE")</f>
        <v/>
      </c>
      <c r="I19" s="42" t="str">
        <f>IF(C19="","",C19)</f>
        <v/>
      </c>
      <c r="J19" s="43" t="str">
        <f>IF(C19="","","default:string")</f>
        <v/>
      </c>
      <c r="K19" s="42" t="str">
        <f t="shared" si="13"/>
        <v/>
      </c>
      <c r="L19" s="44" t="str">
        <f>IF(C19="","","Perpetual")</f>
        <v/>
      </c>
      <c r="N19" s="50"/>
      <c r="O19" s="51"/>
    </row>
    <row r="20" spans="3:18" x14ac:dyDescent="0.25">
      <c r="C20" s="48"/>
      <c r="E20" s="41" t="str">
        <f t="shared" si="11"/>
        <v/>
      </c>
      <c r="F20" s="42" t="str">
        <f t="shared" si="0"/>
        <v/>
      </c>
      <c r="G20" s="42" t="str">
        <f t="shared" ref="G20:G27" si="15">IF(C20="","",C20)</f>
        <v/>
      </c>
      <c r="H20" s="42" t="str">
        <f t="shared" ref="H20:H27" si="16">IF(C20="","", "TRUE")</f>
        <v/>
      </c>
      <c r="I20" s="42" t="str">
        <f t="shared" ref="I20:I27" si="17">IF(C20="","",C20)</f>
        <v/>
      </c>
      <c r="J20" s="43" t="str">
        <f t="shared" ref="J20:J27" si="18">IF(C20="","","default:string")</f>
        <v/>
      </c>
      <c r="K20" s="42" t="str">
        <f t="shared" si="13"/>
        <v/>
      </c>
      <c r="L20" s="44" t="str">
        <f t="shared" si="14"/>
        <v/>
      </c>
      <c r="N20" s="50"/>
      <c r="O20" s="53"/>
    </row>
    <row r="21" spans="3:18" x14ac:dyDescent="0.25">
      <c r="C21" s="48"/>
      <c r="E21" s="41" t="str">
        <f t="shared" si="11"/>
        <v/>
      </c>
      <c r="F21" s="42" t="str">
        <f t="shared" si="0"/>
        <v/>
      </c>
      <c r="G21" s="42" t="str">
        <f t="shared" si="15"/>
        <v/>
      </c>
      <c r="H21" s="42" t="str">
        <f t="shared" si="16"/>
        <v/>
      </c>
      <c r="I21" s="42" t="str">
        <f t="shared" si="17"/>
        <v/>
      </c>
      <c r="J21" s="43" t="str">
        <f t="shared" si="18"/>
        <v/>
      </c>
      <c r="K21" s="42" t="str">
        <f t="shared" si="13"/>
        <v/>
      </c>
      <c r="L21" s="44" t="str">
        <f t="shared" si="14"/>
        <v/>
      </c>
      <c r="N21" s="50"/>
      <c r="O21" s="51"/>
    </row>
    <row r="22" spans="3:18" x14ac:dyDescent="0.25">
      <c r="C22" s="48"/>
      <c r="E22" s="41" t="str">
        <f t="shared" si="11"/>
        <v/>
      </c>
      <c r="F22" s="42" t="str">
        <f t="shared" si="0"/>
        <v/>
      </c>
      <c r="G22" s="42" t="str">
        <f t="shared" si="15"/>
        <v/>
      </c>
      <c r="H22" s="42" t="str">
        <f t="shared" si="16"/>
        <v/>
      </c>
      <c r="I22" s="42" t="str">
        <f t="shared" si="17"/>
        <v/>
      </c>
      <c r="J22" s="43" t="str">
        <f t="shared" si="18"/>
        <v/>
      </c>
      <c r="K22" s="42" t="str">
        <f t="shared" si="13"/>
        <v/>
      </c>
      <c r="L22" s="44" t="str">
        <f t="shared" si="14"/>
        <v/>
      </c>
      <c r="N22" s="50"/>
      <c r="O22" s="51"/>
    </row>
    <row r="23" spans="3:18" x14ac:dyDescent="0.25">
      <c r="C23" s="48"/>
      <c r="E23" s="41" t="str">
        <f t="shared" si="11"/>
        <v/>
      </c>
      <c r="F23" s="42" t="str">
        <f t="shared" si="0"/>
        <v/>
      </c>
      <c r="G23" s="42" t="str">
        <f t="shared" si="15"/>
        <v/>
      </c>
      <c r="H23" s="42" t="str">
        <f t="shared" si="16"/>
        <v/>
      </c>
      <c r="I23" s="42" t="str">
        <f t="shared" si="17"/>
        <v/>
      </c>
      <c r="J23" s="43" t="str">
        <f t="shared" si="18"/>
        <v/>
      </c>
      <c r="K23" s="42" t="str">
        <f t="shared" si="13"/>
        <v/>
      </c>
      <c r="L23" s="44" t="str">
        <f t="shared" si="14"/>
        <v/>
      </c>
      <c r="N23" s="50"/>
      <c r="O23" s="51"/>
    </row>
    <row r="24" spans="3:18" x14ac:dyDescent="0.25">
      <c r="C24" s="48"/>
      <c r="E24" s="41" t="str">
        <f t="shared" si="11"/>
        <v/>
      </c>
      <c r="F24" s="42" t="str">
        <f t="shared" si="0"/>
        <v/>
      </c>
      <c r="G24" s="42" t="str">
        <f t="shared" si="15"/>
        <v/>
      </c>
      <c r="H24" s="42" t="str">
        <f t="shared" si="16"/>
        <v/>
      </c>
      <c r="I24" s="42" t="str">
        <f t="shared" si="17"/>
        <v/>
      </c>
      <c r="J24" s="43" t="str">
        <f t="shared" si="18"/>
        <v/>
      </c>
      <c r="K24" s="42" t="str">
        <f t="shared" si="13"/>
        <v/>
      </c>
      <c r="L24" s="44" t="str">
        <f t="shared" si="14"/>
        <v/>
      </c>
      <c r="N24" s="50"/>
      <c r="O24" s="51"/>
    </row>
    <row r="25" spans="3:18" x14ac:dyDescent="0.25">
      <c r="C25" s="48"/>
      <c r="E25" s="41" t="str">
        <f t="shared" si="11"/>
        <v/>
      </c>
      <c r="F25" s="42" t="str">
        <f t="shared" si="0"/>
        <v/>
      </c>
      <c r="G25" s="42" t="str">
        <f t="shared" si="15"/>
        <v/>
      </c>
      <c r="H25" s="42" t="str">
        <f t="shared" si="16"/>
        <v/>
      </c>
      <c r="I25" s="42" t="str">
        <f t="shared" si="17"/>
        <v/>
      </c>
      <c r="J25" s="43" t="str">
        <f t="shared" si="18"/>
        <v/>
      </c>
      <c r="K25" s="42" t="str">
        <f t="shared" si="13"/>
        <v/>
      </c>
      <c r="L25" s="44" t="str">
        <f t="shared" si="14"/>
        <v/>
      </c>
      <c r="N25" s="50"/>
      <c r="O25" s="51"/>
    </row>
    <row r="26" spans="3:18" x14ac:dyDescent="0.25">
      <c r="C26" s="48"/>
      <c r="E26" s="41" t="str">
        <f t="shared" si="11"/>
        <v/>
      </c>
      <c r="F26" s="42" t="str">
        <f t="shared" si="0"/>
        <v/>
      </c>
      <c r="G26" s="42" t="str">
        <f t="shared" si="15"/>
        <v/>
      </c>
      <c r="H26" s="42" t="str">
        <f t="shared" si="16"/>
        <v/>
      </c>
      <c r="I26" s="42" t="str">
        <f t="shared" si="17"/>
        <v/>
      </c>
      <c r="J26" s="43" t="str">
        <f t="shared" si="18"/>
        <v/>
      </c>
      <c r="K26" s="42" t="str">
        <f t="shared" si="13"/>
        <v/>
      </c>
      <c r="L26" s="44" t="str">
        <f t="shared" si="14"/>
        <v/>
      </c>
      <c r="N26" s="50"/>
      <c r="O26" s="51"/>
      <c r="Q26" s="264" t="s">
        <v>53</v>
      </c>
      <c r="R26" s="264"/>
    </row>
    <row r="27" spans="3:18" x14ac:dyDescent="0.25">
      <c r="C27" s="48"/>
      <c r="E27" s="41" t="str">
        <f t="shared" si="11"/>
        <v/>
      </c>
      <c r="F27" s="42" t="str">
        <f t="shared" si="0"/>
        <v/>
      </c>
      <c r="G27" s="42" t="str">
        <f t="shared" si="15"/>
        <v/>
      </c>
      <c r="H27" s="42" t="str">
        <f t="shared" si="16"/>
        <v/>
      </c>
      <c r="I27" s="42" t="str">
        <f t="shared" si="17"/>
        <v/>
      </c>
      <c r="J27" s="43" t="str">
        <f t="shared" si="18"/>
        <v/>
      </c>
      <c r="K27" s="42" t="str">
        <f t="shared" si="13"/>
        <v/>
      </c>
      <c r="L27" s="44" t="str">
        <f t="shared" si="14"/>
        <v/>
      </c>
      <c r="N27" s="50"/>
      <c r="O27" s="51"/>
      <c r="Q27" s="264"/>
      <c r="R27" s="264"/>
    </row>
    <row r="28" spans="3:18" x14ac:dyDescent="0.25">
      <c r="C28" s="48"/>
      <c r="E28" s="41" t="str">
        <f t="shared" si="11"/>
        <v/>
      </c>
      <c r="F28" s="42" t="str">
        <f t="shared" si="0"/>
        <v/>
      </c>
      <c r="G28" s="42" t="str">
        <f t="shared" ref="G28:G42" si="19">IF(C28="","",C28)</f>
        <v/>
      </c>
      <c r="H28" s="42" t="str">
        <f t="shared" ref="H28:H42" si="20">IF(C28="","", "TRUE")</f>
        <v/>
      </c>
      <c r="I28" s="42" t="str">
        <f t="shared" ref="I28:I42" si="21">IF(C28="","",C28)</f>
        <v/>
      </c>
      <c r="J28" s="43" t="str">
        <f t="shared" ref="J28:J42" si="22">IF(C28="","","default:string")</f>
        <v/>
      </c>
      <c r="K28" s="42" t="str">
        <f t="shared" ref="K28:K42" si="23">IF(C28="","","asc")</f>
        <v/>
      </c>
      <c r="L28" s="44" t="str">
        <f t="shared" ref="L28:L42" si="24">IF(C28="","","Perpetual")</f>
        <v/>
      </c>
      <c r="N28" s="50"/>
      <c r="O28" s="51"/>
      <c r="Q28" s="264"/>
      <c r="R28" s="264"/>
    </row>
    <row r="29" spans="3:18" x14ac:dyDescent="0.25">
      <c r="C29" s="48"/>
      <c r="E29" s="41" t="str">
        <f t="shared" si="11"/>
        <v/>
      </c>
      <c r="F29" s="42" t="str">
        <f t="shared" si="0"/>
        <v/>
      </c>
      <c r="G29" s="42" t="str">
        <f t="shared" si="19"/>
        <v/>
      </c>
      <c r="H29" s="42" t="str">
        <f t="shared" si="20"/>
        <v/>
      </c>
      <c r="I29" s="42" t="str">
        <f t="shared" si="21"/>
        <v/>
      </c>
      <c r="J29" s="43" t="str">
        <f t="shared" si="22"/>
        <v/>
      </c>
      <c r="K29" s="42" t="str">
        <f t="shared" si="23"/>
        <v/>
      </c>
      <c r="L29" s="44" t="str">
        <f t="shared" si="24"/>
        <v/>
      </c>
      <c r="N29" s="50"/>
      <c r="O29" s="51"/>
      <c r="Q29" s="264"/>
      <c r="R29" s="264"/>
    </row>
    <row r="30" spans="3:18" x14ac:dyDescent="0.25">
      <c r="C30" s="48"/>
      <c r="E30" s="41" t="str">
        <f t="shared" si="11"/>
        <v/>
      </c>
      <c r="F30" s="42" t="str">
        <f t="shared" si="0"/>
        <v/>
      </c>
      <c r="G30" s="42" t="str">
        <f t="shared" si="19"/>
        <v/>
      </c>
      <c r="H30" s="42" t="str">
        <f t="shared" si="20"/>
        <v/>
      </c>
      <c r="I30" s="42" t="str">
        <f t="shared" si="21"/>
        <v/>
      </c>
      <c r="J30" s="43" t="str">
        <f t="shared" si="22"/>
        <v/>
      </c>
      <c r="K30" s="42" t="str">
        <f t="shared" si="23"/>
        <v/>
      </c>
      <c r="L30" s="44" t="str">
        <f t="shared" si="24"/>
        <v/>
      </c>
      <c r="N30" s="50"/>
      <c r="O30" s="51"/>
    </row>
    <row r="31" spans="3:18" x14ac:dyDescent="0.25">
      <c r="C31" s="48"/>
      <c r="E31" s="41" t="str">
        <f t="shared" si="11"/>
        <v/>
      </c>
      <c r="F31" s="42" t="str">
        <f t="shared" si="0"/>
        <v/>
      </c>
      <c r="G31" s="42" t="str">
        <f t="shared" si="19"/>
        <v/>
      </c>
      <c r="H31" s="42" t="str">
        <f t="shared" si="20"/>
        <v/>
      </c>
      <c r="I31" s="42" t="str">
        <f t="shared" si="21"/>
        <v/>
      </c>
      <c r="J31" s="43" t="str">
        <f t="shared" si="22"/>
        <v/>
      </c>
      <c r="K31" s="42" t="str">
        <f t="shared" si="23"/>
        <v/>
      </c>
      <c r="L31" s="44" t="str">
        <f t="shared" si="24"/>
        <v/>
      </c>
      <c r="N31" s="50"/>
      <c r="O31" s="51"/>
    </row>
    <row r="32" spans="3:18" x14ac:dyDescent="0.25">
      <c r="C32" s="48"/>
      <c r="E32" s="41" t="str">
        <f t="shared" si="11"/>
        <v/>
      </c>
      <c r="F32" s="42" t="str">
        <f t="shared" si="0"/>
        <v/>
      </c>
      <c r="G32" s="42" t="str">
        <f t="shared" si="19"/>
        <v/>
      </c>
      <c r="H32" s="42" t="str">
        <f t="shared" si="20"/>
        <v/>
      </c>
      <c r="I32" s="42" t="str">
        <f t="shared" si="21"/>
        <v/>
      </c>
      <c r="J32" s="43" t="str">
        <f t="shared" si="22"/>
        <v/>
      </c>
      <c r="K32" s="42" t="str">
        <f t="shared" si="23"/>
        <v/>
      </c>
      <c r="L32" s="44" t="str">
        <f t="shared" si="24"/>
        <v/>
      </c>
      <c r="N32" s="50"/>
      <c r="O32" s="51"/>
      <c r="Q32" s="4"/>
      <c r="R32" s="4"/>
    </row>
    <row r="33" spans="3:18" x14ac:dyDescent="0.25">
      <c r="C33" s="48"/>
      <c r="E33" s="41" t="str">
        <f t="shared" si="11"/>
        <v/>
      </c>
      <c r="F33" s="42" t="str">
        <f t="shared" si="0"/>
        <v/>
      </c>
      <c r="G33" s="42" t="str">
        <f t="shared" si="19"/>
        <v/>
      </c>
      <c r="H33" s="42" t="str">
        <f t="shared" si="20"/>
        <v/>
      </c>
      <c r="I33" s="42" t="str">
        <f t="shared" si="21"/>
        <v/>
      </c>
      <c r="J33" s="43" t="str">
        <f t="shared" si="22"/>
        <v/>
      </c>
      <c r="K33" s="42" t="str">
        <f t="shared" si="23"/>
        <v/>
      </c>
      <c r="L33" s="44" t="str">
        <f t="shared" si="24"/>
        <v/>
      </c>
      <c r="N33" s="50"/>
      <c r="O33" s="51"/>
      <c r="Q33" s="4"/>
      <c r="R33" s="4"/>
    </row>
    <row r="34" spans="3:18" x14ac:dyDescent="0.25">
      <c r="C34" s="48"/>
      <c r="E34" s="41" t="str">
        <f t="shared" si="11"/>
        <v/>
      </c>
      <c r="F34" s="42" t="str">
        <f t="shared" si="0"/>
        <v/>
      </c>
      <c r="G34" s="42" t="str">
        <f t="shared" si="19"/>
        <v/>
      </c>
      <c r="H34" s="42" t="str">
        <f t="shared" si="20"/>
        <v/>
      </c>
      <c r="I34" s="42" t="str">
        <f t="shared" si="21"/>
        <v/>
      </c>
      <c r="J34" s="43" t="str">
        <f t="shared" si="22"/>
        <v/>
      </c>
      <c r="K34" s="42" t="str">
        <f t="shared" si="23"/>
        <v/>
      </c>
      <c r="L34" s="44" t="str">
        <f t="shared" si="24"/>
        <v/>
      </c>
      <c r="N34" s="50"/>
      <c r="O34" s="51"/>
      <c r="Q34" s="4"/>
      <c r="R34" s="4"/>
    </row>
    <row r="35" spans="3:18" x14ac:dyDescent="0.25">
      <c r="C35" s="48"/>
      <c r="E35" s="41" t="str">
        <f t="shared" si="11"/>
        <v/>
      </c>
      <c r="F35" s="42" t="str">
        <f t="shared" si="0"/>
        <v/>
      </c>
      <c r="G35" s="42" t="str">
        <f t="shared" si="19"/>
        <v/>
      </c>
      <c r="H35" s="42" t="str">
        <f t="shared" si="20"/>
        <v/>
      </c>
      <c r="I35" s="42" t="str">
        <f t="shared" si="21"/>
        <v/>
      </c>
      <c r="J35" s="43" t="str">
        <f t="shared" si="22"/>
        <v/>
      </c>
      <c r="K35" s="42" t="str">
        <f t="shared" si="23"/>
        <v/>
      </c>
      <c r="L35" s="44" t="str">
        <f t="shared" si="24"/>
        <v/>
      </c>
      <c r="N35" s="50"/>
      <c r="O35" s="51"/>
    </row>
    <row r="36" spans="3:18" x14ac:dyDescent="0.25">
      <c r="C36" s="48"/>
      <c r="E36" s="41" t="str">
        <f t="shared" si="11"/>
        <v/>
      </c>
      <c r="F36" s="42" t="str">
        <f t="shared" si="0"/>
        <v/>
      </c>
      <c r="G36" s="42" t="str">
        <f t="shared" si="19"/>
        <v/>
      </c>
      <c r="H36" s="42" t="str">
        <f t="shared" si="20"/>
        <v/>
      </c>
      <c r="I36" s="42" t="str">
        <f t="shared" si="21"/>
        <v/>
      </c>
      <c r="J36" s="43" t="str">
        <f t="shared" si="22"/>
        <v/>
      </c>
      <c r="K36" s="42" t="str">
        <f t="shared" si="23"/>
        <v/>
      </c>
      <c r="L36" s="44" t="str">
        <f t="shared" si="24"/>
        <v/>
      </c>
      <c r="N36" s="50"/>
      <c r="O36" s="51"/>
    </row>
    <row r="37" spans="3:18" x14ac:dyDescent="0.25">
      <c r="C37" s="48"/>
      <c r="E37" s="41" t="str">
        <f t="shared" si="11"/>
        <v/>
      </c>
      <c r="F37" s="42" t="str">
        <f t="shared" si="0"/>
        <v/>
      </c>
      <c r="G37" s="42" t="str">
        <f t="shared" si="19"/>
        <v/>
      </c>
      <c r="H37" s="42" t="str">
        <f t="shared" si="20"/>
        <v/>
      </c>
      <c r="I37" s="42" t="str">
        <f t="shared" si="21"/>
        <v/>
      </c>
      <c r="J37" s="43" t="str">
        <f t="shared" si="22"/>
        <v/>
      </c>
      <c r="K37" s="42" t="str">
        <f t="shared" si="23"/>
        <v/>
      </c>
      <c r="L37" s="44" t="str">
        <f t="shared" si="24"/>
        <v/>
      </c>
      <c r="N37" s="50"/>
      <c r="O37" s="51"/>
    </row>
    <row r="38" spans="3:18" x14ac:dyDescent="0.25">
      <c r="C38" s="48"/>
      <c r="E38" s="41" t="str">
        <f t="shared" si="11"/>
        <v/>
      </c>
      <c r="F38" s="42" t="str">
        <f t="shared" si="0"/>
        <v/>
      </c>
      <c r="G38" s="42" t="str">
        <f t="shared" si="19"/>
        <v/>
      </c>
      <c r="H38" s="42" t="str">
        <f t="shared" si="20"/>
        <v/>
      </c>
      <c r="I38" s="42" t="str">
        <f t="shared" si="21"/>
        <v/>
      </c>
      <c r="J38" s="43" t="str">
        <f t="shared" si="22"/>
        <v/>
      </c>
      <c r="K38" s="42" t="str">
        <f t="shared" si="23"/>
        <v/>
      </c>
      <c r="L38" s="44" t="str">
        <f t="shared" si="24"/>
        <v/>
      </c>
      <c r="N38" s="50"/>
      <c r="O38" s="51"/>
    </row>
    <row r="39" spans="3:18" x14ac:dyDescent="0.25">
      <c r="C39" s="48"/>
      <c r="E39" s="41" t="str">
        <f t="shared" si="11"/>
        <v/>
      </c>
      <c r="F39" s="42" t="str">
        <f t="shared" si="0"/>
        <v/>
      </c>
      <c r="G39" s="42" t="str">
        <f t="shared" si="19"/>
        <v/>
      </c>
      <c r="H39" s="42" t="str">
        <f t="shared" si="20"/>
        <v/>
      </c>
      <c r="I39" s="42" t="str">
        <f t="shared" si="21"/>
        <v/>
      </c>
      <c r="J39" s="43" t="str">
        <f t="shared" si="22"/>
        <v/>
      </c>
      <c r="K39" s="42" t="str">
        <f t="shared" si="23"/>
        <v/>
      </c>
      <c r="L39" s="44" t="str">
        <f t="shared" si="24"/>
        <v/>
      </c>
      <c r="N39" s="50"/>
      <c r="O39" s="51"/>
    </row>
    <row r="40" spans="3:18" x14ac:dyDescent="0.25">
      <c r="C40" s="48"/>
      <c r="E40" s="41" t="str">
        <f t="shared" si="11"/>
        <v/>
      </c>
      <c r="F40" s="42" t="str">
        <f t="shared" si="0"/>
        <v/>
      </c>
      <c r="G40" s="42" t="str">
        <f t="shared" si="19"/>
        <v/>
      </c>
      <c r="H40" s="42" t="str">
        <f t="shared" si="20"/>
        <v/>
      </c>
      <c r="I40" s="42" t="str">
        <f t="shared" si="21"/>
        <v/>
      </c>
      <c r="J40" s="43" t="str">
        <f t="shared" si="22"/>
        <v/>
      </c>
      <c r="K40" s="42" t="str">
        <f t="shared" si="23"/>
        <v/>
      </c>
      <c r="L40" s="44" t="str">
        <f t="shared" si="24"/>
        <v/>
      </c>
      <c r="N40" s="50"/>
      <c r="O40" s="51"/>
    </row>
    <row r="41" spans="3:18" x14ac:dyDescent="0.25">
      <c r="C41" s="48"/>
      <c r="E41" s="41" t="str">
        <f t="shared" si="11"/>
        <v/>
      </c>
      <c r="F41" s="42" t="str">
        <f t="shared" si="0"/>
        <v/>
      </c>
      <c r="G41" s="42" t="str">
        <f t="shared" si="19"/>
        <v/>
      </c>
      <c r="H41" s="42" t="str">
        <f t="shared" si="20"/>
        <v/>
      </c>
      <c r="I41" s="42" t="str">
        <f t="shared" si="21"/>
        <v/>
      </c>
      <c r="J41" s="43" t="str">
        <f t="shared" si="22"/>
        <v/>
      </c>
      <c r="K41" s="42" t="str">
        <f t="shared" si="23"/>
        <v/>
      </c>
      <c r="L41" s="44" t="str">
        <f t="shared" si="24"/>
        <v/>
      </c>
      <c r="N41" s="50"/>
      <c r="O41" s="51"/>
    </row>
    <row r="42" spans="3:18" x14ac:dyDescent="0.25">
      <c r="C42" s="48"/>
      <c r="E42" s="41" t="str">
        <f t="shared" si="11"/>
        <v/>
      </c>
      <c r="F42" s="42" t="str">
        <f t="shared" si="0"/>
        <v/>
      </c>
      <c r="G42" s="42" t="str">
        <f t="shared" si="19"/>
        <v/>
      </c>
      <c r="H42" s="42" t="str">
        <f t="shared" si="20"/>
        <v/>
      </c>
      <c r="I42" s="42" t="str">
        <f t="shared" si="21"/>
        <v/>
      </c>
      <c r="J42" s="43" t="str">
        <f t="shared" si="22"/>
        <v/>
      </c>
      <c r="K42" s="42" t="str">
        <f t="shared" si="23"/>
        <v/>
      </c>
      <c r="L42" s="44" t="str">
        <f t="shared" si="24"/>
        <v/>
      </c>
      <c r="N42" s="50"/>
      <c r="O42" s="51"/>
    </row>
    <row r="43" spans="3:18" x14ac:dyDescent="0.25">
      <c r="C43" s="49"/>
      <c r="E43" s="41" t="str">
        <f t="shared" si="11"/>
        <v/>
      </c>
      <c r="F43" s="45" t="str">
        <f t="shared" si="0"/>
        <v/>
      </c>
      <c r="G43" s="45" t="str">
        <f t="shared" ref="G43" si="25">IF(C43="","",C43)</f>
        <v/>
      </c>
      <c r="H43" s="45" t="str">
        <f t="shared" ref="H43" si="26">IF(C43="","", "TRUE")</f>
        <v/>
      </c>
      <c r="I43" s="45" t="str">
        <f t="shared" ref="I43" si="27">IF(C43="","",C43)</f>
        <v/>
      </c>
      <c r="J43" s="46" t="str">
        <f t="shared" ref="J43" si="28">IF(C43="","","default:string")</f>
        <v/>
      </c>
      <c r="K43" s="45" t="str">
        <f t="shared" ref="K43" si="29">IF(C43="","","asc")</f>
        <v/>
      </c>
      <c r="L43" s="47" t="str">
        <f t="shared" ref="L43" si="30">IF(C43="","","Perpetual")</f>
        <v/>
      </c>
      <c r="N43" s="54"/>
      <c r="O43" s="55"/>
    </row>
    <row r="45" spans="3:18" ht="15" customHeight="1" x14ac:dyDescent="0.25">
      <c r="C45" s="243" t="s">
        <v>52</v>
      </c>
      <c r="D45" s="244"/>
      <c r="E45" s="244"/>
      <c r="F45" s="244"/>
      <c r="G45" s="244"/>
      <c r="H45" s="244"/>
      <c r="I45" s="244"/>
      <c r="J45" s="244"/>
      <c r="K45" s="244"/>
      <c r="L45" s="244"/>
      <c r="M45" s="244"/>
      <c r="N45" s="244"/>
      <c r="O45" s="245"/>
    </row>
    <row r="46" spans="3:18" x14ac:dyDescent="0.25">
      <c r="C46" s="252"/>
      <c r="D46" s="253"/>
      <c r="E46" s="253"/>
      <c r="F46" s="253"/>
      <c r="G46" s="253"/>
      <c r="H46" s="253"/>
      <c r="I46" s="253"/>
      <c r="J46" s="253"/>
      <c r="K46" s="253"/>
      <c r="L46" s="253"/>
      <c r="M46" s="253"/>
      <c r="N46" s="253"/>
      <c r="O46" s="254"/>
    </row>
    <row r="47" spans="3:18" x14ac:dyDescent="0.25">
      <c r="C47" s="252"/>
      <c r="D47" s="253"/>
      <c r="E47" s="253"/>
      <c r="F47" s="253"/>
      <c r="G47" s="253"/>
      <c r="H47" s="253"/>
      <c r="I47" s="253"/>
      <c r="J47" s="253"/>
      <c r="K47" s="253"/>
      <c r="L47" s="253"/>
      <c r="M47" s="253"/>
      <c r="N47" s="253"/>
      <c r="O47" s="254"/>
    </row>
    <row r="48" spans="3:18" x14ac:dyDescent="0.25">
      <c r="C48" s="252"/>
      <c r="D48" s="253"/>
      <c r="E48" s="253"/>
      <c r="F48" s="253"/>
      <c r="G48" s="253"/>
      <c r="H48" s="253"/>
      <c r="I48" s="253"/>
      <c r="J48" s="253"/>
      <c r="K48" s="253"/>
      <c r="L48" s="253"/>
      <c r="M48" s="253"/>
      <c r="N48" s="253"/>
      <c r="O48" s="254"/>
    </row>
    <row r="49" spans="3:15" x14ac:dyDescent="0.25">
      <c r="C49" s="246"/>
      <c r="D49" s="247"/>
      <c r="E49" s="247"/>
      <c r="F49" s="247"/>
      <c r="G49" s="247"/>
      <c r="H49" s="247"/>
      <c r="I49" s="247"/>
      <c r="J49" s="247"/>
      <c r="K49" s="247"/>
      <c r="L49" s="247"/>
      <c r="M49" s="247"/>
      <c r="N49" s="247"/>
      <c r="O49" s="248"/>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14" sqref="E14"/>
    </sheetView>
  </sheetViews>
  <sheetFormatPr defaultRowHeight="15" x14ac:dyDescent="0.25"/>
  <cols>
    <col min="1" max="1" width="15.42578125" customWidth="1"/>
    <col min="2" max="2" width="4.140625" customWidth="1"/>
    <col min="3" max="3" width="31.7109375" customWidth="1"/>
    <col min="4" max="4" width="14.28515625" customWidth="1"/>
    <col min="5" max="5" width="49.4257812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17"/>
    </row>
    <row r="7" spans="2:10" x14ac:dyDescent="0.25">
      <c r="J7" t="str">
        <f>LEFT($E14,1)</f>
        <v/>
      </c>
    </row>
    <row r="9" spans="2:10" x14ac:dyDescent="0.25">
      <c r="C9" s="273" t="s">
        <v>184</v>
      </c>
      <c r="D9" s="274"/>
      <c r="E9" s="274"/>
      <c r="F9" s="275"/>
    </row>
    <row r="10" spans="2:10" x14ac:dyDescent="0.25">
      <c r="C10" s="276"/>
      <c r="D10" s="277"/>
      <c r="E10" s="277"/>
      <c r="F10" s="278"/>
    </row>
    <row r="11" spans="2:10" x14ac:dyDescent="0.25">
      <c r="C11" s="9"/>
      <c r="D11" s="9"/>
      <c r="E11" s="9"/>
      <c r="F11" s="9"/>
    </row>
    <row r="12" spans="2:10" x14ac:dyDescent="0.25">
      <c r="C12" s="279" t="s">
        <v>66</v>
      </c>
      <c r="D12" s="280"/>
      <c r="E12" s="280"/>
      <c r="F12" s="280"/>
      <c r="G12" s="280"/>
      <c r="H12" s="280"/>
      <c r="I12" s="281"/>
    </row>
    <row r="14" spans="2:10" ht="15.75" customHeight="1" thickBot="1" x14ac:dyDescent="0.3">
      <c r="B14" s="6"/>
      <c r="C14" s="86" t="s">
        <v>8</v>
      </c>
      <c r="D14" s="162" t="s">
        <v>178</v>
      </c>
      <c r="E14" s="163" t="str">
        <f t="array" ref="E14:I14">TRANSPOSE(IF(ClassificationKeys="","",ClassificationKeys))</f>
        <v/>
      </c>
      <c r="F14" s="163" t="str">
        <v/>
      </c>
      <c r="G14" s="163" t="str">
        <v/>
      </c>
      <c r="H14" s="163" t="str">
        <v/>
      </c>
      <c r="I14" s="164" t="str">
        <v/>
      </c>
      <c r="J14" s="5"/>
    </row>
    <row r="15" spans="2:10" ht="15.75" thickTop="1" x14ac:dyDescent="0.25">
      <c r="B15" s="29">
        <v>1</v>
      </c>
      <c r="C15" s="122" t="str">
        <f>IF(Setup!D14=0,NA(),Setup!D14)</f>
        <v>FIGI_BBG00JVF3738</v>
      </c>
      <c r="D15" s="59">
        <f ca="1">IF(C15="","",TODAY())</f>
        <v>43396</v>
      </c>
      <c r="E15" s="158"/>
      <c r="F15" s="123"/>
      <c r="G15" s="123"/>
      <c r="H15" s="123"/>
      <c r="I15" s="165"/>
      <c r="J15" s="143" t="s">
        <v>50</v>
      </c>
    </row>
    <row r="16" spans="2:10" x14ac:dyDescent="0.25">
      <c r="B16" s="29">
        <v>2</v>
      </c>
      <c r="C16" s="122" t="str">
        <f>IF(Setup!D15=0,NA(),Setup!D15)</f>
        <v>FIGI_BBG00DKL90B0</v>
      </c>
      <c r="D16" s="59">
        <f t="shared" ref="D16:D44" ca="1" si="0">IF(C16="","",TODAY())</f>
        <v>43396</v>
      </c>
      <c r="E16" s="158"/>
      <c r="F16" s="123"/>
      <c r="G16" s="123"/>
      <c r="H16" s="123"/>
      <c r="I16" s="165"/>
      <c r="J16" s="51"/>
    </row>
    <row r="17" spans="2:13" x14ac:dyDescent="0.25">
      <c r="B17" s="29">
        <v>3</v>
      </c>
      <c r="C17" s="122" t="str">
        <f>IF(Setup!D16=0,NA(),Setup!D16)</f>
        <v>FIGI_BBG00DKL91M6</v>
      </c>
      <c r="D17" s="59">
        <f ca="1">IF(C17="","",TODAY())</f>
        <v>43396</v>
      </c>
      <c r="E17" s="158"/>
      <c r="F17" s="123"/>
      <c r="G17" s="123"/>
      <c r="H17" s="123"/>
      <c r="I17" s="165"/>
      <c r="J17" s="51"/>
    </row>
    <row r="18" spans="2:13" x14ac:dyDescent="0.25">
      <c r="B18" s="29">
        <v>4</v>
      </c>
      <c r="C18" s="122" t="str">
        <f>IF(Setup!D17=0,NA(),Setup!D17)</f>
        <v>FIGI_BBG00FDG24R6</v>
      </c>
      <c r="D18" s="59">
        <f t="shared" ca="1" si="0"/>
        <v>43396</v>
      </c>
      <c r="E18" s="158"/>
      <c r="F18" s="123"/>
      <c r="G18" s="123"/>
      <c r="H18" s="123"/>
      <c r="I18" s="165"/>
      <c r="J18" s="51"/>
    </row>
    <row r="19" spans="2:13" x14ac:dyDescent="0.25">
      <c r="B19" s="29">
        <v>5</v>
      </c>
      <c r="C19" s="122" t="str">
        <f>IF(Setup!D18=0,NA(),Setup!D18)</f>
        <v>FIGI_BBG00DKL91L7</v>
      </c>
      <c r="D19" s="59">
        <f t="shared" ca="1" si="0"/>
        <v>43396</v>
      </c>
      <c r="E19" s="158"/>
      <c r="F19" s="123"/>
      <c r="G19" s="123"/>
      <c r="H19" s="123"/>
      <c r="I19" s="165"/>
      <c r="J19" s="51"/>
    </row>
    <row r="20" spans="2:13" x14ac:dyDescent="0.25">
      <c r="B20" s="29">
        <v>6</v>
      </c>
      <c r="C20" s="122" t="str">
        <f>IF(Setup!D19=0,NA(),Setup!D19)</f>
        <v>FIGI_BBG00FB2C3M5</v>
      </c>
      <c r="D20" s="59">
        <f t="shared" ca="1" si="0"/>
        <v>43396</v>
      </c>
      <c r="E20" s="158"/>
      <c r="F20" s="123"/>
      <c r="G20" s="123"/>
      <c r="H20" s="123"/>
      <c r="I20" s="165"/>
      <c r="J20" s="51"/>
    </row>
    <row r="21" spans="2:13" x14ac:dyDescent="0.25">
      <c r="B21" s="29">
        <v>7</v>
      </c>
      <c r="C21" s="122" t="str">
        <f>IF(Setup!D20=0,NA(),Setup!D20)</f>
        <v>FIGI_BBG00FJ5L0H2</v>
      </c>
      <c r="D21" s="59">
        <f t="shared" ca="1" si="0"/>
        <v>43396</v>
      </c>
      <c r="E21" s="158"/>
      <c r="F21" s="123"/>
      <c r="G21" s="123"/>
      <c r="H21" s="123"/>
      <c r="I21" s="165"/>
      <c r="J21" s="51"/>
    </row>
    <row r="22" spans="2:13" x14ac:dyDescent="0.25">
      <c r="B22" s="29">
        <v>8</v>
      </c>
      <c r="C22" s="122" t="str">
        <f>IF(Setup!D21=0,NA(),Setup!D21)</f>
        <v>FIGI_BBG00FJ5L0Q2</v>
      </c>
      <c r="D22" s="59">
        <f t="shared" ca="1" si="0"/>
        <v>43396</v>
      </c>
      <c r="E22" s="158"/>
      <c r="F22" s="123"/>
      <c r="G22" s="123"/>
      <c r="H22" s="123"/>
      <c r="I22" s="165"/>
      <c r="J22" s="51"/>
    </row>
    <row r="23" spans="2:13" x14ac:dyDescent="0.25">
      <c r="B23" s="29">
        <v>9</v>
      </c>
      <c r="C23" s="122" t="str">
        <f>IF(Setup!D22=0,NA(),Setup!D22)</f>
        <v>FIGI_BBG000C5GF49</v>
      </c>
      <c r="D23" s="59">
        <f t="shared" ca="1" si="0"/>
        <v>43396</v>
      </c>
      <c r="E23" s="158"/>
      <c r="F23" s="123"/>
      <c r="G23" s="123"/>
      <c r="H23" s="123"/>
      <c r="I23" s="165"/>
      <c r="J23" s="51"/>
    </row>
    <row r="24" spans="2:13" x14ac:dyDescent="0.25">
      <c r="B24" s="29">
        <v>10</v>
      </c>
      <c r="C24" s="122" t="str">
        <f>IF(Setup!D23=0,NA(),Setup!D23)</f>
        <v>FIGI_BBG000C45QW9</v>
      </c>
      <c r="D24" s="59">
        <f t="shared" ca="1" si="0"/>
        <v>43396</v>
      </c>
      <c r="E24" s="158"/>
      <c r="F24" s="123"/>
      <c r="G24" s="123"/>
      <c r="H24" s="123"/>
      <c r="I24" s="165"/>
      <c r="J24" s="51"/>
    </row>
    <row r="25" spans="2:13" x14ac:dyDescent="0.25">
      <c r="B25" s="29">
        <v>11</v>
      </c>
      <c r="C25" s="122" t="str">
        <f>IF(Setup!D24=0,NA(),Setup!D24)</f>
        <v>FIGI_BBG00GZY0K24</v>
      </c>
      <c r="D25" s="59">
        <f t="shared" ca="1" si="0"/>
        <v>43396</v>
      </c>
      <c r="E25" s="158"/>
      <c r="F25" s="123"/>
      <c r="G25" s="123"/>
      <c r="H25" s="123"/>
      <c r="I25" s="165"/>
      <c r="J25" s="51"/>
    </row>
    <row r="26" spans="2:13" x14ac:dyDescent="0.25">
      <c r="B26" s="29">
        <v>12</v>
      </c>
      <c r="C26" s="122" t="str">
        <f>IF(Setup!D25=0,NA(),Setup!D25)</f>
        <v>FIGI_BBG00GZXXVG1</v>
      </c>
      <c r="D26" s="59">
        <f t="shared" ca="1" si="0"/>
        <v>43396</v>
      </c>
      <c r="E26" s="158"/>
      <c r="F26" s="123"/>
      <c r="G26" s="123"/>
      <c r="H26" s="123"/>
      <c r="I26" s="165"/>
      <c r="J26" s="51"/>
    </row>
    <row r="27" spans="2:13" x14ac:dyDescent="0.25">
      <c r="B27" s="29">
        <v>13</v>
      </c>
      <c r="C27" s="122" t="str">
        <f>IF(Setup!D26=0,NA(),Setup!D26)</f>
        <v>FIGI_BBG007V3VDW5</v>
      </c>
      <c r="D27" s="59">
        <f t="shared" ca="1" si="0"/>
        <v>43396</v>
      </c>
      <c r="E27" s="158"/>
      <c r="F27" s="123"/>
      <c r="G27" s="123"/>
      <c r="H27" s="123"/>
      <c r="I27" s="165"/>
      <c r="J27" s="51"/>
      <c r="L27" s="264" t="s">
        <v>54</v>
      </c>
      <c r="M27" s="264"/>
    </row>
    <row r="28" spans="2:13" x14ac:dyDescent="0.25">
      <c r="B28" s="29">
        <v>14</v>
      </c>
      <c r="C28" s="122" t="str">
        <f>IF(Setup!D27=0,NA(),Setup!D27)</f>
        <v>FIGI_BBG000GM7Q26</v>
      </c>
      <c r="D28" s="59">
        <f ca="1">IF(C28="","",TODAY())</f>
        <v>43396</v>
      </c>
      <c r="E28" s="158"/>
      <c r="F28" s="123"/>
      <c r="G28" s="123"/>
      <c r="H28" s="123"/>
      <c r="I28" s="165"/>
      <c r="J28" s="51"/>
      <c r="L28" s="264"/>
      <c r="M28" s="264"/>
    </row>
    <row r="29" spans="2:13" x14ac:dyDescent="0.25">
      <c r="B29" s="29">
        <v>15</v>
      </c>
      <c r="C29" s="122" t="str">
        <f>IF(Setup!D28=0,NA(),Setup!D28)</f>
        <v>FIGI_BBG000V7VSG6</v>
      </c>
      <c r="D29" s="59">
        <f t="shared" ca="1" si="0"/>
        <v>43396</v>
      </c>
      <c r="E29" s="158"/>
      <c r="F29" s="123"/>
      <c r="G29" s="123"/>
      <c r="H29" s="123"/>
      <c r="I29" s="165"/>
      <c r="J29" s="51"/>
      <c r="L29" s="264"/>
      <c r="M29" s="264"/>
    </row>
    <row r="30" spans="2:13" x14ac:dyDescent="0.25">
      <c r="B30" s="29">
        <v>16</v>
      </c>
      <c r="C30" s="122" t="str">
        <f>IF(Setup!D29=0,NA(),Setup!D29)</f>
        <v>FIGI_BBG000F8XRF3</v>
      </c>
      <c r="D30" s="59">
        <f t="shared" ca="1" si="0"/>
        <v>43396</v>
      </c>
      <c r="E30" s="158"/>
      <c r="F30" s="123"/>
      <c r="G30" s="123"/>
      <c r="H30" s="123"/>
      <c r="I30" s="165"/>
      <c r="J30" s="51"/>
      <c r="L30" s="264"/>
      <c r="M30" s="264"/>
    </row>
    <row r="31" spans="2:13" x14ac:dyDescent="0.25">
      <c r="B31" s="29">
        <v>17</v>
      </c>
      <c r="C31" s="122" t="str">
        <f>IF(Setup!D30=0,NA(),Setup!D30)</f>
        <v>FIGI_BBG000RH4VW4</v>
      </c>
      <c r="D31" s="59">
        <f t="shared" ca="1" si="0"/>
        <v>43396</v>
      </c>
      <c r="E31" s="158"/>
      <c r="F31" s="123"/>
      <c r="G31" s="123"/>
      <c r="H31" s="123"/>
      <c r="I31" s="165"/>
      <c r="J31" s="51"/>
      <c r="L31" s="264"/>
      <c r="M31" s="264"/>
    </row>
    <row r="32" spans="2:13" x14ac:dyDescent="0.25">
      <c r="B32" s="29">
        <v>18</v>
      </c>
      <c r="C32" s="122" t="str">
        <f>IF(Setup!D31=0,NA(),Setup!D31)</f>
        <v>FIGI_BBG000R173D9</v>
      </c>
      <c r="D32" s="59">
        <f t="shared" ca="1" si="0"/>
        <v>43396</v>
      </c>
      <c r="E32" s="158"/>
      <c r="F32" s="123"/>
      <c r="G32" s="123"/>
      <c r="H32" s="123"/>
      <c r="I32" s="165"/>
      <c r="J32" s="51"/>
    </row>
    <row r="33" spans="2:15" x14ac:dyDescent="0.25">
      <c r="B33" s="29">
        <v>19</v>
      </c>
      <c r="C33" s="122" t="str">
        <f>IF(Setup!D32=0,NA(),Setup!D32)</f>
        <v>FIGI_BBG001HQYT28</v>
      </c>
      <c r="D33" s="59">
        <f t="shared" ca="1" si="0"/>
        <v>43396</v>
      </c>
      <c r="E33" s="158"/>
      <c r="F33" s="123"/>
      <c r="G33" s="123"/>
      <c r="H33" s="123"/>
      <c r="I33" s="165"/>
      <c r="J33" s="51"/>
    </row>
    <row r="34" spans="2:15" x14ac:dyDescent="0.25">
      <c r="B34" s="29">
        <v>20</v>
      </c>
      <c r="C34" s="122" t="str">
        <f>IF(Setup!D33=0,NA(),Setup!D33)</f>
        <v>FIGI_BBG0037S1FD5</v>
      </c>
      <c r="D34" s="59">
        <f t="shared" ca="1" si="0"/>
        <v>43396</v>
      </c>
      <c r="E34" s="158"/>
      <c r="F34" s="123"/>
      <c r="G34" s="123"/>
      <c r="H34" s="123"/>
      <c r="I34" s="165"/>
      <c r="J34" s="51"/>
    </row>
    <row r="35" spans="2:15" x14ac:dyDescent="0.25">
      <c r="B35" s="29">
        <v>21</v>
      </c>
      <c r="C35" s="122" t="str">
        <f>IF(Setup!D34=0,NA(),Setup!D34)</f>
        <v>FIGI_BBG001B81KF5</v>
      </c>
      <c r="D35" s="59">
        <f t="shared" ca="1" si="0"/>
        <v>43396</v>
      </c>
      <c r="E35" s="158"/>
      <c r="F35" s="123"/>
      <c r="G35" s="123"/>
      <c r="H35" s="123"/>
      <c r="I35" s="165"/>
      <c r="J35" s="51"/>
    </row>
    <row r="36" spans="2:15" x14ac:dyDescent="0.25">
      <c r="B36" s="29">
        <v>22</v>
      </c>
      <c r="C36" s="122" t="str">
        <f>IF(Setup!D35=0,NA(),Setup!D35)</f>
        <v>FIGI_BBG0034YPJG8</v>
      </c>
      <c r="D36" s="59">
        <f t="shared" ca="1" si="0"/>
        <v>43396</v>
      </c>
      <c r="E36" s="158"/>
      <c r="F36" s="123"/>
      <c r="G36" s="123"/>
      <c r="H36" s="123"/>
      <c r="I36" s="165"/>
      <c r="J36" s="51"/>
    </row>
    <row r="37" spans="2:15" x14ac:dyDescent="0.25">
      <c r="B37" s="29">
        <v>23</v>
      </c>
      <c r="C37" s="122" t="str">
        <f>IF(Setup!D36=0,NA(),Setup!D36)</f>
        <v>FIGI_BBG0034YQ808</v>
      </c>
      <c r="D37" s="59">
        <f t="shared" ca="1" si="0"/>
        <v>43396</v>
      </c>
      <c r="E37" s="158"/>
      <c r="F37" s="123"/>
      <c r="G37" s="123"/>
      <c r="H37" s="123"/>
      <c r="I37" s="165"/>
      <c r="J37" s="51"/>
    </row>
    <row r="38" spans="2:15" x14ac:dyDescent="0.25">
      <c r="B38" s="29">
        <v>24</v>
      </c>
      <c r="C38" s="122" t="str">
        <f>IF(Setup!D37=0,NA(),Setup!D37)</f>
        <v>FIGI_BBG004733FZ2</v>
      </c>
      <c r="D38" s="59">
        <f t="shared" ca="1" si="0"/>
        <v>43396</v>
      </c>
      <c r="E38" s="158"/>
      <c r="F38" s="123"/>
      <c r="G38" s="123"/>
      <c r="H38" s="123"/>
      <c r="I38" s="165"/>
      <c r="J38" s="51"/>
    </row>
    <row r="39" spans="2:15" x14ac:dyDescent="0.25">
      <c r="B39" s="29">
        <v>25</v>
      </c>
      <c r="C39" s="122" t="str">
        <f>IF(Setup!D38=0,NA(),Setup!D38)</f>
        <v>FIGI_BBG004XQG9D6</v>
      </c>
      <c r="D39" s="59">
        <f t="shared" ca="1" si="0"/>
        <v>43396</v>
      </c>
      <c r="E39" s="158"/>
      <c r="F39" s="123"/>
      <c r="G39" s="123"/>
      <c r="H39" s="123"/>
      <c r="I39" s="165"/>
      <c r="J39" s="51"/>
    </row>
    <row r="40" spans="2:15" ht="15" customHeight="1" x14ac:dyDescent="0.25">
      <c r="B40" s="29">
        <v>26</v>
      </c>
      <c r="C40" s="122" t="str">
        <f>IF(Setup!D39=0,NA(),Setup!D39)</f>
        <v>FIGI_BBG003BJ6K44</v>
      </c>
      <c r="D40" s="59">
        <f ca="1">IF(C40="","",TODAY())</f>
        <v>43396</v>
      </c>
      <c r="E40" s="158"/>
      <c r="F40" s="123"/>
      <c r="G40" s="123"/>
      <c r="H40" s="123"/>
      <c r="I40" s="165"/>
      <c r="J40" s="51"/>
    </row>
    <row r="41" spans="2:15" x14ac:dyDescent="0.25">
      <c r="B41" s="29">
        <v>27</v>
      </c>
      <c r="C41" s="122" t="e">
        <f>IF(Setup!D40=0,NA(),Setup!D40)</f>
        <v>#N/A</v>
      </c>
      <c r="D41" s="59" t="e">
        <f ca="1">IF(C41="","",TODAY())</f>
        <v>#N/A</v>
      </c>
      <c r="E41" s="158"/>
      <c r="F41" s="123"/>
      <c r="G41" s="123"/>
      <c r="H41" s="123"/>
      <c r="I41" s="165"/>
      <c r="J41" s="51"/>
    </row>
    <row r="42" spans="2:15" x14ac:dyDescent="0.25">
      <c r="B42" s="29">
        <v>28</v>
      </c>
      <c r="C42" s="122" t="e">
        <f>IF(Setup!D41=0,NA(),Setup!D41)</f>
        <v>#N/A</v>
      </c>
      <c r="D42" s="59" t="e">
        <f ca="1">IF(C42="","",TODAY())</f>
        <v>#N/A</v>
      </c>
      <c r="E42" s="158"/>
      <c r="F42" s="123"/>
      <c r="G42" s="123"/>
      <c r="H42" s="56"/>
      <c r="I42" s="57"/>
      <c r="J42" s="51"/>
    </row>
    <row r="43" spans="2:15" x14ac:dyDescent="0.25">
      <c r="B43" s="29">
        <v>29</v>
      </c>
      <c r="C43" s="122" t="e">
        <f>IF(Setup!D42=0,NA(),Setup!D42)</f>
        <v>#N/A</v>
      </c>
      <c r="D43" s="59" t="e">
        <f ca="1">IF(C43="","",TODAY())</f>
        <v>#N/A</v>
      </c>
      <c r="E43" s="158"/>
      <c r="F43" s="123"/>
      <c r="G43" s="123"/>
      <c r="H43" s="56"/>
      <c r="I43" s="57"/>
      <c r="J43" s="51"/>
    </row>
    <row r="44" spans="2:15" x14ac:dyDescent="0.25">
      <c r="B44" s="29">
        <v>30</v>
      </c>
      <c r="C44" s="159" t="e">
        <f>IF(Setup!D43=0,NA(),Setup!D43)</f>
        <v>#N/A</v>
      </c>
      <c r="D44" s="166" t="e">
        <f t="shared" ca="1" si="0"/>
        <v>#N/A</v>
      </c>
      <c r="E44" s="167"/>
      <c r="F44" s="168"/>
      <c r="G44" s="168"/>
      <c r="H44" s="169"/>
      <c r="I44" s="58"/>
      <c r="J44" s="55"/>
    </row>
    <row r="45" spans="2:15" x14ac:dyDescent="0.25">
      <c r="B45" s="7"/>
      <c r="C45" s="25"/>
      <c r="D45" s="26"/>
      <c r="E45" s="27"/>
      <c r="F45" s="27"/>
      <c r="G45" s="27"/>
      <c r="H45" s="27"/>
      <c r="I45" s="27"/>
      <c r="J45" s="28"/>
    </row>
    <row r="46" spans="2:15" ht="15" customHeight="1" x14ac:dyDescent="0.25">
      <c r="B46" s="7"/>
      <c r="C46" s="243" t="s">
        <v>69</v>
      </c>
      <c r="D46" s="244"/>
      <c r="E46" s="244"/>
      <c r="F46" s="244"/>
      <c r="G46" s="244"/>
      <c r="H46" s="244"/>
      <c r="I46" s="245"/>
      <c r="J46" s="8"/>
      <c r="K46" s="8"/>
      <c r="L46" s="8"/>
      <c r="M46" s="8"/>
      <c r="N46" s="8"/>
      <c r="O46" s="8"/>
    </row>
    <row r="47" spans="2:15" x14ac:dyDescent="0.25">
      <c r="B47" s="7"/>
      <c r="C47" s="252"/>
      <c r="D47" s="253"/>
      <c r="E47" s="253"/>
      <c r="F47" s="253"/>
      <c r="G47" s="253"/>
      <c r="H47" s="253"/>
      <c r="I47" s="254"/>
      <c r="J47" s="8"/>
      <c r="K47" s="8"/>
      <c r="L47" s="8"/>
      <c r="M47" s="8"/>
      <c r="N47" s="8"/>
      <c r="O47" s="8"/>
    </row>
    <row r="48" spans="2:15" x14ac:dyDescent="0.25">
      <c r="B48" s="7"/>
      <c r="C48" s="252"/>
      <c r="D48" s="253"/>
      <c r="E48" s="253"/>
      <c r="F48" s="253"/>
      <c r="G48" s="253"/>
      <c r="H48" s="253"/>
      <c r="I48" s="254"/>
      <c r="J48" s="8"/>
      <c r="K48" s="8"/>
      <c r="L48" s="8"/>
      <c r="M48" s="8"/>
      <c r="N48" s="8"/>
      <c r="O48" s="8"/>
    </row>
    <row r="49" spans="2:15" x14ac:dyDescent="0.25">
      <c r="B49" s="7"/>
      <c r="C49" s="252"/>
      <c r="D49" s="253"/>
      <c r="E49" s="253"/>
      <c r="F49" s="253"/>
      <c r="G49" s="253"/>
      <c r="H49" s="253"/>
      <c r="I49" s="254"/>
      <c r="J49" s="8"/>
      <c r="K49" s="8"/>
      <c r="L49" s="8"/>
      <c r="M49" s="8"/>
      <c r="N49" s="8"/>
      <c r="O49" s="8"/>
    </row>
    <row r="50" spans="2:15" x14ac:dyDescent="0.25">
      <c r="C50" s="246"/>
      <c r="D50" s="268"/>
      <c r="E50" s="268"/>
      <c r="F50" s="268"/>
      <c r="G50" s="268"/>
      <c r="H50" s="268"/>
      <c r="I50" s="248"/>
      <c r="J50" s="8"/>
      <c r="K50" s="8"/>
      <c r="L50" s="8"/>
      <c r="M50" s="8"/>
      <c r="N50" s="8"/>
      <c r="O50" s="8"/>
    </row>
    <row r="51" spans="2:15" x14ac:dyDescent="0.25">
      <c r="D51" s="25"/>
      <c r="E51" s="26"/>
      <c r="F51" s="27"/>
      <c r="G51" s="27"/>
      <c r="H51" s="27"/>
      <c r="I51" s="27"/>
      <c r="J51" s="27"/>
      <c r="K51" s="28"/>
    </row>
    <row r="52" spans="2:15" x14ac:dyDescent="0.25">
      <c r="D52" s="25"/>
      <c r="E52" s="26"/>
      <c r="F52" s="27"/>
      <c r="G52" s="27"/>
      <c r="H52" s="27"/>
      <c r="I52" s="27"/>
      <c r="J52" s="27"/>
      <c r="K52" s="28"/>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zoomScale="80" zoomScaleNormal="80" workbookViewId="0">
      <selection activeCell="E12" sqref="E12"/>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9.140625" style="109"/>
    <col min="11" max="11" width="28.7109375" customWidth="1"/>
  </cols>
  <sheetData>
    <row r="6" spans="2:11" ht="15" customHeight="1" x14ac:dyDescent="0.25"/>
    <row r="7" spans="2:11" x14ac:dyDescent="0.25">
      <c r="C7" s="273" t="s">
        <v>67</v>
      </c>
      <c r="D7" s="274"/>
      <c r="E7" s="274"/>
      <c r="F7" s="275"/>
    </row>
    <row r="8" spans="2:11" x14ac:dyDescent="0.25">
      <c r="C8" s="276"/>
      <c r="D8" s="277"/>
      <c r="E8" s="277"/>
      <c r="F8" s="278"/>
    </row>
    <row r="9" spans="2:11" ht="15.75" x14ac:dyDescent="0.25">
      <c r="C9" s="66"/>
      <c r="D9" s="66"/>
      <c r="E9" s="66"/>
      <c r="F9" s="66"/>
    </row>
    <row r="10" spans="2:11" ht="15.75" x14ac:dyDescent="0.25">
      <c r="C10" s="285" t="s">
        <v>81</v>
      </c>
      <c r="D10" s="285"/>
      <c r="E10" s="66"/>
      <c r="F10" s="66"/>
    </row>
    <row r="12" spans="2:11" x14ac:dyDescent="0.25">
      <c r="C12" s="144" t="s">
        <v>102</v>
      </c>
      <c r="D12" s="113" t="s">
        <v>103</v>
      </c>
      <c r="E12" s="153"/>
      <c r="F12" s="153"/>
      <c r="G12" s="153"/>
      <c r="H12" s="151"/>
      <c r="I12" s="137"/>
      <c r="K12" s="32"/>
    </row>
    <row r="13" spans="2:11" x14ac:dyDescent="0.25">
      <c r="B13" s="125">
        <v>1</v>
      </c>
      <c r="C13" s="130" t="s">
        <v>190</v>
      </c>
      <c r="D13" s="131" t="s">
        <v>104</v>
      </c>
      <c r="E13" s="157"/>
      <c r="F13" s="131"/>
      <c r="G13" s="131"/>
      <c r="H13" s="131"/>
      <c r="I13" s="132"/>
      <c r="K13" s="33"/>
    </row>
    <row r="14" spans="2:11" x14ac:dyDescent="0.25">
      <c r="B14" s="126">
        <v>2</v>
      </c>
      <c r="C14" s="130" t="s">
        <v>191</v>
      </c>
      <c r="D14" s="131" t="s">
        <v>105</v>
      </c>
      <c r="E14" s="154"/>
      <c r="F14" s="131"/>
      <c r="G14" s="131"/>
      <c r="H14" s="131"/>
      <c r="I14" s="132"/>
      <c r="K14" s="33"/>
    </row>
    <row r="15" spans="2:11" x14ac:dyDescent="0.25">
      <c r="B15" s="126">
        <v>3</v>
      </c>
      <c r="C15" s="130" t="s">
        <v>192</v>
      </c>
      <c r="D15" s="131" t="s">
        <v>106</v>
      </c>
      <c r="E15" s="154"/>
      <c r="F15" s="131"/>
      <c r="G15" s="131"/>
      <c r="H15" s="131"/>
      <c r="I15" s="132"/>
      <c r="K15" s="33"/>
    </row>
    <row r="16" spans="2:11" x14ac:dyDescent="0.25">
      <c r="B16" s="126">
        <v>4</v>
      </c>
      <c r="C16" s="130" t="s">
        <v>193</v>
      </c>
      <c r="D16" s="131" t="s">
        <v>107</v>
      </c>
      <c r="E16" s="154"/>
      <c r="F16" s="131"/>
      <c r="G16" s="131"/>
      <c r="H16" s="131"/>
      <c r="I16" s="132"/>
      <c r="K16" s="33"/>
    </row>
    <row r="17" spans="2:11" x14ac:dyDescent="0.25">
      <c r="B17" s="126">
        <v>5</v>
      </c>
      <c r="C17" s="130" t="s">
        <v>194</v>
      </c>
      <c r="D17" s="131" t="s">
        <v>108</v>
      </c>
      <c r="E17" s="154"/>
      <c r="F17" s="131"/>
      <c r="G17" s="131"/>
      <c r="H17" s="131"/>
      <c r="I17" s="132"/>
      <c r="K17" s="33"/>
    </row>
    <row r="18" spans="2:11" x14ac:dyDescent="0.25">
      <c r="B18" s="126">
        <v>6</v>
      </c>
      <c r="C18" s="130" t="s">
        <v>195</v>
      </c>
      <c r="D18" s="131" t="s">
        <v>109</v>
      </c>
      <c r="E18" s="154"/>
      <c r="F18" s="131"/>
      <c r="G18" s="131"/>
      <c r="H18" s="131"/>
      <c r="I18" s="132"/>
      <c r="K18" s="33"/>
    </row>
    <row r="19" spans="2:11" x14ac:dyDescent="0.25">
      <c r="B19" s="126">
        <v>7</v>
      </c>
      <c r="C19" s="130" t="s">
        <v>196</v>
      </c>
      <c r="D19" s="131" t="s">
        <v>110</v>
      </c>
      <c r="E19" s="154"/>
      <c r="F19" s="131"/>
      <c r="G19" s="131"/>
      <c r="H19" s="131"/>
      <c r="I19" s="132"/>
      <c r="K19" s="33"/>
    </row>
    <row r="20" spans="2:11" x14ac:dyDescent="0.25">
      <c r="B20" s="126">
        <v>8</v>
      </c>
      <c r="C20" s="130" t="s">
        <v>197</v>
      </c>
      <c r="D20" s="131" t="s">
        <v>111</v>
      </c>
      <c r="E20" s="154"/>
      <c r="F20" s="131"/>
      <c r="G20" s="131"/>
      <c r="H20" s="131"/>
      <c r="I20" s="132"/>
      <c r="K20" s="33"/>
    </row>
    <row r="21" spans="2:11" x14ac:dyDescent="0.25">
      <c r="B21" s="126">
        <v>9</v>
      </c>
      <c r="C21" s="130" t="s">
        <v>198</v>
      </c>
      <c r="D21" s="131" t="s">
        <v>112</v>
      </c>
      <c r="E21" s="154"/>
      <c r="F21" s="131"/>
      <c r="G21" s="131"/>
      <c r="H21" s="131"/>
      <c r="I21" s="132"/>
      <c r="K21" s="33"/>
    </row>
    <row r="22" spans="2:11" x14ac:dyDescent="0.25">
      <c r="B22" s="126">
        <v>10</v>
      </c>
      <c r="C22" s="130" t="s">
        <v>199</v>
      </c>
      <c r="D22" s="131" t="s">
        <v>113</v>
      </c>
      <c r="E22" s="154"/>
      <c r="F22" s="131"/>
      <c r="G22" s="131"/>
      <c r="H22" s="131"/>
      <c r="I22" s="132"/>
      <c r="K22" s="33"/>
    </row>
    <row r="23" spans="2:11" x14ac:dyDescent="0.25">
      <c r="B23" s="126">
        <v>11</v>
      </c>
      <c r="C23" s="130" t="s">
        <v>200</v>
      </c>
      <c r="D23" s="131" t="s">
        <v>114</v>
      </c>
      <c r="E23" s="154"/>
      <c r="F23" s="131"/>
      <c r="G23" s="131"/>
      <c r="H23" s="131"/>
      <c r="I23" s="132"/>
      <c r="K23" s="33"/>
    </row>
    <row r="24" spans="2:11" x14ac:dyDescent="0.25">
      <c r="B24" s="126">
        <v>12</v>
      </c>
      <c r="C24" s="130" t="s">
        <v>201</v>
      </c>
      <c r="D24" s="131" t="s">
        <v>115</v>
      </c>
      <c r="E24" s="154"/>
      <c r="F24" s="131"/>
      <c r="G24" s="131"/>
      <c r="H24" s="131"/>
      <c r="I24" s="132"/>
      <c r="K24" s="33"/>
    </row>
    <row r="25" spans="2:11" ht="15" customHeight="1" x14ac:dyDescent="0.25">
      <c r="B25" s="126">
        <v>13</v>
      </c>
      <c r="C25" s="130" t="s">
        <v>202</v>
      </c>
      <c r="D25" s="131" t="s">
        <v>116</v>
      </c>
      <c r="E25" s="154"/>
      <c r="F25" s="131"/>
      <c r="G25" s="131"/>
      <c r="H25" s="131"/>
      <c r="I25" s="132"/>
      <c r="K25" s="282" t="s">
        <v>63</v>
      </c>
    </row>
    <row r="26" spans="2:11" x14ac:dyDescent="0.25">
      <c r="B26" s="126">
        <v>14</v>
      </c>
      <c r="C26" s="130" t="s">
        <v>203</v>
      </c>
      <c r="D26" s="131" t="s">
        <v>117</v>
      </c>
      <c r="E26" s="154"/>
      <c r="F26" s="131"/>
      <c r="G26" s="131"/>
      <c r="H26" s="131"/>
      <c r="I26" s="132"/>
      <c r="K26" s="283"/>
    </row>
    <row r="27" spans="2:11" x14ac:dyDescent="0.25">
      <c r="B27" s="126">
        <v>15</v>
      </c>
      <c r="C27" s="130" t="s">
        <v>204</v>
      </c>
      <c r="D27" s="131" t="s">
        <v>118</v>
      </c>
      <c r="E27" s="154"/>
      <c r="F27" s="131"/>
      <c r="G27" s="131"/>
      <c r="H27" s="131"/>
      <c r="I27" s="132"/>
      <c r="K27" s="283"/>
    </row>
    <row r="28" spans="2:11" x14ac:dyDescent="0.25">
      <c r="B28" s="126">
        <v>16</v>
      </c>
      <c r="C28" s="130" t="s">
        <v>205</v>
      </c>
      <c r="D28" s="131" t="s">
        <v>119</v>
      </c>
      <c r="E28" s="154"/>
      <c r="F28" s="131"/>
      <c r="G28" s="131"/>
      <c r="H28" s="131"/>
      <c r="I28" s="132"/>
      <c r="K28" s="284"/>
    </row>
    <row r="29" spans="2:11" x14ac:dyDescent="0.25">
      <c r="B29" s="126">
        <v>17</v>
      </c>
      <c r="C29" s="130" t="s">
        <v>206</v>
      </c>
      <c r="D29" s="131" t="s">
        <v>120</v>
      </c>
      <c r="E29" s="154"/>
      <c r="F29" s="131"/>
      <c r="G29" s="131"/>
      <c r="H29" s="131"/>
      <c r="I29" s="132"/>
      <c r="K29" s="33"/>
    </row>
    <row r="30" spans="2:11" x14ac:dyDescent="0.25">
      <c r="B30" s="126">
        <v>18</v>
      </c>
      <c r="C30" s="130" t="s">
        <v>207</v>
      </c>
      <c r="D30" s="131" t="s">
        <v>121</v>
      </c>
      <c r="E30" s="154"/>
      <c r="F30" s="131"/>
      <c r="G30" s="131"/>
      <c r="H30" s="131"/>
      <c r="I30" s="132"/>
      <c r="K30" s="33"/>
    </row>
    <row r="31" spans="2:11" x14ac:dyDescent="0.25">
      <c r="B31" s="126">
        <v>19</v>
      </c>
      <c r="C31" s="130" t="s">
        <v>208</v>
      </c>
      <c r="D31" s="131" t="s">
        <v>122</v>
      </c>
      <c r="E31" s="154"/>
      <c r="F31" s="131"/>
      <c r="G31" s="131"/>
      <c r="H31" s="131"/>
      <c r="I31" s="132"/>
      <c r="K31" s="33"/>
    </row>
    <row r="32" spans="2:11" x14ac:dyDescent="0.25">
      <c r="B32" s="126">
        <v>20</v>
      </c>
      <c r="C32" s="130" t="s">
        <v>209</v>
      </c>
      <c r="D32" s="131" t="s">
        <v>123</v>
      </c>
      <c r="E32" s="154"/>
      <c r="F32" s="131"/>
      <c r="G32" s="131"/>
      <c r="H32" s="131"/>
      <c r="I32" s="132"/>
      <c r="K32" s="33"/>
    </row>
    <row r="33" spans="2:16" x14ac:dyDescent="0.25">
      <c r="B33" s="126">
        <v>21</v>
      </c>
      <c r="C33" s="130" t="s">
        <v>210</v>
      </c>
      <c r="D33" s="131" t="s">
        <v>124</v>
      </c>
      <c r="E33" s="154"/>
      <c r="F33" s="131"/>
      <c r="G33" s="131"/>
      <c r="H33" s="131"/>
      <c r="I33" s="132"/>
      <c r="K33" s="33"/>
    </row>
    <row r="34" spans="2:16" x14ac:dyDescent="0.25">
      <c r="B34" s="126">
        <v>22</v>
      </c>
      <c r="C34" s="141" t="s">
        <v>211</v>
      </c>
      <c r="D34" s="131" t="s">
        <v>125</v>
      </c>
      <c r="E34" s="154"/>
      <c r="F34" s="131"/>
      <c r="G34" s="131"/>
      <c r="H34" s="131"/>
      <c r="I34" s="132"/>
      <c r="K34" s="33"/>
    </row>
    <row r="35" spans="2:16" x14ac:dyDescent="0.25">
      <c r="B35" s="126">
        <v>23</v>
      </c>
      <c r="C35" s="130" t="s">
        <v>212</v>
      </c>
      <c r="D35" s="131" t="s">
        <v>126</v>
      </c>
      <c r="E35" s="154"/>
      <c r="F35" s="131"/>
      <c r="G35" s="131"/>
      <c r="H35" s="131"/>
      <c r="I35" s="132"/>
      <c r="K35" s="33"/>
    </row>
    <row r="36" spans="2:16" x14ac:dyDescent="0.25">
      <c r="B36" s="126">
        <v>24</v>
      </c>
      <c r="C36" s="130" t="s">
        <v>213</v>
      </c>
      <c r="D36" s="131" t="s">
        <v>127</v>
      </c>
      <c r="E36" s="154"/>
      <c r="F36" s="131"/>
      <c r="G36" s="131"/>
      <c r="H36" s="131"/>
      <c r="I36" s="132"/>
      <c r="K36" s="33"/>
    </row>
    <row r="37" spans="2:16" x14ac:dyDescent="0.25">
      <c r="B37" s="126">
        <v>25</v>
      </c>
      <c r="C37" s="130" t="s">
        <v>214</v>
      </c>
      <c r="D37" s="131" t="s">
        <v>128</v>
      </c>
      <c r="E37" s="154"/>
      <c r="F37" s="131"/>
      <c r="G37" s="131"/>
      <c r="H37" s="131"/>
      <c r="I37" s="132"/>
      <c r="K37" s="33"/>
    </row>
    <row r="38" spans="2:16" x14ac:dyDescent="0.25">
      <c r="B38" s="126">
        <v>26</v>
      </c>
      <c r="C38" s="141" t="s">
        <v>215</v>
      </c>
      <c r="D38" s="142" t="s">
        <v>129</v>
      </c>
      <c r="E38" s="154"/>
      <c r="F38" s="131"/>
      <c r="G38" s="131"/>
      <c r="H38" s="131"/>
      <c r="I38" s="132"/>
      <c r="K38" s="33"/>
    </row>
    <row r="39" spans="2:16" x14ac:dyDescent="0.25">
      <c r="B39" s="126">
        <v>27</v>
      </c>
      <c r="C39" s="130"/>
      <c r="D39" s="131"/>
      <c r="E39" s="155"/>
      <c r="F39" s="127"/>
      <c r="G39" s="127"/>
      <c r="H39" s="127"/>
      <c r="I39" s="133"/>
      <c r="K39" s="34"/>
    </row>
    <row r="40" spans="2:16" x14ac:dyDescent="0.25">
      <c r="B40" s="126">
        <v>28</v>
      </c>
      <c r="C40" s="130"/>
      <c r="D40" s="131"/>
      <c r="E40" s="155"/>
      <c r="F40" s="127"/>
      <c r="G40" s="127"/>
      <c r="H40" s="127"/>
      <c r="I40" s="133"/>
      <c r="K40" s="34"/>
    </row>
    <row r="41" spans="2:16" x14ac:dyDescent="0.25">
      <c r="B41" s="126">
        <v>29</v>
      </c>
      <c r="C41" s="130"/>
      <c r="D41" s="131"/>
      <c r="E41" s="155"/>
      <c r="F41" s="127"/>
      <c r="G41" s="127"/>
      <c r="H41" s="127"/>
      <c r="I41" s="133"/>
      <c r="K41" s="34"/>
    </row>
    <row r="42" spans="2:16" x14ac:dyDescent="0.25">
      <c r="B42" s="124">
        <v>30</v>
      </c>
      <c r="C42" s="134"/>
      <c r="D42" s="135"/>
      <c r="E42" s="156"/>
      <c r="F42" s="129"/>
      <c r="G42" s="129"/>
      <c r="H42" s="129"/>
      <c r="I42" s="136"/>
      <c r="K42" s="34"/>
    </row>
    <row r="43" spans="2:16" x14ac:dyDescent="0.25">
      <c r="B43" s="30"/>
      <c r="C43" s="31"/>
      <c r="D43" s="31"/>
      <c r="K43" s="19"/>
    </row>
    <row r="44" spans="2:16" ht="15" customHeight="1" x14ac:dyDescent="0.25">
      <c r="C44" s="243" t="s">
        <v>140</v>
      </c>
      <c r="D44" s="244"/>
      <c r="E44" s="244"/>
      <c r="F44" s="244"/>
      <c r="G44" s="244"/>
      <c r="H44" s="244"/>
      <c r="I44" s="245"/>
      <c r="J44" s="8"/>
      <c r="K44" s="8"/>
      <c r="L44" s="8"/>
      <c r="M44" s="8"/>
      <c r="N44" s="8"/>
      <c r="O44" s="8"/>
      <c r="P44" s="8"/>
    </row>
    <row r="45" spans="2:16" x14ac:dyDescent="0.25">
      <c r="C45" s="252"/>
      <c r="D45" s="253"/>
      <c r="E45" s="253"/>
      <c r="F45" s="253"/>
      <c r="G45" s="253"/>
      <c r="H45" s="253"/>
      <c r="I45" s="254"/>
      <c r="J45" s="8"/>
      <c r="K45" s="8"/>
      <c r="L45" s="8"/>
      <c r="M45" s="8"/>
      <c r="N45" s="8"/>
      <c r="O45" s="8"/>
      <c r="P45" s="8"/>
    </row>
    <row r="46" spans="2:16" x14ac:dyDescent="0.25">
      <c r="C46" s="252"/>
      <c r="D46" s="253"/>
      <c r="E46" s="253"/>
      <c r="F46" s="253"/>
      <c r="G46" s="253"/>
      <c r="H46" s="253"/>
      <c r="I46" s="254"/>
      <c r="J46" s="8"/>
      <c r="K46" s="8"/>
      <c r="L46" s="8"/>
      <c r="M46" s="8"/>
      <c r="N46" s="8"/>
      <c r="O46" s="8"/>
      <c r="P46" s="8"/>
    </row>
    <row r="47" spans="2:16" x14ac:dyDescent="0.25">
      <c r="C47" s="252"/>
      <c r="D47" s="253"/>
      <c r="E47" s="253"/>
      <c r="F47" s="253"/>
      <c r="G47" s="253"/>
      <c r="H47" s="253"/>
      <c r="I47" s="254"/>
      <c r="J47" s="8"/>
      <c r="K47" s="8"/>
      <c r="L47" s="8"/>
      <c r="M47" s="8"/>
      <c r="N47" s="8"/>
      <c r="O47" s="8"/>
      <c r="P47" s="8"/>
    </row>
    <row r="48" spans="2:16" x14ac:dyDescent="0.25">
      <c r="C48" s="246"/>
      <c r="D48" s="268"/>
      <c r="E48" s="268"/>
      <c r="F48" s="268"/>
      <c r="G48" s="268"/>
      <c r="H48" s="268"/>
      <c r="I48" s="248"/>
      <c r="J48" s="8"/>
      <c r="K48" s="8"/>
      <c r="L48" s="8"/>
      <c r="M48" s="8"/>
      <c r="N48" s="8"/>
      <c r="O48" s="8"/>
      <c r="P48" s="8"/>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P54"/>
  <sheetViews>
    <sheetView topLeftCell="B1" zoomScale="60" zoomScaleNormal="60" workbookViewId="0">
      <selection activeCell="C13" sqref="C13"/>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30.7109375" customWidth="1"/>
    <col min="9" max="9" width="27.710937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7" customWidth="1"/>
    <col min="17" max="17" width="14.28515625" customWidth="1"/>
    <col min="18" max="18" width="13" customWidth="1"/>
  </cols>
  <sheetData>
    <row r="5" spans="2:16" x14ac:dyDescent="0.25">
      <c r="L5" s="286" t="s">
        <v>82</v>
      </c>
      <c r="M5" s="287"/>
      <c r="N5" s="288"/>
    </row>
    <row r="6" spans="2:16" x14ac:dyDescent="0.25">
      <c r="L6" s="289"/>
      <c r="M6" s="290"/>
      <c r="N6" s="291"/>
    </row>
    <row r="7" spans="2:16" ht="15" customHeight="1" x14ac:dyDescent="0.25">
      <c r="C7" s="258" t="s">
        <v>79</v>
      </c>
      <c r="D7" s="259"/>
      <c r="E7" s="259"/>
      <c r="F7" s="259"/>
      <c r="G7" s="259"/>
      <c r="H7" s="259"/>
      <c r="I7" s="271"/>
      <c r="L7" s="289"/>
      <c r="M7" s="290"/>
      <c r="N7" s="291"/>
    </row>
    <row r="8" spans="2:16" ht="15" customHeight="1" x14ac:dyDescent="0.25">
      <c r="C8" s="260"/>
      <c r="D8" s="262"/>
      <c r="E8" s="262"/>
      <c r="F8" s="262"/>
      <c r="G8" s="262"/>
      <c r="H8" s="262"/>
      <c r="I8" s="272"/>
      <c r="L8" s="289"/>
      <c r="M8" s="290"/>
      <c r="N8" s="291"/>
    </row>
    <row r="9" spans="2:16" ht="15.75" x14ac:dyDescent="0.25">
      <c r="C9" s="66"/>
      <c r="D9" s="66"/>
      <c r="E9" s="66"/>
      <c r="F9" s="66"/>
      <c r="G9" s="66"/>
      <c r="H9" s="66"/>
      <c r="I9" s="66"/>
      <c r="L9" s="292"/>
      <c r="M9" s="293"/>
      <c r="N9" s="294"/>
    </row>
    <row r="10" spans="2:16" x14ac:dyDescent="0.25">
      <c r="C10" s="295" t="s">
        <v>185</v>
      </c>
      <c r="D10" s="296"/>
      <c r="E10" s="296"/>
      <c r="F10" s="297"/>
      <c r="G10" s="301"/>
      <c r="H10" s="152"/>
      <c r="I10" s="152"/>
    </row>
    <row r="11" spans="2:16" x14ac:dyDescent="0.25">
      <c r="C11" s="298"/>
      <c r="D11" s="299"/>
      <c r="E11" s="299"/>
      <c r="F11" s="300"/>
      <c r="G11" s="301"/>
      <c r="H11" s="152"/>
      <c r="I11" s="152"/>
    </row>
    <row r="12" spans="2:16" x14ac:dyDescent="0.25">
      <c r="G12" s="4"/>
    </row>
    <row r="14" spans="2:16" ht="15.75" thickBot="1" x14ac:dyDescent="0.3">
      <c r="C14" s="238" t="s">
        <v>228</v>
      </c>
      <c r="D14" s="239" t="s">
        <v>229</v>
      </c>
      <c r="E14" s="240" t="s">
        <v>230</v>
      </c>
      <c r="F14" s="240" t="s">
        <v>71</v>
      </c>
      <c r="G14" s="239" t="s">
        <v>72</v>
      </c>
      <c r="H14" s="239" t="s">
        <v>231</v>
      </c>
      <c r="I14" s="239" t="s">
        <v>232</v>
      </c>
      <c r="J14" s="239" t="s">
        <v>73</v>
      </c>
      <c r="K14" s="239" t="s">
        <v>233</v>
      </c>
      <c r="L14" s="239" t="s">
        <v>74</v>
      </c>
      <c r="M14" s="239" t="s">
        <v>75</v>
      </c>
      <c r="N14" s="239" t="s">
        <v>76</v>
      </c>
      <c r="O14" s="239" t="s">
        <v>77</v>
      </c>
      <c r="P14" s="70" t="s">
        <v>4</v>
      </c>
    </row>
    <row r="15" spans="2:16" ht="22.5" customHeight="1" thickTop="1" x14ac:dyDescent="0.25">
      <c r="B15" s="68">
        <v>1</v>
      </c>
      <c r="C15" s="145" t="s">
        <v>237</v>
      </c>
      <c r="D15" s="127" t="str">
        <f>Setup!D14</f>
        <v>FIGI_BBG00JVF3738</v>
      </c>
      <c r="E15" s="128">
        <f ca="1">TODAY()</f>
        <v>43396</v>
      </c>
      <c r="F15" s="128">
        <f ca="1">TODAY()</f>
        <v>43396</v>
      </c>
      <c r="G15" s="140" t="s">
        <v>98</v>
      </c>
      <c r="H15" s="127">
        <v>2</v>
      </c>
      <c r="I15" s="140" t="s">
        <v>78</v>
      </c>
      <c r="J15" s="140" t="s">
        <v>234</v>
      </c>
      <c r="K15" s="127">
        <v>2</v>
      </c>
      <c r="L15" s="127">
        <v>2</v>
      </c>
      <c r="M15" s="127"/>
      <c r="N15" s="127"/>
      <c r="O15" s="127"/>
      <c r="P15" s="161"/>
    </row>
    <row r="16" spans="2:16" x14ac:dyDescent="0.25">
      <c r="B16" s="69">
        <v>2</v>
      </c>
      <c r="C16" s="145" t="s">
        <v>238</v>
      </c>
      <c r="D16" s="127" t="str">
        <f>Setup!D15</f>
        <v>FIGI_BBG00DKL90B0</v>
      </c>
      <c r="E16" s="128">
        <f t="shared" ref="E16:F21" ca="1" si="0">TODAY()</f>
        <v>43396</v>
      </c>
      <c r="F16" s="128">
        <f t="shared" ca="1" si="0"/>
        <v>43396</v>
      </c>
      <c r="G16" s="140" t="s">
        <v>98</v>
      </c>
      <c r="H16" s="127">
        <v>2</v>
      </c>
      <c r="I16" s="140" t="s">
        <v>78</v>
      </c>
      <c r="J16" s="140" t="s">
        <v>234</v>
      </c>
      <c r="K16" s="127">
        <v>2</v>
      </c>
      <c r="L16" s="127">
        <v>2</v>
      </c>
      <c r="M16" s="127"/>
      <c r="N16" s="127"/>
      <c r="O16" s="127"/>
      <c r="P16" s="98"/>
    </row>
    <row r="17" spans="2:16" x14ac:dyDescent="0.25">
      <c r="B17" s="69">
        <v>3</v>
      </c>
      <c r="C17" s="145" t="s">
        <v>239</v>
      </c>
      <c r="D17" s="127" t="str">
        <f>Setup!D16</f>
        <v>FIGI_BBG00DKL91M6</v>
      </c>
      <c r="E17" s="128">
        <f t="shared" ca="1" si="0"/>
        <v>43396</v>
      </c>
      <c r="F17" s="128">
        <f t="shared" ca="1" si="0"/>
        <v>43396</v>
      </c>
      <c r="G17" s="140" t="s">
        <v>98</v>
      </c>
      <c r="H17" s="127">
        <v>2</v>
      </c>
      <c r="I17" s="140" t="s">
        <v>78</v>
      </c>
      <c r="J17" s="140" t="s">
        <v>234</v>
      </c>
      <c r="K17" s="127">
        <v>2</v>
      </c>
      <c r="L17" s="127">
        <v>2</v>
      </c>
      <c r="M17" s="127"/>
      <c r="N17" s="127"/>
      <c r="O17" s="127"/>
      <c r="P17" s="98"/>
    </row>
    <row r="18" spans="2:16" x14ac:dyDescent="0.25">
      <c r="B18" s="69">
        <v>4</v>
      </c>
      <c r="C18" s="145" t="s">
        <v>240</v>
      </c>
      <c r="D18" s="127" t="str">
        <f>Setup!D17</f>
        <v>FIGI_BBG00FDG24R6</v>
      </c>
      <c r="E18" s="128">
        <f t="shared" ca="1" si="0"/>
        <v>43396</v>
      </c>
      <c r="F18" s="128">
        <f t="shared" ca="1" si="0"/>
        <v>43396</v>
      </c>
      <c r="G18" s="140" t="s">
        <v>98</v>
      </c>
      <c r="H18" s="127">
        <v>2</v>
      </c>
      <c r="I18" s="140" t="s">
        <v>78</v>
      </c>
      <c r="J18" s="140" t="s">
        <v>234</v>
      </c>
      <c r="K18" s="127">
        <v>2</v>
      </c>
      <c r="L18" s="127">
        <v>2</v>
      </c>
      <c r="M18" s="127"/>
      <c r="N18" s="127"/>
      <c r="O18" s="127"/>
      <c r="P18" s="98"/>
    </row>
    <row r="19" spans="2:16" x14ac:dyDescent="0.25">
      <c r="B19" s="69">
        <v>5</v>
      </c>
      <c r="C19" s="145" t="s">
        <v>241</v>
      </c>
      <c r="D19" s="127" t="str">
        <f>Setup!D18</f>
        <v>FIGI_BBG00DKL91L7</v>
      </c>
      <c r="E19" s="128">
        <f t="shared" ca="1" si="0"/>
        <v>43396</v>
      </c>
      <c r="F19" s="128">
        <f t="shared" ca="1" si="0"/>
        <v>43396</v>
      </c>
      <c r="G19" s="140" t="s">
        <v>98</v>
      </c>
      <c r="H19" s="127">
        <v>2</v>
      </c>
      <c r="I19" s="140" t="s">
        <v>78</v>
      </c>
      <c r="J19" s="140" t="s">
        <v>234</v>
      </c>
      <c r="K19" s="127">
        <v>2</v>
      </c>
      <c r="L19" s="127">
        <v>2</v>
      </c>
      <c r="M19" s="127"/>
      <c r="N19" s="127"/>
      <c r="O19" s="127"/>
      <c r="P19" s="98"/>
    </row>
    <row r="20" spans="2:16" x14ac:dyDescent="0.25">
      <c r="B20" s="69">
        <v>6</v>
      </c>
      <c r="C20" s="145" t="s">
        <v>242</v>
      </c>
      <c r="D20" s="127" t="str">
        <f>Setup!D19</f>
        <v>FIGI_BBG00FB2C3M5</v>
      </c>
      <c r="E20" s="128">
        <f t="shared" ca="1" si="0"/>
        <v>43396</v>
      </c>
      <c r="F20" s="128">
        <f t="shared" ca="1" si="0"/>
        <v>43396</v>
      </c>
      <c r="G20" s="140" t="s">
        <v>98</v>
      </c>
      <c r="H20" s="127">
        <v>2</v>
      </c>
      <c r="I20" s="140" t="s">
        <v>78</v>
      </c>
      <c r="J20" s="140" t="s">
        <v>234</v>
      </c>
      <c r="K20" s="127">
        <v>2</v>
      </c>
      <c r="L20" s="127">
        <v>2</v>
      </c>
      <c r="M20" s="127"/>
      <c r="N20" s="127"/>
      <c r="O20" s="127"/>
      <c r="P20" s="98"/>
    </row>
    <row r="21" spans="2:16" x14ac:dyDescent="0.25">
      <c r="B21" s="69">
        <v>7</v>
      </c>
      <c r="C21" s="145" t="s">
        <v>243</v>
      </c>
      <c r="D21" s="127" t="str">
        <f>Setup!D20</f>
        <v>FIGI_BBG00FJ5L0H2</v>
      </c>
      <c r="E21" s="128">
        <f t="shared" ca="1" si="0"/>
        <v>43396</v>
      </c>
      <c r="F21" s="128">
        <f t="shared" ca="1" si="0"/>
        <v>43396</v>
      </c>
      <c r="G21" s="140" t="s">
        <v>98</v>
      </c>
      <c r="H21" s="127">
        <v>2</v>
      </c>
      <c r="I21" s="140" t="s">
        <v>78</v>
      </c>
      <c r="J21" s="140" t="s">
        <v>234</v>
      </c>
      <c r="K21" s="127">
        <v>2</v>
      </c>
      <c r="L21" s="127">
        <v>2</v>
      </c>
      <c r="M21" s="127"/>
      <c r="N21" s="127"/>
      <c r="O21" s="127"/>
      <c r="P21" s="98"/>
    </row>
    <row r="22" spans="2:16" x14ac:dyDescent="0.25">
      <c r="B22" s="69">
        <v>8</v>
      </c>
      <c r="C22" s="145"/>
      <c r="D22" s="127"/>
      <c r="E22" s="128"/>
      <c r="F22" s="128"/>
      <c r="G22" s="140"/>
      <c r="H22" s="127"/>
      <c r="I22" s="127"/>
      <c r="J22" s="127"/>
      <c r="K22" s="127"/>
      <c r="L22" s="127"/>
      <c r="M22" s="127"/>
      <c r="N22" s="127"/>
      <c r="O22" s="127"/>
      <c r="P22" s="98"/>
    </row>
    <row r="23" spans="2:16" x14ac:dyDescent="0.25">
      <c r="B23" s="69">
        <v>9</v>
      </c>
      <c r="C23" s="145"/>
      <c r="D23" s="127"/>
      <c r="E23" s="128"/>
      <c r="F23" s="128"/>
      <c r="G23" s="140"/>
      <c r="H23" s="127"/>
      <c r="I23" s="127"/>
      <c r="J23" s="127"/>
      <c r="K23" s="127"/>
      <c r="L23" s="127"/>
      <c r="M23" s="127"/>
      <c r="N23" s="127"/>
      <c r="O23" s="127"/>
      <c r="P23" s="98"/>
    </row>
    <row r="24" spans="2:16" x14ac:dyDescent="0.25">
      <c r="B24" s="69">
        <v>10</v>
      </c>
      <c r="C24" s="145"/>
      <c r="D24" s="127"/>
      <c r="E24" s="128"/>
      <c r="F24" s="128"/>
      <c r="G24" s="140"/>
      <c r="H24" s="127"/>
      <c r="I24" s="127"/>
      <c r="J24" s="127"/>
      <c r="K24" s="127"/>
      <c r="L24" s="127"/>
      <c r="M24" s="127"/>
      <c r="N24" s="127"/>
      <c r="O24" s="127"/>
      <c r="P24" s="98"/>
    </row>
    <row r="25" spans="2:16" x14ac:dyDescent="0.25">
      <c r="B25" s="69">
        <v>11</v>
      </c>
      <c r="C25" s="145"/>
      <c r="D25" s="127"/>
      <c r="E25" s="128"/>
      <c r="F25" s="128"/>
      <c r="G25" s="140"/>
      <c r="H25" s="127"/>
      <c r="I25" s="127"/>
      <c r="J25" s="127"/>
      <c r="K25" s="127"/>
      <c r="L25" s="127"/>
      <c r="M25" s="127"/>
      <c r="N25" s="127"/>
      <c r="O25" s="127"/>
      <c r="P25" s="98"/>
    </row>
    <row r="26" spans="2:16" x14ac:dyDescent="0.25">
      <c r="B26" s="69">
        <v>12</v>
      </c>
      <c r="C26" s="145"/>
      <c r="D26" s="127"/>
      <c r="E26" s="128"/>
      <c r="F26" s="128"/>
      <c r="G26" s="140"/>
      <c r="H26" s="127"/>
      <c r="I26" s="127"/>
      <c r="J26" s="127"/>
      <c r="K26" s="127"/>
      <c r="L26" s="127"/>
      <c r="M26" s="127"/>
      <c r="N26" s="127"/>
      <c r="O26" s="127"/>
      <c r="P26" s="98"/>
    </row>
    <row r="27" spans="2:16" x14ac:dyDescent="0.25">
      <c r="B27" s="69">
        <v>13</v>
      </c>
      <c r="C27" s="145"/>
      <c r="D27" s="127"/>
      <c r="E27" s="128"/>
      <c r="F27" s="128"/>
      <c r="G27" s="140"/>
      <c r="H27" s="127"/>
      <c r="I27" s="127"/>
      <c r="J27" s="127"/>
      <c r="K27" s="127"/>
      <c r="L27" s="127"/>
      <c r="M27" s="127"/>
      <c r="N27" s="127"/>
      <c r="O27" s="127"/>
      <c r="P27" s="98"/>
    </row>
    <row r="28" spans="2:16" x14ac:dyDescent="0.25">
      <c r="B28" s="69">
        <v>14</v>
      </c>
      <c r="C28" s="145"/>
      <c r="D28" s="127"/>
      <c r="E28" s="128"/>
      <c r="F28" s="128"/>
      <c r="G28" s="140"/>
      <c r="H28" s="127"/>
      <c r="I28" s="127"/>
      <c r="J28" s="127"/>
      <c r="K28" s="127"/>
      <c r="L28" s="127"/>
      <c r="M28" s="127"/>
      <c r="N28" s="127"/>
      <c r="O28" s="127"/>
      <c r="P28" s="98"/>
    </row>
    <row r="29" spans="2:16" x14ac:dyDescent="0.25">
      <c r="B29" s="69">
        <v>15</v>
      </c>
      <c r="C29" s="145"/>
      <c r="D29" s="127"/>
      <c r="E29" s="128"/>
      <c r="F29" s="128"/>
      <c r="G29" s="140"/>
      <c r="H29" s="127"/>
      <c r="I29" s="127"/>
      <c r="J29" s="127"/>
      <c r="K29" s="127"/>
      <c r="L29" s="127"/>
      <c r="M29" s="127"/>
      <c r="N29" s="127"/>
      <c r="O29" s="127"/>
      <c r="P29" s="98"/>
    </row>
    <row r="30" spans="2:16" x14ac:dyDescent="0.25">
      <c r="B30" s="69">
        <v>16</v>
      </c>
      <c r="C30" s="145"/>
      <c r="D30" s="127"/>
      <c r="E30" s="128"/>
      <c r="F30" s="128"/>
      <c r="G30" s="140"/>
      <c r="H30" s="127"/>
      <c r="I30" s="127"/>
      <c r="J30" s="127"/>
      <c r="K30" s="127"/>
      <c r="L30" s="127"/>
      <c r="M30" s="127"/>
      <c r="N30" s="127"/>
      <c r="O30" s="127"/>
      <c r="P30" s="98"/>
    </row>
    <row r="31" spans="2:16" x14ac:dyDescent="0.25">
      <c r="B31" s="69">
        <v>17</v>
      </c>
      <c r="C31" s="145"/>
      <c r="D31" s="127"/>
      <c r="E31" s="128"/>
      <c r="F31" s="128"/>
      <c r="G31" s="140"/>
      <c r="H31" s="127"/>
      <c r="I31" s="127"/>
      <c r="J31" s="127"/>
      <c r="K31" s="127"/>
      <c r="L31" s="127"/>
      <c r="M31" s="127"/>
      <c r="N31" s="127"/>
      <c r="O31" s="127"/>
      <c r="P31" s="98"/>
    </row>
    <row r="32" spans="2:16" x14ac:dyDescent="0.25">
      <c r="B32" s="69">
        <v>18</v>
      </c>
      <c r="C32" s="145"/>
      <c r="D32" s="127"/>
      <c r="E32" s="128"/>
      <c r="F32" s="128"/>
      <c r="G32" s="140"/>
      <c r="H32" s="127"/>
      <c r="I32" s="127"/>
      <c r="J32" s="127"/>
      <c r="K32" s="127"/>
      <c r="L32" s="127"/>
      <c r="M32" s="127"/>
      <c r="N32" s="127"/>
      <c r="O32" s="127"/>
      <c r="P32" s="98"/>
    </row>
    <row r="33" spans="2:16" x14ac:dyDescent="0.25">
      <c r="B33" s="69">
        <v>19</v>
      </c>
      <c r="C33" s="145"/>
      <c r="D33" s="127"/>
      <c r="E33" s="128"/>
      <c r="F33" s="128"/>
      <c r="G33" s="140"/>
      <c r="H33" s="127"/>
      <c r="I33" s="127"/>
      <c r="J33" s="127"/>
      <c r="K33" s="127"/>
      <c r="L33" s="127"/>
      <c r="M33" s="127"/>
      <c r="N33" s="127"/>
      <c r="O33" s="127"/>
      <c r="P33" s="98"/>
    </row>
    <row r="34" spans="2:16" x14ac:dyDescent="0.25">
      <c r="B34" s="69">
        <v>20</v>
      </c>
      <c r="C34" s="145"/>
      <c r="D34" s="127"/>
      <c r="E34" s="128"/>
      <c r="F34" s="128"/>
      <c r="G34" s="140"/>
      <c r="H34" s="127"/>
      <c r="I34" s="127"/>
      <c r="J34" s="127"/>
      <c r="K34" s="127"/>
      <c r="L34" s="127"/>
      <c r="M34" s="127"/>
      <c r="N34" s="127"/>
      <c r="O34" s="127"/>
      <c r="P34" s="98"/>
    </row>
    <row r="35" spans="2:16" x14ac:dyDescent="0.25">
      <c r="B35" s="69">
        <v>21</v>
      </c>
      <c r="C35" s="145"/>
      <c r="D35" s="127"/>
      <c r="E35" s="128"/>
      <c r="F35" s="128"/>
      <c r="G35" s="140"/>
      <c r="H35" s="127"/>
      <c r="I35" s="127"/>
      <c r="J35" s="127"/>
      <c r="K35" s="127"/>
      <c r="L35" s="127"/>
      <c r="M35" s="127"/>
      <c r="N35" s="127"/>
      <c r="O35" s="127"/>
      <c r="P35" s="98"/>
    </row>
    <row r="36" spans="2:16" x14ac:dyDescent="0.25">
      <c r="B36" s="69">
        <v>22</v>
      </c>
      <c r="C36" s="145"/>
      <c r="D36" s="127"/>
      <c r="E36" s="128"/>
      <c r="F36" s="128"/>
      <c r="G36" s="140"/>
      <c r="H36" s="127"/>
      <c r="I36" s="127"/>
      <c r="J36" s="127"/>
      <c r="K36" s="127"/>
      <c r="L36" s="127"/>
      <c r="M36" s="127"/>
      <c r="N36" s="127"/>
      <c r="O36" s="127"/>
      <c r="P36" s="98"/>
    </row>
    <row r="37" spans="2:16" x14ac:dyDescent="0.25">
      <c r="B37" s="69">
        <v>23</v>
      </c>
      <c r="C37" s="145"/>
      <c r="D37" s="127"/>
      <c r="E37" s="128"/>
      <c r="F37" s="128"/>
      <c r="G37" s="140"/>
      <c r="H37" s="127"/>
      <c r="I37" s="127"/>
      <c r="J37" s="127"/>
      <c r="K37" s="127"/>
      <c r="L37" s="127"/>
      <c r="M37" s="127"/>
      <c r="N37" s="127"/>
      <c r="O37" s="127"/>
      <c r="P37" s="98"/>
    </row>
    <row r="38" spans="2:16" x14ac:dyDescent="0.25">
      <c r="B38" s="69">
        <v>24</v>
      </c>
      <c r="C38" s="145"/>
      <c r="D38" s="127"/>
      <c r="E38" s="128"/>
      <c r="F38" s="128"/>
      <c r="G38" s="140"/>
      <c r="H38" s="127"/>
      <c r="I38" s="127"/>
      <c r="J38" s="127"/>
      <c r="K38" s="127"/>
      <c r="L38" s="127"/>
      <c r="M38" s="127"/>
      <c r="N38" s="127"/>
      <c r="O38" s="127"/>
      <c r="P38" s="98"/>
    </row>
    <row r="39" spans="2:16" x14ac:dyDescent="0.25">
      <c r="B39" s="69">
        <v>25</v>
      </c>
      <c r="C39" s="145"/>
      <c r="D39" s="127"/>
      <c r="E39" s="128"/>
      <c r="F39" s="128"/>
      <c r="G39" s="140"/>
      <c r="H39" s="127"/>
      <c r="I39" s="127"/>
      <c r="J39" s="127"/>
      <c r="K39" s="127"/>
      <c r="L39" s="127"/>
      <c r="M39" s="127"/>
      <c r="N39" s="127"/>
      <c r="O39" s="127"/>
      <c r="P39" s="98"/>
    </row>
    <row r="40" spans="2:16" x14ac:dyDescent="0.25">
      <c r="B40" s="69">
        <v>26</v>
      </c>
      <c r="C40" s="145"/>
      <c r="D40" s="127"/>
      <c r="E40" s="128"/>
      <c r="F40" s="128"/>
      <c r="G40" s="140"/>
      <c r="H40" s="127"/>
      <c r="I40" s="127"/>
      <c r="J40" s="127"/>
      <c r="K40" s="127"/>
      <c r="L40" s="127"/>
      <c r="M40" s="127"/>
      <c r="N40" s="127"/>
      <c r="O40" s="127"/>
      <c r="P40" s="98"/>
    </row>
    <row r="41" spans="2:16" x14ac:dyDescent="0.25">
      <c r="B41" s="69">
        <v>27</v>
      </c>
      <c r="C41" s="145"/>
      <c r="D41" s="127"/>
      <c r="E41" s="128"/>
      <c r="F41" s="128"/>
      <c r="G41" s="140"/>
      <c r="H41" s="127"/>
      <c r="I41" s="127"/>
      <c r="J41" s="127"/>
      <c r="K41" s="127"/>
      <c r="L41" s="127"/>
      <c r="M41" s="127"/>
      <c r="N41" s="127"/>
      <c r="O41" s="127"/>
      <c r="P41" s="98"/>
    </row>
    <row r="42" spans="2:16" x14ac:dyDescent="0.25">
      <c r="B42" s="69">
        <v>28</v>
      </c>
      <c r="C42" s="145"/>
      <c r="D42" s="127"/>
      <c r="E42" s="128"/>
      <c r="F42" s="128"/>
      <c r="G42" s="140"/>
      <c r="H42" s="127"/>
      <c r="I42" s="127"/>
      <c r="J42" s="127"/>
      <c r="K42" s="127"/>
      <c r="L42" s="127"/>
      <c r="M42" s="127"/>
      <c r="N42" s="127"/>
      <c r="O42" s="127"/>
      <c r="P42" s="98"/>
    </row>
    <row r="43" spans="2:16" x14ac:dyDescent="0.25">
      <c r="B43" s="69">
        <v>29</v>
      </c>
      <c r="C43" s="145"/>
      <c r="D43" s="127"/>
      <c r="E43" s="128"/>
      <c r="F43" s="128"/>
      <c r="G43" s="140"/>
      <c r="H43" s="127"/>
      <c r="I43" s="127"/>
      <c r="J43" s="127"/>
      <c r="K43" s="127"/>
      <c r="L43" s="127"/>
      <c r="M43" s="127"/>
      <c r="N43" s="127"/>
      <c r="O43" s="127"/>
      <c r="P43" s="98"/>
    </row>
    <row r="44" spans="2:16" x14ac:dyDescent="0.25">
      <c r="B44" s="67">
        <v>30</v>
      </c>
      <c r="C44" s="100"/>
      <c r="D44" s="129"/>
      <c r="E44" s="101"/>
      <c r="F44" s="101"/>
      <c r="G44" s="102"/>
      <c r="H44" s="129"/>
      <c r="I44" s="129"/>
      <c r="J44" s="129"/>
      <c r="K44" s="129"/>
      <c r="L44" s="129"/>
      <c r="M44" s="129"/>
      <c r="N44" s="129"/>
      <c r="O44" s="129"/>
      <c r="P44" s="99"/>
    </row>
    <row r="47" spans="2:16" ht="15" customHeight="1" x14ac:dyDescent="0.25">
      <c r="C47" s="243" t="s">
        <v>80</v>
      </c>
      <c r="D47" s="244"/>
      <c r="E47" s="244"/>
      <c r="F47" s="244"/>
      <c r="G47" s="244"/>
      <c r="H47" s="244"/>
      <c r="I47" s="244"/>
      <c r="J47" s="244"/>
      <c r="K47" s="244"/>
      <c r="L47" s="244"/>
      <c r="M47" s="244"/>
      <c r="N47" s="244"/>
      <c r="O47" s="244"/>
    </row>
    <row r="48" spans="2:16" x14ac:dyDescent="0.25">
      <c r="C48" s="252"/>
      <c r="D48" s="253"/>
      <c r="E48" s="253"/>
      <c r="F48" s="253"/>
      <c r="G48" s="253"/>
      <c r="H48" s="253"/>
      <c r="I48" s="253"/>
      <c r="J48" s="253"/>
      <c r="K48" s="253"/>
      <c r="L48" s="253"/>
      <c r="M48" s="253"/>
      <c r="N48" s="253"/>
      <c r="O48" s="253"/>
    </row>
    <row r="49" spans="3:15" x14ac:dyDescent="0.25">
      <c r="C49" s="252"/>
      <c r="D49" s="253"/>
      <c r="E49" s="253"/>
      <c r="F49" s="253"/>
      <c r="G49" s="253"/>
      <c r="H49" s="253"/>
      <c r="I49" s="253"/>
      <c r="J49" s="253"/>
      <c r="K49" s="253"/>
      <c r="L49" s="253"/>
      <c r="M49" s="253"/>
      <c r="N49" s="253"/>
      <c r="O49" s="253"/>
    </row>
    <row r="50" spans="3:15" x14ac:dyDescent="0.25">
      <c r="C50" s="252"/>
      <c r="D50" s="253"/>
      <c r="E50" s="253"/>
      <c r="F50" s="253"/>
      <c r="G50" s="253"/>
      <c r="H50" s="253"/>
      <c r="I50" s="253"/>
      <c r="J50" s="253"/>
      <c r="K50" s="253"/>
      <c r="L50" s="253"/>
      <c r="M50" s="253"/>
      <c r="N50" s="253"/>
      <c r="O50" s="253"/>
    </row>
    <row r="51" spans="3:15" x14ac:dyDescent="0.25">
      <c r="C51" s="246"/>
      <c r="D51" s="268"/>
      <c r="E51" s="268"/>
      <c r="F51" s="268"/>
      <c r="G51" s="268"/>
      <c r="H51" s="268"/>
      <c r="I51" s="268"/>
      <c r="J51" s="268"/>
      <c r="K51" s="268"/>
      <c r="L51" s="268"/>
      <c r="M51" s="268"/>
      <c r="N51" s="268"/>
      <c r="O51" s="268"/>
    </row>
    <row r="54" spans="3:15" x14ac:dyDescent="0.25">
      <c r="J54" s="8"/>
      <c r="K54" s="8"/>
      <c r="L54" s="8"/>
      <c r="M54" s="8"/>
      <c r="N54" s="8"/>
      <c r="O54" s="8"/>
    </row>
  </sheetData>
  <mergeCells count="5">
    <mergeCell ref="C47:O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1"/>
  <sheetViews>
    <sheetView zoomScale="80" zoomScaleNormal="80" workbookViewId="0">
      <selection activeCell="F14" sqref="F14"/>
    </sheetView>
  </sheetViews>
  <sheetFormatPr defaultRowHeight="15" x14ac:dyDescent="0.25"/>
  <cols>
    <col min="1" max="1" width="7.7109375" style="109" customWidth="1"/>
    <col min="2" max="2" width="3.5703125" style="109" customWidth="1"/>
    <col min="3" max="3" width="38.140625" style="109" customWidth="1"/>
    <col min="4" max="4" width="21.7109375" style="109" customWidth="1"/>
    <col min="5" max="5" width="13" style="80" customWidth="1"/>
    <col min="6" max="6" width="14.28515625" style="109" customWidth="1"/>
    <col min="7" max="16384" width="9.140625" style="109"/>
  </cols>
  <sheetData>
    <row r="7" spans="2:11" ht="15" customHeight="1" x14ac:dyDescent="0.25">
      <c r="C7" s="258" t="s">
        <v>186</v>
      </c>
      <c r="D7" s="271"/>
      <c r="E7" s="104"/>
    </row>
    <row r="8" spans="2:11" ht="15" customHeight="1" x14ac:dyDescent="0.25">
      <c r="C8" s="260"/>
      <c r="D8" s="272"/>
      <c r="E8" s="104"/>
    </row>
    <row r="9" spans="2:11" ht="15.75" x14ac:dyDescent="0.25">
      <c r="C9" s="66"/>
      <c r="D9" s="66"/>
      <c r="E9" s="81"/>
    </row>
    <row r="10" spans="2:11" ht="15" customHeight="1" x14ac:dyDescent="0.25">
      <c r="C10" s="302" t="s">
        <v>187</v>
      </c>
      <c r="D10" s="303"/>
      <c r="E10" s="204" t="s">
        <v>156</v>
      </c>
      <c r="F10" s="97">
        <f ca="1">TODAY()</f>
        <v>43396</v>
      </c>
      <c r="H10" s="286" t="s">
        <v>188</v>
      </c>
      <c r="I10" s="287"/>
      <c r="J10" s="287"/>
      <c r="K10" s="288"/>
    </row>
    <row r="11" spans="2:11" x14ac:dyDescent="0.25">
      <c r="C11" s="175"/>
      <c r="D11" s="175"/>
      <c r="E11" s="174"/>
      <c r="F11" s="173"/>
      <c r="H11" s="289"/>
      <c r="I11" s="290"/>
      <c r="J11" s="290"/>
      <c r="K11" s="291"/>
    </row>
    <row r="12" spans="2:11" x14ac:dyDescent="0.25">
      <c r="H12" s="289"/>
      <c r="I12" s="290"/>
      <c r="J12" s="290"/>
      <c r="K12" s="291"/>
    </row>
    <row r="13" spans="2:11" ht="15.75" thickBot="1" x14ac:dyDescent="0.3">
      <c r="C13" s="213" t="s">
        <v>70</v>
      </c>
      <c r="D13" s="214" t="s">
        <v>155</v>
      </c>
      <c r="E13" s="215" t="s">
        <v>154</v>
      </c>
      <c r="F13" s="217" t="s">
        <v>179</v>
      </c>
      <c r="H13" s="292"/>
      <c r="I13" s="293"/>
      <c r="J13" s="293"/>
      <c r="K13" s="294"/>
    </row>
    <row r="14" spans="2:11" ht="15.75" thickTop="1" x14ac:dyDescent="0.25">
      <c r="C14" s="145" t="str">
        <f>Setup!D14</f>
        <v>FIGI_BBG00JVF3738</v>
      </c>
      <c r="D14" s="127">
        <v>1</v>
      </c>
      <c r="E14" s="172">
        <v>3</v>
      </c>
      <c r="F14" s="218"/>
    </row>
    <row r="15" spans="2:11" x14ac:dyDescent="0.25">
      <c r="C15" s="145" t="str">
        <f>Setup!D15</f>
        <v>FIGI_BBG00DKL90B0</v>
      </c>
      <c r="D15" s="127">
        <v>1</v>
      </c>
      <c r="E15" s="172">
        <v>3</v>
      </c>
      <c r="F15" s="219"/>
      <c r="G15" s="73"/>
    </row>
    <row r="16" spans="2:11" x14ac:dyDescent="0.25">
      <c r="B16" s="125">
        <v>1</v>
      </c>
      <c r="C16" s="145" t="str">
        <f>Setup!D16</f>
        <v>FIGI_BBG00DKL91M6</v>
      </c>
      <c r="D16" s="127">
        <v>1</v>
      </c>
      <c r="E16" s="172">
        <v>3</v>
      </c>
      <c r="F16" s="219"/>
    </row>
    <row r="17" spans="2:6" x14ac:dyDescent="0.25">
      <c r="B17" s="126">
        <v>2</v>
      </c>
      <c r="C17" s="145" t="str">
        <f>Setup!D17</f>
        <v>FIGI_BBG00FDG24R6</v>
      </c>
      <c r="D17" s="127">
        <v>1</v>
      </c>
      <c r="E17" s="172">
        <v>3</v>
      </c>
      <c r="F17" s="219"/>
    </row>
    <row r="18" spans="2:6" x14ac:dyDescent="0.25">
      <c r="B18" s="126">
        <v>3</v>
      </c>
      <c r="C18" s="145" t="str">
        <f>Setup!D18</f>
        <v>FIGI_BBG00DKL91L7</v>
      </c>
      <c r="D18" s="127">
        <v>1</v>
      </c>
      <c r="E18" s="172">
        <v>3</v>
      </c>
      <c r="F18" s="219"/>
    </row>
    <row r="19" spans="2:6" x14ac:dyDescent="0.25">
      <c r="B19" s="126">
        <v>4</v>
      </c>
      <c r="C19" s="145" t="str">
        <f>Setup!D19</f>
        <v>FIGI_BBG00FB2C3M5</v>
      </c>
      <c r="D19" s="127">
        <v>1</v>
      </c>
      <c r="E19" s="172">
        <v>3</v>
      </c>
      <c r="F19" s="219"/>
    </row>
    <row r="20" spans="2:6" x14ac:dyDescent="0.25">
      <c r="B20" s="126">
        <v>5</v>
      </c>
      <c r="C20" s="145" t="str">
        <f>Setup!D20</f>
        <v>FIGI_BBG00FJ5L0H2</v>
      </c>
      <c r="D20" s="127">
        <v>1</v>
      </c>
      <c r="E20" s="172">
        <v>3</v>
      </c>
      <c r="F20" s="219"/>
    </row>
    <row r="21" spans="2:6" x14ac:dyDescent="0.25">
      <c r="B21" s="126">
        <v>6</v>
      </c>
      <c r="C21" s="145" t="str">
        <f>Setup!D21</f>
        <v>FIGI_BBG00FJ5L0Q2</v>
      </c>
      <c r="D21" s="127">
        <v>1</v>
      </c>
      <c r="E21" s="172">
        <v>3</v>
      </c>
      <c r="F21" s="219"/>
    </row>
    <row r="22" spans="2:6" x14ac:dyDescent="0.25">
      <c r="B22" s="126">
        <v>7</v>
      </c>
      <c r="C22" s="145" t="str">
        <f>Setup!D22</f>
        <v>FIGI_BBG000C5GF49</v>
      </c>
      <c r="D22" s="127">
        <v>1</v>
      </c>
      <c r="E22" s="172">
        <v>3</v>
      </c>
      <c r="F22" s="219"/>
    </row>
    <row r="23" spans="2:6" x14ac:dyDescent="0.25">
      <c r="B23" s="126">
        <v>8</v>
      </c>
      <c r="C23" s="145" t="str">
        <f>Setup!D23</f>
        <v>FIGI_BBG000C45QW9</v>
      </c>
      <c r="D23" s="127">
        <v>1</v>
      </c>
      <c r="E23" s="172">
        <v>3</v>
      </c>
      <c r="F23" s="219"/>
    </row>
    <row r="24" spans="2:6" x14ac:dyDescent="0.25">
      <c r="B24" s="126">
        <v>9</v>
      </c>
      <c r="C24" s="145" t="str">
        <f>Setup!D24</f>
        <v>FIGI_BBG00GZY0K24</v>
      </c>
      <c r="D24" s="127">
        <v>1</v>
      </c>
      <c r="E24" s="172">
        <v>3</v>
      </c>
      <c r="F24" s="219"/>
    </row>
    <row r="25" spans="2:6" x14ac:dyDescent="0.25">
      <c r="B25" s="126">
        <v>10</v>
      </c>
      <c r="C25" s="145" t="str">
        <f>Setup!D25</f>
        <v>FIGI_BBG00GZXXVG1</v>
      </c>
      <c r="D25" s="127">
        <v>1</v>
      </c>
      <c r="E25" s="172">
        <v>3</v>
      </c>
      <c r="F25" s="219"/>
    </row>
    <row r="26" spans="2:6" x14ac:dyDescent="0.25">
      <c r="B26" s="126">
        <v>11</v>
      </c>
      <c r="C26" s="145" t="str">
        <f>Setup!D26</f>
        <v>FIGI_BBG007V3VDW5</v>
      </c>
      <c r="D26" s="127">
        <v>1</v>
      </c>
      <c r="E26" s="172">
        <v>3</v>
      </c>
      <c r="F26" s="219"/>
    </row>
    <row r="27" spans="2:6" x14ac:dyDescent="0.25">
      <c r="B27" s="126">
        <v>12</v>
      </c>
      <c r="C27" s="145" t="str">
        <f>Setup!D27</f>
        <v>FIGI_BBG000GM7Q26</v>
      </c>
      <c r="D27" s="127">
        <v>1</v>
      </c>
      <c r="E27" s="172">
        <v>3</v>
      </c>
      <c r="F27" s="219"/>
    </row>
    <row r="28" spans="2:6" x14ac:dyDescent="0.25">
      <c r="B28" s="126">
        <v>13</v>
      </c>
      <c r="C28" s="145" t="str">
        <f>Setup!D28</f>
        <v>FIGI_BBG000V7VSG6</v>
      </c>
      <c r="D28" s="127">
        <v>1</v>
      </c>
      <c r="E28" s="172">
        <v>3</v>
      </c>
      <c r="F28" s="219"/>
    </row>
    <row r="29" spans="2:6" x14ac:dyDescent="0.25">
      <c r="B29" s="126">
        <v>14</v>
      </c>
      <c r="C29" s="145" t="str">
        <f>Setup!D29</f>
        <v>FIGI_BBG000F8XRF3</v>
      </c>
      <c r="D29" s="127">
        <v>1</v>
      </c>
      <c r="E29" s="172">
        <v>3</v>
      </c>
      <c r="F29" s="219"/>
    </row>
    <row r="30" spans="2:6" x14ac:dyDescent="0.25">
      <c r="B30" s="126">
        <v>15</v>
      </c>
      <c r="C30" s="145" t="str">
        <f>Setup!D30</f>
        <v>FIGI_BBG000RH4VW4</v>
      </c>
      <c r="D30" s="127">
        <v>1</v>
      </c>
      <c r="E30" s="172">
        <v>3</v>
      </c>
      <c r="F30" s="219"/>
    </row>
    <row r="31" spans="2:6" x14ac:dyDescent="0.25">
      <c r="B31" s="126">
        <v>16</v>
      </c>
      <c r="C31" s="145" t="str">
        <f>Setup!D31</f>
        <v>FIGI_BBG000R173D9</v>
      </c>
      <c r="D31" s="127">
        <v>1</v>
      </c>
      <c r="E31" s="172">
        <v>3</v>
      </c>
      <c r="F31" s="219"/>
    </row>
    <row r="32" spans="2:6" x14ac:dyDescent="0.25">
      <c r="B32" s="126">
        <v>17</v>
      </c>
      <c r="C32" s="145" t="str">
        <f>Setup!D32</f>
        <v>FIGI_BBG001HQYT28</v>
      </c>
      <c r="D32" s="127">
        <v>1</v>
      </c>
      <c r="E32" s="172">
        <v>3</v>
      </c>
      <c r="F32" s="219"/>
    </row>
    <row r="33" spans="2:6" x14ac:dyDescent="0.25">
      <c r="B33" s="126">
        <v>18</v>
      </c>
      <c r="C33" s="145" t="str">
        <f>Setup!D33</f>
        <v>FIGI_BBG0037S1FD5</v>
      </c>
      <c r="D33" s="127">
        <v>1</v>
      </c>
      <c r="E33" s="172">
        <v>3</v>
      </c>
      <c r="F33" s="219"/>
    </row>
    <row r="34" spans="2:6" x14ac:dyDescent="0.25">
      <c r="B34" s="126">
        <v>19</v>
      </c>
      <c r="C34" s="145" t="str">
        <f>Setup!D34</f>
        <v>FIGI_BBG001B81KF5</v>
      </c>
      <c r="D34" s="127">
        <v>1</v>
      </c>
      <c r="E34" s="172">
        <v>3</v>
      </c>
      <c r="F34" s="219"/>
    </row>
    <row r="35" spans="2:6" x14ac:dyDescent="0.25">
      <c r="B35" s="126">
        <v>20</v>
      </c>
      <c r="C35" s="145" t="str">
        <f>Setup!D35</f>
        <v>FIGI_BBG0034YPJG8</v>
      </c>
      <c r="D35" s="127">
        <v>1</v>
      </c>
      <c r="E35" s="172">
        <v>3</v>
      </c>
      <c r="F35" s="219"/>
    </row>
    <row r="36" spans="2:6" x14ac:dyDescent="0.25">
      <c r="B36" s="126">
        <v>21</v>
      </c>
      <c r="C36" s="145" t="str">
        <f>Setup!D36</f>
        <v>FIGI_BBG0034YQ808</v>
      </c>
      <c r="D36" s="127">
        <v>1</v>
      </c>
      <c r="E36" s="172">
        <v>3</v>
      </c>
      <c r="F36" s="219"/>
    </row>
    <row r="37" spans="2:6" x14ac:dyDescent="0.25">
      <c r="B37" s="126">
        <v>22</v>
      </c>
      <c r="C37" s="145" t="str">
        <f>Setup!D37</f>
        <v>FIGI_BBG004733FZ2</v>
      </c>
      <c r="D37" s="127">
        <v>1</v>
      </c>
      <c r="E37" s="172">
        <v>3</v>
      </c>
      <c r="F37" s="219"/>
    </row>
    <row r="38" spans="2:6" x14ac:dyDescent="0.25">
      <c r="B38" s="126">
        <v>23</v>
      </c>
      <c r="C38" s="145" t="str">
        <f>Setup!D38</f>
        <v>FIGI_BBG004XQG9D6</v>
      </c>
      <c r="D38" s="127">
        <v>1</v>
      </c>
      <c r="E38" s="172">
        <v>3</v>
      </c>
      <c r="F38" s="219"/>
    </row>
    <row r="39" spans="2:6" x14ac:dyDescent="0.25">
      <c r="B39" s="126">
        <v>24</v>
      </c>
      <c r="C39" s="145" t="str">
        <f>Setup!D39</f>
        <v>FIGI_BBG003BJ6K44</v>
      </c>
      <c r="D39" s="127">
        <v>1</v>
      </c>
      <c r="E39" s="172">
        <v>3</v>
      </c>
      <c r="F39" s="219"/>
    </row>
    <row r="40" spans="2:6" x14ac:dyDescent="0.25">
      <c r="B40" s="126">
        <v>25</v>
      </c>
      <c r="C40" s="145" t="e">
        <f>Setup!D40</f>
        <v>#N/A</v>
      </c>
      <c r="D40" s="127"/>
      <c r="E40" s="172"/>
      <c r="F40" s="219"/>
    </row>
    <row r="41" spans="2:6" x14ac:dyDescent="0.25">
      <c r="B41" s="126">
        <v>26</v>
      </c>
      <c r="C41" s="145" t="e">
        <f>Setup!D41</f>
        <v>#N/A</v>
      </c>
      <c r="D41" s="127"/>
      <c r="E41" s="172"/>
      <c r="F41" s="219"/>
    </row>
    <row r="42" spans="2:6" x14ac:dyDescent="0.25">
      <c r="B42" s="126">
        <v>27</v>
      </c>
      <c r="C42" s="145" t="e">
        <f>Setup!D42</f>
        <v>#N/A</v>
      </c>
      <c r="D42" s="127"/>
      <c r="E42" s="172"/>
      <c r="F42" s="219"/>
    </row>
    <row r="43" spans="2:6" x14ac:dyDescent="0.25">
      <c r="B43" s="126">
        <v>28</v>
      </c>
      <c r="C43" s="145" t="e">
        <f>Setup!D43</f>
        <v>#N/A</v>
      </c>
      <c r="D43" s="127"/>
      <c r="E43" s="172"/>
      <c r="F43" s="219"/>
    </row>
    <row r="44" spans="2:6" x14ac:dyDescent="0.25">
      <c r="B44" s="126">
        <v>29</v>
      </c>
      <c r="C44" s="172"/>
      <c r="D44" s="172"/>
      <c r="E44" s="172"/>
      <c r="F44" s="219"/>
    </row>
    <row r="45" spans="2:6" x14ac:dyDescent="0.25">
      <c r="B45" s="124">
        <v>30</v>
      </c>
      <c r="C45" s="216"/>
      <c r="D45" s="216"/>
      <c r="E45" s="216"/>
      <c r="F45" s="220"/>
    </row>
    <row r="47" spans="2:6" x14ac:dyDescent="0.25">
      <c r="C47" s="243" t="s">
        <v>153</v>
      </c>
      <c r="D47" s="244"/>
      <c r="E47" s="244"/>
      <c r="F47" s="245"/>
    </row>
    <row r="48" spans="2:6" x14ac:dyDescent="0.25">
      <c r="C48" s="252"/>
      <c r="D48" s="253"/>
      <c r="E48" s="253"/>
      <c r="F48" s="254"/>
    </row>
    <row r="49" spans="3:6" ht="15" customHeight="1" x14ac:dyDescent="0.25">
      <c r="C49" s="252"/>
      <c r="D49" s="253"/>
      <c r="E49" s="253"/>
      <c r="F49" s="254"/>
    </row>
    <row r="50" spans="3:6" x14ac:dyDescent="0.25">
      <c r="C50" s="252"/>
      <c r="D50" s="253"/>
      <c r="E50" s="253"/>
      <c r="F50" s="254"/>
    </row>
    <row r="51" spans="3:6" x14ac:dyDescent="0.25">
      <c r="C51" s="246"/>
      <c r="D51" s="268"/>
      <c r="E51" s="268"/>
      <c r="F51" s="248"/>
    </row>
  </sheetData>
  <mergeCells count="4">
    <mergeCell ref="C7:D8"/>
    <mergeCell ref="C10:D10"/>
    <mergeCell ref="H10:K13"/>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10</xdr:row>
                    <xdr:rowOff>47625</xdr:rowOff>
                  </from>
                  <to>
                    <xdr:col>10</xdr:col>
                    <xdr:colOff>219075</xdr:colOff>
                    <xdr:row>12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R19"/>
    </sheetView>
  </sheetViews>
  <sheetFormatPr defaultRowHeight="15" x14ac:dyDescent="0.25"/>
  <cols>
    <col min="3" max="3" width="15.28515625" bestFit="1" customWidth="1"/>
    <col min="4" max="4" width="20" bestFit="1" customWidth="1"/>
    <col min="5" max="5" width="18" style="75" bestFit="1" customWidth="1"/>
    <col min="6" max="6" width="17.28515625" style="75" bestFit="1" customWidth="1"/>
    <col min="7" max="7" width="17.85546875" bestFit="1" customWidth="1"/>
    <col min="8" max="8" width="29.5703125" bestFit="1" customWidth="1"/>
    <col min="9" max="9" width="21.5703125" bestFit="1" customWidth="1"/>
    <col min="10" max="10" width="7.7109375" bestFit="1" customWidth="1"/>
    <col min="11" max="11" width="18" bestFit="1" customWidth="1"/>
    <col min="12" max="12" width="20.85546875" bestFit="1" customWidth="1"/>
    <col min="13" max="13" width="15.28515625" bestFit="1" customWidth="1"/>
    <col min="14" max="14" width="16.42578125" bestFit="1" customWidth="1"/>
    <col min="15" max="15" width="12" bestFit="1" customWidth="1"/>
    <col min="16" max="16" width="22.140625" bestFit="1" customWidth="1"/>
    <col min="17" max="17" width="18.140625" bestFit="1" customWidth="1"/>
    <col min="18" max="18" width="16.42578125" bestFit="1" customWidth="1"/>
    <col min="19" max="19" width="12" bestFit="1" customWidth="1"/>
    <col min="20" max="20" width="18.140625" style="73" bestFit="1" customWidth="1"/>
    <col min="21" max="21" width="22.140625" bestFit="1" customWidth="1"/>
    <col min="22" max="22" width="36.7109375" bestFit="1" customWidth="1"/>
  </cols>
  <sheetData>
    <row r="1" spans="1:22" x14ac:dyDescent="0.25">
      <c r="A1" s="77"/>
    </row>
    <row r="7" spans="1:22" ht="15" customHeight="1" x14ac:dyDescent="0.25">
      <c r="C7" s="258" t="s">
        <v>152</v>
      </c>
      <c r="D7" s="259"/>
      <c r="E7" s="259"/>
      <c r="F7" s="259"/>
      <c r="G7" s="259"/>
      <c r="H7" s="259"/>
      <c r="I7" s="259"/>
      <c r="J7" s="259"/>
      <c r="K7" s="259"/>
      <c r="L7" s="259"/>
      <c r="M7" s="259"/>
      <c r="N7" s="271"/>
      <c r="T7"/>
    </row>
    <row r="8" spans="1:22" ht="15" customHeight="1" x14ac:dyDescent="0.25">
      <c r="C8" s="260"/>
      <c r="D8" s="261"/>
      <c r="E8" s="261"/>
      <c r="F8" s="261"/>
      <c r="G8" s="261"/>
      <c r="H8" s="261"/>
      <c r="I8" s="261"/>
      <c r="J8" s="261"/>
      <c r="K8" s="261"/>
      <c r="L8" s="261"/>
      <c r="M8" s="261"/>
      <c r="N8" s="272"/>
      <c r="T8"/>
    </row>
    <row r="9" spans="1:22" ht="15.75" x14ac:dyDescent="0.25">
      <c r="C9" s="66"/>
      <c r="D9" s="66"/>
      <c r="E9" s="74"/>
      <c r="F9" s="74"/>
      <c r="G9" s="66"/>
      <c r="H9" s="66"/>
      <c r="I9" s="66"/>
      <c r="T9"/>
    </row>
    <row r="10" spans="1:22" ht="15.75" x14ac:dyDescent="0.25">
      <c r="C10" s="305" t="s">
        <v>81</v>
      </c>
      <c r="D10" s="306"/>
      <c r="E10" s="306"/>
      <c r="F10" s="307"/>
      <c r="G10" s="66"/>
      <c r="H10" s="317" t="s">
        <v>146</v>
      </c>
      <c r="I10" s="318"/>
      <c r="J10" s="318"/>
      <c r="K10" s="318"/>
      <c r="L10" s="318"/>
      <c r="M10" s="318"/>
      <c r="N10" s="319"/>
      <c r="T10"/>
    </row>
    <row r="11" spans="1:22" ht="15.75" x14ac:dyDescent="0.25">
      <c r="C11" s="66"/>
      <c r="D11" s="66"/>
      <c r="E11" s="74"/>
      <c r="F11" s="74"/>
      <c r="G11" s="66"/>
      <c r="H11" s="320"/>
      <c r="I11" s="321"/>
      <c r="J11" s="321"/>
      <c r="K11" s="321"/>
      <c r="L11" s="321"/>
      <c r="M11" s="321"/>
      <c r="N11" s="322"/>
      <c r="T11"/>
    </row>
    <row r="12" spans="1:22" x14ac:dyDescent="0.25">
      <c r="C12" s="308" t="s">
        <v>217</v>
      </c>
      <c r="D12" s="309"/>
      <c r="E12" s="309"/>
      <c r="F12" s="310"/>
      <c r="G12" s="304"/>
      <c r="H12" s="320"/>
      <c r="I12" s="321"/>
      <c r="J12" s="321"/>
      <c r="K12" s="321"/>
      <c r="L12" s="321"/>
      <c r="M12" s="321"/>
      <c r="N12" s="322"/>
      <c r="T12"/>
    </row>
    <row r="13" spans="1:22" x14ac:dyDescent="0.25">
      <c r="C13" s="311"/>
      <c r="D13" s="312"/>
      <c r="E13" s="312"/>
      <c r="F13" s="313"/>
      <c r="G13" s="304"/>
      <c r="H13" s="320"/>
      <c r="I13" s="321"/>
      <c r="J13" s="321"/>
      <c r="K13" s="321"/>
      <c r="L13" s="321"/>
      <c r="M13" s="321"/>
      <c r="N13" s="322"/>
      <c r="T13"/>
    </row>
    <row r="14" spans="1:22" x14ac:dyDescent="0.25">
      <c r="C14" s="314"/>
      <c r="D14" s="315"/>
      <c r="E14" s="315"/>
      <c r="F14" s="316"/>
      <c r="G14" s="103"/>
      <c r="H14" s="323"/>
      <c r="I14" s="324"/>
      <c r="J14" s="324"/>
      <c r="K14" s="324"/>
      <c r="L14" s="324"/>
      <c r="M14" s="324"/>
      <c r="N14" s="325"/>
      <c r="T14"/>
      <c r="V14" s="110"/>
    </row>
    <row r="15" spans="1:22" x14ac:dyDescent="0.25">
      <c r="G15" s="4"/>
      <c r="T15" s="111"/>
      <c r="U15" s="111"/>
      <c r="V15" s="110"/>
    </row>
    <row r="16" spans="1:22" x14ac:dyDescent="0.25">
      <c r="A16" s="109"/>
      <c r="B16" s="109"/>
      <c r="C16" s="111"/>
      <c r="D16" s="111"/>
      <c r="E16" s="111"/>
      <c r="F16" s="111"/>
      <c r="G16" s="111"/>
      <c r="H16" s="111"/>
      <c r="I16" s="111"/>
      <c r="J16" s="111"/>
      <c r="K16" s="111"/>
      <c r="L16" s="111"/>
      <c r="M16" s="111"/>
      <c r="N16" s="111"/>
      <c r="O16" s="111"/>
      <c r="P16" s="111"/>
      <c r="Q16" s="111"/>
      <c r="R16" s="111"/>
      <c r="S16" s="109"/>
      <c r="T16" s="109"/>
      <c r="U16" s="109"/>
      <c r="V16" s="109"/>
    </row>
    <row r="17" spans="1:23" x14ac:dyDescent="0.25">
      <c r="A17" s="109"/>
      <c r="B17" s="109"/>
      <c r="C17" s="139"/>
      <c r="D17" s="139"/>
      <c r="E17" s="139"/>
      <c r="F17" s="139"/>
      <c r="G17" s="139"/>
      <c r="H17" s="139"/>
      <c r="I17" s="139"/>
      <c r="J17" s="139"/>
      <c r="K17" s="139"/>
      <c r="L17" s="139"/>
      <c r="M17" s="139"/>
      <c r="N17" s="139"/>
      <c r="O17" s="139"/>
      <c r="P17" s="139"/>
      <c r="Q17" s="139"/>
      <c r="R17" s="111"/>
      <c r="T17" s="109"/>
      <c r="U17" s="109"/>
      <c r="V17" s="109"/>
      <c r="W17" s="146"/>
    </row>
    <row r="18" spans="1:23" x14ac:dyDescent="0.25">
      <c r="A18" s="109"/>
      <c r="B18" s="109"/>
      <c r="C18" s="139"/>
      <c r="D18" s="139"/>
      <c r="E18" s="139"/>
      <c r="F18" s="139"/>
      <c r="G18" s="139"/>
      <c r="H18" s="139"/>
      <c r="I18" s="139"/>
      <c r="J18" s="139"/>
      <c r="K18" s="139"/>
      <c r="L18" s="139"/>
      <c r="M18" s="139"/>
      <c r="N18" s="139"/>
      <c r="O18" s="139"/>
      <c r="P18" s="139"/>
      <c r="Q18" s="139"/>
      <c r="R18" s="111"/>
      <c r="T18" s="109"/>
      <c r="U18" s="109"/>
      <c r="V18" s="109"/>
      <c r="W18" s="146"/>
    </row>
    <row r="19" spans="1:23" x14ac:dyDescent="0.25">
      <c r="A19" s="109"/>
      <c r="B19" s="109"/>
      <c r="C19" s="111"/>
      <c r="D19" s="111"/>
      <c r="E19" s="111"/>
      <c r="F19" s="111"/>
      <c r="G19" s="111"/>
      <c r="H19" s="111"/>
      <c r="I19" s="111"/>
      <c r="J19" s="111"/>
      <c r="K19" s="111"/>
      <c r="L19" s="111"/>
      <c r="M19" s="111"/>
      <c r="N19" s="111"/>
      <c r="O19" s="111"/>
      <c r="P19" s="111"/>
      <c r="Q19" s="111"/>
      <c r="R19" s="111"/>
      <c r="T19" s="109"/>
      <c r="U19" s="109"/>
      <c r="V19" s="109"/>
      <c r="W19" s="146"/>
    </row>
    <row r="20" spans="1:23" x14ac:dyDescent="0.25">
      <c r="A20" s="109"/>
      <c r="B20" s="109"/>
      <c r="E20"/>
      <c r="F20"/>
      <c r="T20" s="109"/>
      <c r="U20" s="109"/>
      <c r="V20" s="109"/>
      <c r="W20" s="146"/>
    </row>
    <row r="21" spans="1:23" x14ac:dyDescent="0.25">
      <c r="A21" s="109"/>
      <c r="B21" s="109"/>
      <c r="E21"/>
      <c r="F21"/>
      <c r="T21" s="109"/>
      <c r="U21" s="109"/>
      <c r="V21" s="109"/>
      <c r="W21" s="146"/>
    </row>
    <row r="22" spans="1:23" x14ac:dyDescent="0.25">
      <c r="A22" s="109"/>
      <c r="B22" s="109"/>
      <c r="E22"/>
      <c r="F22"/>
      <c r="T22" s="109"/>
      <c r="U22" s="109"/>
      <c r="V22" s="109"/>
      <c r="W22" s="146"/>
    </row>
    <row r="23" spans="1:23" x14ac:dyDescent="0.25">
      <c r="A23" s="109"/>
      <c r="B23" s="109"/>
      <c r="E23"/>
      <c r="F23"/>
      <c r="T23" s="109"/>
      <c r="U23" s="109"/>
      <c r="V23" s="109"/>
      <c r="W23" s="146"/>
    </row>
    <row r="24" spans="1:23" x14ac:dyDescent="0.25">
      <c r="A24" s="109"/>
      <c r="B24" s="109"/>
      <c r="E24"/>
      <c r="F24"/>
      <c r="T24" s="109"/>
      <c r="U24" s="109"/>
      <c r="V24" s="109"/>
      <c r="W24" s="146"/>
    </row>
    <row r="25" spans="1:23" x14ac:dyDescent="0.25">
      <c r="A25" s="109"/>
      <c r="B25" s="109"/>
      <c r="E25"/>
      <c r="F25"/>
      <c r="T25" s="109"/>
      <c r="U25" s="109"/>
      <c r="V25" s="109"/>
      <c r="W25" s="146"/>
    </row>
    <row r="26" spans="1:23" x14ac:dyDescent="0.25">
      <c r="B26" s="138"/>
      <c r="E26"/>
      <c r="F26"/>
      <c r="T26" s="146"/>
      <c r="U26" s="146"/>
      <c r="V26" s="146"/>
      <c r="W26" s="146"/>
    </row>
    <row r="27" spans="1:23" x14ac:dyDescent="0.25">
      <c r="B27" s="138"/>
      <c r="E27"/>
      <c r="F27"/>
      <c r="T27" s="146"/>
      <c r="U27" s="146"/>
      <c r="V27" s="146"/>
      <c r="W27" s="146"/>
    </row>
    <row r="28" spans="1:23" x14ac:dyDescent="0.25">
      <c r="B28" s="138"/>
      <c r="E28"/>
      <c r="F28"/>
      <c r="T28" s="146"/>
      <c r="U28" s="146"/>
      <c r="V28" s="146"/>
      <c r="W28" s="146"/>
    </row>
    <row r="29" spans="1:23" x14ac:dyDescent="0.25">
      <c r="B29" s="138"/>
      <c r="E29"/>
      <c r="F29"/>
      <c r="T29" s="146"/>
      <c r="U29" s="146"/>
      <c r="V29" s="146"/>
      <c r="W29" s="146"/>
    </row>
    <row r="30" spans="1:23" x14ac:dyDescent="0.25">
      <c r="B30" s="138"/>
      <c r="E30"/>
      <c r="F30"/>
      <c r="T30" s="146"/>
      <c r="U30" s="146"/>
      <c r="V30" s="146"/>
      <c r="W30" s="146"/>
    </row>
    <row r="31" spans="1:23" x14ac:dyDescent="0.25">
      <c r="B31" s="138"/>
      <c r="E31"/>
      <c r="F31"/>
      <c r="T31" s="146"/>
      <c r="U31" s="146"/>
      <c r="V31" s="146"/>
      <c r="W31" s="146"/>
    </row>
    <row r="32" spans="1:23" x14ac:dyDescent="0.25">
      <c r="B32" s="138"/>
      <c r="E32"/>
      <c r="F32"/>
      <c r="T32" s="146"/>
      <c r="U32" s="146"/>
      <c r="V32" s="146"/>
      <c r="W32" s="146"/>
    </row>
    <row r="33" spans="2:23" x14ac:dyDescent="0.25">
      <c r="B33" s="138"/>
      <c r="E33"/>
      <c r="F33"/>
      <c r="T33" s="146"/>
      <c r="U33" s="146"/>
      <c r="V33" s="146"/>
      <c r="W33" s="146"/>
    </row>
    <row r="34" spans="2:23" x14ac:dyDescent="0.25">
      <c r="B34" s="138"/>
      <c r="E34"/>
      <c r="F34"/>
      <c r="T34" s="146"/>
      <c r="U34" s="146"/>
      <c r="V34" s="146"/>
      <c r="W34" s="146"/>
    </row>
    <row r="35" spans="2:23" x14ac:dyDescent="0.25">
      <c r="B35" s="138"/>
      <c r="E35"/>
      <c r="F35"/>
      <c r="T35" s="146"/>
      <c r="U35" s="146"/>
      <c r="V35" s="146"/>
      <c r="W35" s="146"/>
    </row>
    <row r="36" spans="2:23" x14ac:dyDescent="0.25">
      <c r="B36" s="72"/>
      <c r="E36"/>
      <c r="F36"/>
      <c r="T36" s="146"/>
      <c r="U36" s="146"/>
      <c r="V36" s="146"/>
      <c r="W36" s="146"/>
    </row>
    <row r="37" spans="2:23" x14ac:dyDescent="0.25">
      <c r="B37" s="72"/>
      <c r="E37"/>
      <c r="F37"/>
      <c r="T37" s="146"/>
      <c r="U37" s="146"/>
      <c r="V37" s="146"/>
      <c r="W37" s="146"/>
    </row>
    <row r="38" spans="2:23" x14ac:dyDescent="0.25">
      <c r="B38" s="72"/>
      <c r="E38"/>
      <c r="F38"/>
      <c r="T38" s="146"/>
      <c r="U38" s="146"/>
      <c r="V38" s="146"/>
      <c r="W38" s="146"/>
    </row>
    <row r="39" spans="2:23" x14ac:dyDescent="0.25">
      <c r="B39" s="72"/>
      <c r="E39"/>
      <c r="F39"/>
      <c r="T39" s="146"/>
      <c r="U39" s="146"/>
      <c r="V39" s="146"/>
      <c r="W39" s="146"/>
    </row>
    <row r="40" spans="2:23" x14ac:dyDescent="0.25">
      <c r="B40" s="72"/>
      <c r="E40"/>
      <c r="F40"/>
      <c r="T40" s="146"/>
      <c r="U40" s="146"/>
      <c r="V40" s="146"/>
      <c r="W40" s="146"/>
    </row>
    <row r="41" spans="2:23" x14ac:dyDescent="0.25">
      <c r="B41" s="72"/>
      <c r="E41"/>
      <c r="F41"/>
      <c r="T41" s="146"/>
      <c r="U41" s="146"/>
      <c r="V41" s="146"/>
      <c r="W41" s="146"/>
    </row>
    <row r="42" spans="2:23" x14ac:dyDescent="0.25">
      <c r="B42" s="72"/>
      <c r="E42"/>
      <c r="F42"/>
      <c r="T42" s="146"/>
      <c r="U42" s="146"/>
      <c r="V42" s="146"/>
      <c r="W42" s="146"/>
    </row>
    <row r="43" spans="2:23" x14ac:dyDescent="0.25">
      <c r="B43" s="72"/>
      <c r="E43"/>
      <c r="F43"/>
      <c r="T43" s="146"/>
      <c r="U43" s="146"/>
      <c r="V43" s="146"/>
      <c r="W43" s="146"/>
    </row>
    <row r="44" spans="2:23" x14ac:dyDescent="0.25">
      <c r="B44" s="72"/>
      <c r="E44"/>
      <c r="F44"/>
      <c r="T44" s="146"/>
      <c r="U44" s="146"/>
      <c r="V44" s="146"/>
      <c r="W44" s="146"/>
    </row>
    <row r="45" spans="2:23" x14ac:dyDescent="0.25">
      <c r="B45" s="72"/>
      <c r="E45"/>
      <c r="F45"/>
      <c r="T45" s="146"/>
      <c r="U45" s="146"/>
      <c r="V45" s="146"/>
      <c r="W45" s="146"/>
    </row>
    <row r="46" spans="2:23" x14ac:dyDescent="0.25">
      <c r="B46" s="72"/>
      <c r="E46"/>
      <c r="F46"/>
      <c r="T46" s="146"/>
      <c r="U46" s="146"/>
      <c r="V46" s="146"/>
      <c r="W46" s="146"/>
    </row>
    <row r="47" spans="2:23" x14ac:dyDescent="0.25">
      <c r="B47" s="72"/>
      <c r="E47"/>
      <c r="F47"/>
      <c r="T47" s="146"/>
      <c r="U47" s="146"/>
      <c r="V47" s="146"/>
      <c r="W47" s="146"/>
    </row>
    <row r="48" spans="2:23" x14ac:dyDescent="0.25">
      <c r="C48" s="109"/>
      <c r="D48" s="109"/>
      <c r="E48" s="109"/>
      <c r="F48" s="109"/>
      <c r="G48" s="109"/>
      <c r="H48" s="109"/>
      <c r="I48" s="109"/>
      <c r="J48" s="109"/>
      <c r="K48" s="109"/>
      <c r="L48" s="109"/>
      <c r="M48" s="109"/>
      <c r="N48" s="109"/>
      <c r="O48" s="109"/>
      <c r="P48" s="109"/>
      <c r="Q48" s="109"/>
      <c r="R48" s="109"/>
      <c r="S48" s="109"/>
      <c r="T48" s="76"/>
      <c r="U48" s="76"/>
      <c r="V48" s="1"/>
    </row>
    <row r="49" spans="3:22" x14ac:dyDescent="0.25">
      <c r="C49" s="109"/>
      <c r="D49" s="109"/>
      <c r="E49" s="109"/>
      <c r="F49" s="109"/>
      <c r="G49" s="109"/>
      <c r="H49" s="109"/>
      <c r="I49" s="109"/>
      <c r="J49" s="109"/>
      <c r="K49" s="109"/>
      <c r="L49" s="109"/>
      <c r="M49" s="109"/>
      <c r="N49" s="109"/>
      <c r="O49" s="109"/>
      <c r="P49" s="109"/>
      <c r="Q49" s="109"/>
      <c r="R49" s="109"/>
      <c r="S49" s="109"/>
      <c r="T49" s="76"/>
      <c r="U49" s="76"/>
      <c r="V49" s="1"/>
    </row>
    <row r="50" spans="3:22" x14ac:dyDescent="0.25">
      <c r="C50" s="109"/>
      <c r="D50" s="109"/>
      <c r="E50" s="109"/>
      <c r="F50" s="109"/>
      <c r="G50" s="109"/>
      <c r="H50" s="109"/>
      <c r="I50" s="109"/>
      <c r="J50" s="109"/>
      <c r="K50" s="109"/>
      <c r="L50" s="109"/>
      <c r="M50" s="109"/>
      <c r="N50" s="109"/>
      <c r="O50" s="109"/>
      <c r="P50" s="109"/>
      <c r="Q50" s="109"/>
      <c r="R50" s="109"/>
      <c r="S50" s="109"/>
      <c r="T50" s="76"/>
      <c r="U50" s="76"/>
    </row>
    <row r="51" spans="3:22" x14ac:dyDescent="0.25">
      <c r="C51" s="109"/>
      <c r="D51" s="109"/>
      <c r="E51" s="109"/>
      <c r="F51" s="109"/>
      <c r="G51" s="109"/>
      <c r="H51" s="109"/>
      <c r="I51" s="109"/>
      <c r="J51" s="109"/>
      <c r="K51" s="109"/>
      <c r="L51" s="109"/>
      <c r="M51" s="109"/>
      <c r="N51" s="109"/>
      <c r="O51" s="109"/>
      <c r="P51" s="109"/>
      <c r="Q51" s="109"/>
      <c r="R51" s="109"/>
      <c r="S51" s="109"/>
      <c r="T51" s="76"/>
      <c r="U51" s="76"/>
    </row>
    <row r="52" spans="3:22" x14ac:dyDescent="0.25">
      <c r="C52" s="109"/>
      <c r="D52" s="109"/>
      <c r="E52" s="109"/>
      <c r="F52" s="109"/>
      <c r="G52" s="109"/>
      <c r="H52" s="109"/>
      <c r="I52" s="109"/>
      <c r="J52" s="109"/>
      <c r="K52" s="109"/>
      <c r="L52" s="109"/>
      <c r="M52" s="109"/>
      <c r="N52" s="109"/>
      <c r="O52" s="109"/>
      <c r="P52" s="109"/>
      <c r="Q52" s="109"/>
      <c r="R52" s="109"/>
      <c r="S52" s="109"/>
      <c r="T52" s="76"/>
      <c r="U52" s="76"/>
    </row>
    <row r="53" spans="3:22" x14ac:dyDescent="0.25">
      <c r="C53" s="109"/>
      <c r="D53" s="109"/>
      <c r="E53" s="109"/>
      <c r="F53" s="109"/>
      <c r="G53" s="109"/>
      <c r="H53" s="109"/>
      <c r="I53" s="109"/>
      <c r="J53" s="109"/>
      <c r="K53" s="109"/>
      <c r="L53" s="109"/>
      <c r="M53" s="109"/>
      <c r="N53" s="109"/>
      <c r="O53" s="109"/>
      <c r="P53" s="109"/>
      <c r="Q53" s="109"/>
      <c r="R53" s="109"/>
      <c r="S53" s="109"/>
      <c r="T53" s="76"/>
      <c r="U53" s="10"/>
    </row>
    <row r="54" spans="3:22" x14ac:dyDescent="0.25">
      <c r="C54" s="8"/>
      <c r="D54" s="8"/>
      <c r="E54" s="8"/>
      <c r="F54" s="8"/>
      <c r="G54" s="8"/>
      <c r="H54" s="8"/>
      <c r="I54" s="8"/>
      <c r="J54" s="8"/>
      <c r="K54" s="8"/>
      <c r="L54" s="8"/>
      <c r="M54" s="8"/>
      <c r="N54" s="8"/>
      <c r="O54" s="8"/>
      <c r="P54" s="8"/>
      <c r="Q54" s="8"/>
      <c r="R54" s="8"/>
      <c r="S54" s="8"/>
      <c r="T54" s="76"/>
      <c r="U54" s="10"/>
    </row>
    <row r="55" spans="3:22" x14ac:dyDescent="0.25">
      <c r="C55" s="8"/>
      <c r="D55" s="8"/>
      <c r="E55" s="8"/>
      <c r="F55" s="8"/>
      <c r="G55" s="8"/>
      <c r="H55" s="8"/>
      <c r="I55" s="8"/>
      <c r="J55" s="8"/>
      <c r="K55" s="8"/>
      <c r="L55" s="8"/>
      <c r="M55" s="8"/>
      <c r="N55" s="8"/>
      <c r="O55" s="8"/>
      <c r="P55" s="8"/>
      <c r="Q55" s="8"/>
      <c r="R55" s="8"/>
      <c r="S55" s="8"/>
      <c r="T55" s="76"/>
      <c r="U55" s="10"/>
    </row>
    <row r="56" spans="3:22" x14ac:dyDescent="0.25">
      <c r="C56" s="8"/>
      <c r="D56" s="8"/>
      <c r="E56" s="8"/>
      <c r="F56" s="8"/>
      <c r="G56" s="8"/>
      <c r="H56" s="8"/>
      <c r="I56" s="8"/>
      <c r="J56" s="8"/>
      <c r="K56" s="8"/>
      <c r="L56" s="8"/>
      <c r="M56" s="8"/>
      <c r="N56" s="8"/>
      <c r="O56" s="8"/>
      <c r="P56" s="8"/>
      <c r="Q56" s="8"/>
      <c r="R56" s="8"/>
      <c r="S56" s="8"/>
      <c r="T56" s="76"/>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J26" sqref="J26"/>
    </sheetView>
  </sheetViews>
  <sheetFormatPr defaultRowHeight="15" x14ac:dyDescent="0.25"/>
  <cols>
    <col min="2" max="2" width="21.710937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75"/>
      <c r="E2" s="75"/>
    </row>
    <row r="3" spans="1:20" x14ac:dyDescent="0.25">
      <c r="D3" s="75"/>
      <c r="E3" s="75"/>
    </row>
    <row r="4" spans="1:20" x14ac:dyDescent="0.25">
      <c r="D4" s="75"/>
      <c r="E4" s="75"/>
    </row>
    <row r="5" spans="1:20" x14ac:dyDescent="0.25">
      <c r="D5" s="75"/>
      <c r="E5" s="75"/>
    </row>
    <row r="6" spans="1:20" x14ac:dyDescent="0.25">
      <c r="D6" s="75"/>
      <c r="E6" s="75"/>
    </row>
    <row r="7" spans="1:20" x14ac:dyDescent="0.25">
      <c r="B7" s="258" t="s">
        <v>151</v>
      </c>
      <c r="C7" s="259"/>
      <c r="D7" s="259"/>
      <c r="E7" s="259"/>
      <c r="F7" s="259"/>
      <c r="G7" s="259"/>
      <c r="H7" s="259"/>
      <c r="I7" s="259"/>
      <c r="J7" s="259"/>
      <c r="K7" s="259"/>
      <c r="L7" s="259"/>
      <c r="M7" s="271"/>
    </row>
    <row r="8" spans="1:20" x14ac:dyDescent="0.25">
      <c r="B8" s="260"/>
      <c r="C8" s="261"/>
      <c r="D8" s="261"/>
      <c r="E8" s="261"/>
      <c r="F8" s="261"/>
      <c r="G8" s="261"/>
      <c r="H8" s="261"/>
      <c r="I8" s="261"/>
      <c r="J8" s="261"/>
      <c r="K8" s="261"/>
      <c r="L8" s="261"/>
      <c r="M8" s="272"/>
    </row>
    <row r="9" spans="1:20" ht="15.75" x14ac:dyDescent="0.25">
      <c r="B9" s="66"/>
      <c r="C9" s="66"/>
      <c r="D9" s="74"/>
      <c r="E9" s="74"/>
      <c r="F9" s="66"/>
      <c r="G9" s="66"/>
      <c r="H9" s="74"/>
    </row>
    <row r="10" spans="1:20" ht="15.75" x14ac:dyDescent="0.25">
      <c r="B10" s="330" t="s">
        <v>137</v>
      </c>
      <c r="C10" s="331"/>
      <c r="D10" s="331"/>
      <c r="E10" s="331"/>
      <c r="F10" s="332"/>
      <c r="G10" s="66" t="s">
        <v>138</v>
      </c>
      <c r="H10" s="79">
        <f ca="1">TODAY()</f>
        <v>43396</v>
      </c>
    </row>
    <row r="11" spans="1:20" ht="15.75" x14ac:dyDescent="0.25">
      <c r="B11" s="66"/>
      <c r="C11" s="66"/>
      <c r="D11" s="74"/>
      <c r="E11" s="74"/>
      <c r="F11" s="66"/>
      <c r="G11" s="78"/>
      <c r="H11" s="78"/>
    </row>
    <row r="12" spans="1:20" ht="15.75" customHeight="1" x14ac:dyDescent="0.25">
      <c r="B12" s="66"/>
      <c r="C12" s="66"/>
      <c r="D12" s="74"/>
      <c r="E12" s="74"/>
      <c r="F12" s="66"/>
      <c r="G12" s="78"/>
      <c r="H12" s="78"/>
      <c r="I12" s="333" t="s">
        <v>141</v>
      </c>
      <c r="J12" s="334"/>
      <c r="K12" s="334"/>
      <c r="L12" s="334"/>
      <c r="M12" s="335"/>
      <c r="N12" s="104"/>
      <c r="O12" s="104"/>
    </row>
    <row r="13" spans="1:20" ht="15" customHeight="1" x14ac:dyDescent="0.25">
      <c r="B13" s="308" t="s">
        <v>83</v>
      </c>
      <c r="C13" s="309"/>
      <c r="D13" s="309"/>
      <c r="E13" s="310"/>
      <c r="F13" s="327"/>
      <c r="G13" s="328"/>
      <c r="H13" s="78"/>
      <c r="I13" s="336"/>
      <c r="J13" s="321"/>
      <c r="K13" s="321"/>
      <c r="L13" s="321"/>
      <c r="M13" s="337"/>
      <c r="N13" s="104"/>
      <c r="O13" s="104"/>
    </row>
    <row r="14" spans="1:20" ht="15" customHeight="1" x14ac:dyDescent="0.25">
      <c r="B14" s="314"/>
      <c r="C14" s="326"/>
      <c r="D14" s="326"/>
      <c r="E14" s="316"/>
      <c r="F14" s="327"/>
      <c r="G14" s="329"/>
      <c r="H14" s="78"/>
      <c r="I14" s="336"/>
      <c r="J14" s="321"/>
      <c r="K14" s="321"/>
      <c r="L14" s="321"/>
      <c r="M14" s="337"/>
      <c r="N14" s="104"/>
      <c r="O14" s="104"/>
    </row>
    <row r="15" spans="1:20" ht="15" customHeight="1" x14ac:dyDescent="0.25">
      <c r="D15" s="75"/>
      <c r="E15" s="75"/>
      <c r="F15" s="4"/>
      <c r="I15" s="336"/>
      <c r="J15" s="321"/>
      <c r="K15" s="321"/>
      <c r="L15" s="321"/>
      <c r="M15" s="337"/>
      <c r="N15" s="104"/>
      <c r="O15" s="104"/>
    </row>
    <row r="16" spans="1:20" ht="15" customHeight="1" x14ac:dyDescent="0.25">
      <c r="A16" s="109"/>
      <c r="B16" s="111"/>
      <c r="C16" s="111"/>
      <c r="D16" s="111"/>
      <c r="E16" s="111"/>
      <c r="F16" s="111"/>
      <c r="G16" s="111"/>
      <c r="H16" s="111"/>
      <c r="I16" s="338"/>
      <c r="J16" s="339"/>
      <c r="K16" s="339"/>
      <c r="L16" s="339"/>
      <c r="M16" s="340"/>
      <c r="N16" s="104"/>
      <c r="O16" s="104"/>
      <c r="P16" s="10"/>
      <c r="Q16" s="10"/>
      <c r="R16" s="10"/>
      <c r="S16" s="10"/>
      <c r="T16" s="10"/>
    </row>
    <row r="17" spans="1:20" x14ac:dyDescent="0.25">
      <c r="A17" s="109"/>
      <c r="B17" s="139"/>
      <c r="C17" s="139"/>
      <c r="D17" s="139"/>
      <c r="E17" s="139"/>
      <c r="F17" s="139"/>
      <c r="G17" s="139"/>
      <c r="H17" s="111"/>
      <c r="N17" s="76"/>
      <c r="O17" s="76"/>
      <c r="P17" s="76"/>
      <c r="Q17" s="76"/>
      <c r="R17" s="76"/>
      <c r="S17" s="76"/>
      <c r="T17" s="76"/>
    </row>
    <row r="18" spans="1:20" x14ac:dyDescent="0.25">
      <c r="A18" s="109"/>
      <c r="B18" s="139"/>
      <c r="C18" s="139"/>
      <c r="D18" s="139"/>
      <c r="E18" s="139"/>
      <c r="F18" s="139"/>
      <c r="G18" s="139"/>
      <c r="H18" s="111"/>
      <c r="N18" s="76"/>
      <c r="O18" s="76"/>
      <c r="P18" s="76"/>
      <c r="Q18" s="76"/>
      <c r="R18" s="76"/>
      <c r="S18" s="76"/>
      <c r="T18" s="76"/>
    </row>
    <row r="19" spans="1:20" x14ac:dyDescent="0.25">
      <c r="A19" s="109"/>
      <c r="B19" s="139"/>
      <c r="C19" s="139"/>
      <c r="D19" s="139"/>
      <c r="E19" s="139"/>
      <c r="F19" s="139"/>
      <c r="G19" s="139"/>
      <c r="H19" s="111"/>
      <c r="N19" s="76"/>
      <c r="O19" s="76"/>
      <c r="P19" s="76"/>
      <c r="Q19" s="76"/>
      <c r="R19" s="76"/>
      <c r="S19" s="76"/>
      <c r="T19" s="76"/>
    </row>
    <row r="20" spans="1:20" x14ac:dyDescent="0.25">
      <c r="A20" s="109"/>
      <c r="B20" s="139"/>
      <c r="C20" s="139"/>
      <c r="D20" s="139"/>
      <c r="E20" s="139"/>
      <c r="F20" s="139"/>
      <c r="G20" s="139"/>
      <c r="H20" s="111"/>
      <c r="N20" s="76"/>
      <c r="O20" s="76"/>
      <c r="P20" s="76"/>
      <c r="Q20" s="76"/>
      <c r="R20" s="76"/>
      <c r="S20" s="76"/>
      <c r="T20" s="76"/>
    </row>
    <row r="21" spans="1:20" x14ac:dyDescent="0.25">
      <c r="A21" s="109"/>
      <c r="B21" s="139"/>
      <c r="C21" s="139"/>
      <c r="D21" s="139"/>
      <c r="E21" s="139"/>
      <c r="F21" s="139"/>
      <c r="G21" s="139"/>
      <c r="H21" s="111"/>
      <c r="N21" s="76"/>
      <c r="O21" s="76"/>
      <c r="P21" s="76"/>
      <c r="Q21" s="76"/>
      <c r="R21" s="76"/>
      <c r="S21" s="76"/>
      <c r="T21" s="76"/>
    </row>
    <row r="22" spans="1:20" x14ac:dyDescent="0.25">
      <c r="A22" s="109"/>
      <c r="B22" s="139"/>
      <c r="C22" s="139"/>
      <c r="D22" s="139"/>
      <c r="E22" s="139"/>
      <c r="F22" s="139"/>
      <c r="G22" s="139"/>
      <c r="H22" s="111"/>
      <c r="N22" s="76"/>
      <c r="O22" s="76"/>
      <c r="P22" s="76"/>
      <c r="Q22" s="76"/>
      <c r="R22" s="76"/>
      <c r="S22" s="76"/>
      <c r="T22" s="76"/>
    </row>
    <row r="23" spans="1:20" x14ac:dyDescent="0.25">
      <c r="A23" s="109"/>
      <c r="B23" s="139"/>
      <c r="C23" s="139"/>
      <c r="D23" s="139"/>
      <c r="E23" s="139"/>
      <c r="F23" s="139"/>
      <c r="G23" s="139"/>
      <c r="H23" s="111"/>
      <c r="N23" s="76"/>
      <c r="O23" s="76"/>
      <c r="P23" s="76"/>
      <c r="Q23" s="76"/>
      <c r="R23" s="76"/>
      <c r="S23" s="76"/>
      <c r="T23" s="76"/>
    </row>
    <row r="24" spans="1:20" x14ac:dyDescent="0.25">
      <c r="A24" s="109"/>
      <c r="B24" s="139"/>
      <c r="C24" s="139"/>
      <c r="D24" s="139"/>
      <c r="E24" s="139"/>
      <c r="F24" s="139"/>
      <c r="G24" s="139"/>
      <c r="H24" s="111"/>
      <c r="N24" s="76"/>
      <c r="O24" s="76"/>
      <c r="P24" s="76"/>
      <c r="Q24" s="76"/>
      <c r="R24" s="76"/>
      <c r="S24" s="76"/>
      <c r="T24" s="76"/>
    </row>
    <row r="25" spans="1:20" x14ac:dyDescent="0.25">
      <c r="A25" s="109"/>
      <c r="B25" s="139"/>
      <c r="C25" s="139"/>
      <c r="D25" s="139"/>
      <c r="E25" s="139"/>
      <c r="F25" s="139"/>
      <c r="G25" s="139"/>
      <c r="H25" s="111"/>
      <c r="N25" s="76"/>
      <c r="O25" s="76"/>
      <c r="P25" s="76"/>
      <c r="Q25" s="76"/>
      <c r="R25" s="76"/>
      <c r="S25" s="76"/>
      <c r="T25" s="76"/>
    </row>
    <row r="26" spans="1:20" x14ac:dyDescent="0.25">
      <c r="A26" s="109"/>
      <c r="B26" s="139"/>
      <c r="C26" s="139"/>
      <c r="D26" s="139"/>
      <c r="E26" s="139"/>
      <c r="F26" s="139"/>
      <c r="G26" s="139"/>
      <c r="H26" s="111"/>
      <c r="N26" s="76"/>
      <c r="O26" s="76"/>
      <c r="P26" s="76"/>
      <c r="Q26" s="76"/>
      <c r="R26" s="76"/>
      <c r="S26" s="76"/>
      <c r="T26" s="76"/>
    </row>
    <row r="27" spans="1:20" x14ac:dyDescent="0.25">
      <c r="A27" s="109"/>
      <c r="B27" s="139"/>
      <c r="C27" s="139"/>
      <c r="D27" s="139"/>
      <c r="E27" s="139"/>
      <c r="F27" s="139"/>
      <c r="G27" s="139"/>
      <c r="H27" s="111"/>
      <c r="N27" s="76"/>
      <c r="O27" s="76"/>
      <c r="P27" s="76"/>
      <c r="Q27" s="76"/>
      <c r="R27" s="76"/>
      <c r="S27" s="76"/>
      <c r="T27" s="76"/>
    </row>
    <row r="28" spans="1:20" x14ac:dyDescent="0.25">
      <c r="A28" s="109"/>
      <c r="B28" s="139"/>
      <c r="C28" s="139"/>
      <c r="D28" s="139"/>
      <c r="E28" s="139"/>
      <c r="F28" s="139"/>
      <c r="G28" s="139"/>
      <c r="H28" s="111"/>
      <c r="N28" s="76"/>
      <c r="O28" s="76"/>
      <c r="P28" s="76"/>
      <c r="Q28" s="76"/>
      <c r="R28" s="76"/>
      <c r="S28" s="76"/>
      <c r="T28" s="76"/>
    </row>
    <row r="29" spans="1:20" x14ac:dyDescent="0.25">
      <c r="A29" s="109"/>
      <c r="B29" s="139"/>
      <c r="C29" s="139"/>
      <c r="D29" s="139"/>
      <c r="E29" s="139"/>
      <c r="F29" s="139"/>
      <c r="G29" s="139"/>
      <c r="H29" s="111"/>
      <c r="N29" s="76"/>
      <c r="O29" s="76"/>
      <c r="P29" s="76"/>
      <c r="Q29" s="76"/>
      <c r="R29" s="76"/>
      <c r="S29" s="76"/>
      <c r="T29" s="76"/>
    </row>
    <row r="30" spans="1:20" x14ac:dyDescent="0.25">
      <c r="A30" s="109"/>
      <c r="B30" s="139"/>
      <c r="C30" s="139"/>
      <c r="D30" s="139"/>
      <c r="E30" s="139"/>
      <c r="F30" s="139"/>
      <c r="G30" s="139"/>
      <c r="H30" s="111"/>
      <c r="N30" s="76"/>
      <c r="O30" s="76"/>
      <c r="P30" s="76"/>
      <c r="Q30" s="76"/>
      <c r="R30" s="76"/>
      <c r="S30" s="76"/>
      <c r="T30" s="76"/>
    </row>
    <row r="31" spans="1:20" x14ac:dyDescent="0.25">
      <c r="A31" s="109"/>
      <c r="B31" s="139"/>
      <c r="C31" s="139"/>
      <c r="D31" s="139"/>
      <c r="E31" s="139"/>
      <c r="F31" s="139"/>
      <c r="G31" s="139"/>
      <c r="H31" s="111"/>
      <c r="N31" s="76"/>
      <c r="O31" s="76"/>
      <c r="P31" s="76"/>
      <c r="Q31" s="76"/>
      <c r="R31" s="76"/>
      <c r="S31" s="76"/>
      <c r="T31" s="76"/>
    </row>
    <row r="32" spans="1:20" x14ac:dyDescent="0.25">
      <c r="A32" s="109"/>
      <c r="B32" s="139"/>
      <c r="C32" s="139"/>
      <c r="D32" s="139"/>
      <c r="E32" s="139"/>
      <c r="F32" s="139"/>
      <c r="G32" s="139"/>
      <c r="H32" s="111"/>
      <c r="I32" s="109"/>
      <c r="J32" s="76"/>
      <c r="K32" s="76"/>
      <c r="L32" s="76"/>
      <c r="M32" s="76"/>
      <c r="N32" s="76"/>
      <c r="O32" s="76"/>
      <c r="P32" s="76"/>
      <c r="Q32" s="76"/>
      <c r="R32" s="76"/>
      <c r="S32" s="76"/>
      <c r="T32" s="76"/>
    </row>
    <row r="33" spans="1:20" x14ac:dyDescent="0.25">
      <c r="A33" s="109"/>
      <c r="B33" s="139"/>
      <c r="C33" s="139"/>
      <c r="D33" s="139"/>
      <c r="E33" s="139"/>
      <c r="F33" s="139"/>
      <c r="G33" s="139"/>
      <c r="H33" s="111"/>
      <c r="I33" s="109"/>
      <c r="J33" s="76"/>
      <c r="K33" s="76"/>
      <c r="L33" s="76"/>
      <c r="M33" s="76"/>
      <c r="N33" s="76"/>
      <c r="O33" s="76"/>
      <c r="P33" s="76"/>
      <c r="Q33" s="76"/>
      <c r="R33" s="76"/>
      <c r="S33" s="76"/>
      <c r="T33" s="76"/>
    </row>
    <row r="34" spans="1:20" x14ac:dyDescent="0.25">
      <c r="A34" s="109"/>
      <c r="B34" s="139"/>
      <c r="C34" s="139"/>
      <c r="D34" s="139"/>
      <c r="E34" s="139"/>
      <c r="F34" s="139"/>
      <c r="G34" s="139"/>
      <c r="H34" s="111"/>
      <c r="I34" s="109"/>
      <c r="J34" s="76"/>
      <c r="K34" s="76"/>
      <c r="L34" s="76"/>
      <c r="M34" s="76"/>
      <c r="N34" s="76"/>
      <c r="O34" s="76"/>
      <c r="P34" s="76"/>
      <c r="Q34" s="76"/>
      <c r="R34" s="76"/>
      <c r="S34" s="76"/>
      <c r="T34" s="76"/>
    </row>
    <row r="35" spans="1:20" x14ac:dyDescent="0.25">
      <c r="A35" s="109"/>
      <c r="B35" s="139"/>
      <c r="C35" s="139"/>
      <c r="D35" s="139"/>
      <c r="E35" s="139"/>
      <c r="F35" s="139"/>
      <c r="G35" s="139"/>
      <c r="H35" s="111"/>
      <c r="I35" s="109"/>
      <c r="J35" s="76"/>
      <c r="K35" s="76"/>
      <c r="L35" s="76"/>
      <c r="M35" s="76"/>
      <c r="N35" s="76"/>
      <c r="O35" s="76"/>
      <c r="P35" s="76"/>
      <c r="Q35" s="76"/>
      <c r="R35" s="76"/>
      <c r="S35" s="76"/>
      <c r="T35" s="76"/>
    </row>
    <row r="36" spans="1:20" x14ac:dyDescent="0.25">
      <c r="A36" s="109"/>
      <c r="B36" s="139"/>
      <c r="C36" s="139"/>
      <c r="D36" s="139"/>
      <c r="E36" s="139"/>
      <c r="F36" s="139"/>
      <c r="G36" s="139"/>
      <c r="H36" s="111"/>
      <c r="I36" s="109"/>
      <c r="J36" s="76"/>
      <c r="K36" s="76"/>
      <c r="L36" s="76"/>
      <c r="M36" s="76"/>
      <c r="N36" s="76"/>
      <c r="O36" s="76"/>
      <c r="P36" s="76"/>
      <c r="Q36" s="76"/>
      <c r="R36" s="76"/>
      <c r="S36" s="76"/>
      <c r="T36" s="76"/>
    </row>
    <row r="37" spans="1:20" x14ac:dyDescent="0.25">
      <c r="A37" s="109"/>
      <c r="B37" s="139"/>
      <c r="C37" s="139"/>
      <c r="D37" s="139"/>
      <c r="E37" s="139"/>
      <c r="F37" s="139"/>
      <c r="G37" s="139"/>
      <c r="H37" s="111"/>
      <c r="I37" s="109"/>
      <c r="J37" s="76"/>
      <c r="K37" s="76"/>
      <c r="L37" s="76"/>
      <c r="M37" s="76"/>
      <c r="N37" s="76"/>
      <c r="O37" s="76"/>
      <c r="P37" s="76"/>
      <c r="Q37" s="76"/>
      <c r="R37" s="76"/>
      <c r="S37" s="76"/>
      <c r="T37" s="76"/>
    </row>
    <row r="38" spans="1:20" x14ac:dyDescent="0.25">
      <c r="A38" s="109"/>
      <c r="B38" s="139"/>
      <c r="C38" s="139"/>
      <c r="D38" s="139"/>
      <c r="E38" s="139"/>
      <c r="F38" s="139"/>
      <c r="G38" s="139"/>
      <c r="H38" s="111"/>
      <c r="I38" s="109"/>
      <c r="J38" s="76"/>
      <c r="K38" s="76"/>
      <c r="L38" s="76"/>
      <c r="M38" s="76"/>
      <c r="N38" s="76"/>
      <c r="O38" s="76"/>
      <c r="P38" s="76"/>
      <c r="Q38" s="76"/>
      <c r="R38" s="76"/>
      <c r="S38" s="76"/>
      <c r="T38" s="76"/>
    </row>
    <row r="39" spans="1:20" x14ac:dyDescent="0.25">
      <c r="A39" s="109"/>
      <c r="B39" s="139"/>
      <c r="C39" s="139"/>
      <c r="D39" s="139"/>
      <c r="E39" s="139"/>
      <c r="F39" s="139"/>
      <c r="G39" s="139"/>
      <c r="H39" s="111"/>
      <c r="I39" s="109"/>
      <c r="J39" s="76"/>
      <c r="K39" s="76"/>
      <c r="L39" s="76"/>
      <c r="M39" s="76"/>
      <c r="N39" s="76"/>
      <c r="O39" s="76"/>
      <c r="P39" s="76"/>
      <c r="Q39" s="76"/>
      <c r="R39" s="76"/>
      <c r="S39" s="76"/>
      <c r="T39" s="76"/>
    </row>
    <row r="40" spans="1:20" x14ac:dyDescent="0.25">
      <c r="A40" s="109"/>
      <c r="B40" s="139"/>
      <c r="C40" s="139"/>
      <c r="D40" s="139"/>
      <c r="E40" s="139"/>
      <c r="F40" s="139"/>
      <c r="G40" s="139"/>
      <c r="H40" s="111"/>
      <c r="I40" s="109"/>
      <c r="J40" s="76"/>
      <c r="K40" s="76"/>
      <c r="L40" s="76"/>
      <c r="M40" s="76"/>
      <c r="N40" s="76"/>
      <c r="O40" s="76"/>
      <c r="P40" s="76"/>
      <c r="Q40" s="76"/>
      <c r="R40" s="76"/>
      <c r="S40" s="76"/>
      <c r="T40" s="76"/>
    </row>
    <row r="41" spans="1:20" x14ac:dyDescent="0.25">
      <c r="A41" s="109"/>
      <c r="B41" s="139"/>
      <c r="C41" s="139"/>
      <c r="D41" s="139"/>
      <c r="E41" s="139"/>
      <c r="F41" s="139"/>
      <c r="G41" s="139"/>
      <c r="H41" s="111"/>
      <c r="I41" s="109"/>
      <c r="J41" s="76"/>
      <c r="K41" s="76"/>
      <c r="L41" s="76"/>
      <c r="M41" s="76"/>
      <c r="N41" s="76"/>
      <c r="O41" s="76"/>
      <c r="P41" s="76"/>
      <c r="Q41" s="76"/>
      <c r="R41" s="76"/>
      <c r="S41" s="76"/>
      <c r="T41" s="76"/>
    </row>
    <row r="42" spans="1:20" x14ac:dyDescent="0.25">
      <c r="A42" s="109"/>
      <c r="B42" s="139"/>
      <c r="C42" s="139"/>
      <c r="D42" s="139"/>
      <c r="E42" s="139"/>
      <c r="F42" s="139"/>
      <c r="G42" s="139"/>
      <c r="H42" s="111"/>
      <c r="I42" s="109"/>
      <c r="J42" s="76"/>
      <c r="K42" s="76"/>
      <c r="L42" s="76"/>
      <c r="M42" s="76"/>
      <c r="N42" s="76"/>
      <c r="O42" s="76"/>
      <c r="P42" s="76"/>
      <c r="Q42" s="76"/>
      <c r="R42" s="76"/>
      <c r="S42" s="76"/>
      <c r="T42" s="76"/>
    </row>
    <row r="43" spans="1:20" x14ac:dyDescent="0.25">
      <c r="A43" s="109"/>
      <c r="B43" s="139"/>
      <c r="C43" s="139"/>
      <c r="D43" s="139"/>
      <c r="E43" s="139"/>
      <c r="F43" s="139"/>
      <c r="G43" s="139"/>
      <c r="H43" s="111"/>
      <c r="I43" s="109"/>
      <c r="J43" s="76"/>
      <c r="K43" s="76"/>
      <c r="L43" s="76"/>
      <c r="M43" s="76"/>
      <c r="N43" s="76"/>
      <c r="O43" s="76"/>
      <c r="P43" s="76"/>
      <c r="Q43" s="76"/>
      <c r="R43" s="76"/>
      <c r="S43" s="76"/>
      <c r="T43" s="76"/>
    </row>
    <row r="44" spans="1:20" x14ac:dyDescent="0.25">
      <c r="A44" s="109"/>
      <c r="B44" s="139"/>
      <c r="C44" s="139"/>
      <c r="D44" s="139"/>
      <c r="E44" s="139"/>
      <c r="F44" s="139"/>
      <c r="G44" s="139"/>
      <c r="H44" s="111"/>
      <c r="I44" s="109"/>
      <c r="J44" s="76"/>
      <c r="K44" s="76"/>
      <c r="L44" s="76"/>
      <c r="M44" s="76"/>
      <c r="N44" s="76"/>
      <c r="O44" s="76"/>
      <c r="P44" s="76"/>
      <c r="Q44" s="76"/>
      <c r="R44" s="76"/>
      <c r="S44" s="76"/>
      <c r="T44" s="76"/>
    </row>
    <row r="45" spans="1:20" x14ac:dyDescent="0.25">
      <c r="A45" s="109"/>
      <c r="B45" s="109"/>
      <c r="C45" s="109"/>
      <c r="D45" s="109"/>
      <c r="E45" s="109"/>
      <c r="F45" s="109"/>
      <c r="G45" s="109"/>
      <c r="H45" s="109"/>
      <c r="I45" s="109"/>
      <c r="J45" s="76"/>
      <c r="K45" s="76"/>
      <c r="L45" s="76"/>
      <c r="M45" s="76"/>
      <c r="N45" s="76"/>
      <c r="O45" s="76"/>
      <c r="P45" s="76"/>
      <c r="Q45" s="76"/>
      <c r="R45" s="76"/>
      <c r="S45" s="76"/>
      <c r="T45" s="76"/>
    </row>
    <row r="46" spans="1:20" x14ac:dyDescent="0.25">
      <c r="A46" s="109"/>
      <c r="B46" s="109"/>
      <c r="C46" s="109"/>
      <c r="D46" s="109"/>
      <c r="E46" s="109"/>
      <c r="F46" s="109"/>
      <c r="G46" s="109"/>
      <c r="H46" s="109"/>
      <c r="I46" s="109"/>
      <c r="J46" s="76"/>
      <c r="K46" s="76"/>
      <c r="L46" s="76"/>
      <c r="M46" s="76"/>
      <c r="N46" s="76"/>
      <c r="O46" s="76"/>
      <c r="P46" s="76"/>
      <c r="Q46" s="76"/>
      <c r="R46" s="76"/>
      <c r="S46" s="76"/>
      <c r="T46" s="76"/>
    </row>
    <row r="47" spans="1:20" x14ac:dyDescent="0.25">
      <c r="B47" s="76"/>
      <c r="C47" s="76"/>
      <c r="D47" s="76"/>
      <c r="E47" s="76"/>
      <c r="F47" s="76"/>
      <c r="G47" s="76"/>
      <c r="H47" s="76"/>
      <c r="I47" s="76"/>
      <c r="J47" s="76"/>
      <c r="K47" s="76"/>
      <c r="L47" s="76"/>
      <c r="M47" s="76"/>
      <c r="N47" s="76"/>
      <c r="O47" s="76"/>
      <c r="P47" s="76"/>
      <c r="Q47" s="76"/>
      <c r="R47" s="76"/>
      <c r="S47" s="76"/>
      <c r="T47" s="76"/>
    </row>
    <row r="48" spans="1:20" x14ac:dyDescent="0.25">
      <c r="B48" s="76"/>
      <c r="C48" s="76"/>
      <c r="D48" s="76"/>
      <c r="E48" s="76"/>
      <c r="F48" s="76"/>
      <c r="G48" s="76"/>
      <c r="H48" s="76"/>
      <c r="I48" s="76"/>
      <c r="J48" s="76"/>
      <c r="K48" s="76"/>
      <c r="L48" s="76"/>
      <c r="M48" s="76"/>
      <c r="N48" s="76"/>
      <c r="O48" s="76"/>
      <c r="P48" s="76"/>
      <c r="Q48" s="76"/>
      <c r="R48" s="76"/>
      <c r="S48" s="76"/>
      <c r="T48" s="76"/>
    </row>
    <row r="49" spans="2:20" x14ac:dyDescent="0.25">
      <c r="B49" s="76"/>
      <c r="C49" s="76"/>
      <c r="D49" s="76"/>
      <c r="E49" s="76"/>
      <c r="F49" s="76"/>
      <c r="G49" s="76"/>
      <c r="H49" s="76"/>
      <c r="I49" s="76"/>
      <c r="J49" s="76"/>
      <c r="K49" s="76"/>
      <c r="L49" s="76"/>
      <c r="M49" s="76"/>
      <c r="N49" s="76"/>
      <c r="O49" s="76"/>
      <c r="P49" s="76"/>
      <c r="Q49" s="76"/>
      <c r="R49" s="76"/>
      <c r="S49" s="76"/>
      <c r="T49" s="76"/>
    </row>
    <row r="50" spans="2:20" x14ac:dyDescent="0.25">
      <c r="B50" s="76"/>
      <c r="C50" s="76"/>
      <c r="D50" s="76"/>
      <c r="E50" s="76"/>
      <c r="F50" s="76"/>
      <c r="G50" s="76"/>
      <c r="H50" s="76"/>
      <c r="I50" s="76"/>
      <c r="J50" s="76"/>
      <c r="K50" s="76"/>
      <c r="L50" s="76"/>
      <c r="M50" s="76"/>
      <c r="N50" s="76"/>
      <c r="O50" s="76"/>
      <c r="P50" s="76"/>
      <c r="Q50" s="76"/>
      <c r="R50" s="76"/>
      <c r="S50" s="76"/>
      <c r="T50" s="76"/>
    </row>
    <row r="51" spans="2:20" x14ac:dyDescent="0.25">
      <c r="B51" s="76"/>
      <c r="C51" s="76"/>
      <c r="D51" s="76"/>
      <c r="E51" s="76"/>
      <c r="F51" s="76"/>
      <c r="G51" s="76"/>
      <c r="H51" s="76"/>
      <c r="I51" s="76"/>
      <c r="J51" s="76"/>
      <c r="K51" s="76"/>
      <c r="L51" s="76"/>
      <c r="M51" s="76"/>
      <c r="N51" s="76"/>
      <c r="O51" s="76"/>
      <c r="P51" s="76"/>
      <c r="Q51" s="76"/>
      <c r="R51" s="76"/>
      <c r="S51" s="76"/>
      <c r="T51" s="76"/>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E17" sqref="E17:E20"/>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80"/>
    </row>
    <row r="3" spans="3:16" x14ac:dyDescent="0.25">
      <c r="E3" s="80"/>
    </row>
    <row r="4" spans="3:16" x14ac:dyDescent="0.25">
      <c r="E4" s="80"/>
    </row>
    <row r="5" spans="3:16" x14ac:dyDescent="0.25">
      <c r="E5" s="80"/>
    </row>
    <row r="6" spans="3:16" x14ac:dyDescent="0.25">
      <c r="E6" s="80"/>
      <c r="K6" s="19"/>
      <c r="L6" s="19"/>
      <c r="M6" s="19"/>
      <c r="N6" s="19"/>
      <c r="O6" s="19"/>
      <c r="P6" s="19"/>
    </row>
    <row r="7" spans="3:16" ht="15" customHeight="1" x14ac:dyDescent="0.25">
      <c r="C7" s="333" t="s">
        <v>172</v>
      </c>
      <c r="D7" s="334"/>
      <c r="E7" s="334"/>
      <c r="F7" s="334"/>
      <c r="G7" s="334"/>
      <c r="H7" s="334"/>
      <c r="I7" s="334"/>
      <c r="J7" s="335"/>
      <c r="K7" s="95"/>
      <c r="L7" s="95"/>
      <c r="M7" s="95"/>
      <c r="N7" s="95"/>
      <c r="O7" s="95"/>
      <c r="P7" s="19"/>
    </row>
    <row r="8" spans="3:16" ht="15" customHeight="1" x14ac:dyDescent="0.25">
      <c r="C8" s="338"/>
      <c r="D8" s="339"/>
      <c r="E8" s="339"/>
      <c r="F8" s="339"/>
      <c r="G8" s="339"/>
      <c r="H8" s="339"/>
      <c r="I8" s="339"/>
      <c r="J8" s="340"/>
      <c r="K8" s="95"/>
      <c r="L8" s="95"/>
      <c r="M8" s="95"/>
      <c r="N8" s="95"/>
      <c r="O8" s="95"/>
      <c r="P8" s="19"/>
    </row>
    <row r="9" spans="3:16" ht="15.75" customHeight="1" x14ac:dyDescent="0.25">
      <c r="C9" s="203"/>
      <c r="D9" s="203"/>
      <c r="E9" s="203"/>
      <c r="F9" s="203"/>
      <c r="G9" s="203"/>
      <c r="H9" s="203"/>
      <c r="I9" s="203"/>
      <c r="J9" s="203"/>
      <c r="K9" s="19"/>
      <c r="L9" s="19"/>
      <c r="M9" s="19"/>
      <c r="N9" s="19"/>
      <c r="O9" s="19"/>
      <c r="P9" s="19"/>
    </row>
    <row r="10" spans="3:16" ht="15.75" x14ac:dyDescent="0.25">
      <c r="C10" s="305" t="s">
        <v>173</v>
      </c>
      <c r="D10" s="306"/>
      <c r="E10" s="306"/>
      <c r="F10" s="306"/>
      <c r="G10" s="306"/>
      <c r="H10" s="306"/>
      <c r="I10" s="306"/>
      <c r="J10" s="307"/>
    </row>
    <row r="11" spans="3:16" ht="15.75" x14ac:dyDescent="0.25">
      <c r="C11" s="66"/>
      <c r="D11" s="66"/>
      <c r="E11" s="81"/>
    </row>
    <row r="12" spans="3:16" ht="15" customHeight="1" x14ac:dyDescent="0.25">
      <c r="C12" s="350" t="s">
        <v>88</v>
      </c>
      <c r="D12" s="351"/>
      <c r="E12" s="351"/>
      <c r="F12" s="351"/>
      <c r="G12" s="351"/>
      <c r="H12" s="352"/>
    </row>
    <row r="13" spans="3:16" ht="15" customHeight="1" x14ac:dyDescent="0.25">
      <c r="C13" s="353"/>
      <c r="D13" s="354"/>
      <c r="E13" s="354"/>
      <c r="F13" s="354"/>
      <c r="G13" s="354"/>
      <c r="H13" s="355"/>
    </row>
    <row r="14" spans="3:16" ht="15" customHeight="1" x14ac:dyDescent="0.25"/>
    <row r="15" spans="3:16" ht="15" customHeight="1" x14ac:dyDescent="0.25"/>
    <row r="16" spans="3:16" ht="15" customHeight="1" x14ac:dyDescent="0.25">
      <c r="C16" s="207" t="s">
        <v>2</v>
      </c>
      <c r="D16" s="208" t="s">
        <v>87</v>
      </c>
      <c r="E16" s="209" t="s">
        <v>4</v>
      </c>
      <c r="G16" s="333" t="s">
        <v>142</v>
      </c>
      <c r="H16" s="334"/>
      <c r="I16" s="334"/>
      <c r="J16" s="334"/>
      <c r="K16" s="335"/>
    </row>
    <row r="17" spans="2:11" ht="15.75" customHeight="1" x14ac:dyDescent="0.25">
      <c r="B17" s="68">
        <v>1</v>
      </c>
      <c r="C17" s="176" t="str">
        <f>Scope</f>
        <v>DemoScope</v>
      </c>
      <c r="D17" s="191">
        <f ca="1">Setup!M36</f>
        <v>43396</v>
      </c>
      <c r="E17" s="210"/>
      <c r="G17" s="336"/>
      <c r="H17" s="321"/>
      <c r="I17" s="321"/>
      <c r="J17" s="321"/>
      <c r="K17" s="337"/>
    </row>
    <row r="18" spans="2:11" ht="15.75" customHeight="1" x14ac:dyDescent="0.25">
      <c r="B18" s="69">
        <v>2</v>
      </c>
      <c r="C18" s="176" t="str">
        <f>_xlfn.CONCAT(Scope,"_FX")</f>
        <v>DemoScope_FX</v>
      </c>
      <c r="D18" s="191">
        <f ca="1">Setup!M36</f>
        <v>43396</v>
      </c>
      <c r="E18" s="210"/>
      <c r="G18" s="336"/>
      <c r="H18" s="321"/>
      <c r="I18" s="321"/>
      <c r="J18" s="321"/>
      <c r="K18" s="337"/>
    </row>
    <row r="19" spans="2:11" ht="15.75" customHeight="1" x14ac:dyDescent="0.25">
      <c r="B19" s="69">
        <v>3</v>
      </c>
      <c r="C19" s="176" t="str">
        <f>_xlfn.CONCAT(Scope,"_Accrual")</f>
        <v>DemoScope_Accrual</v>
      </c>
      <c r="D19" s="191">
        <f ca="1">TODAY()</f>
        <v>43396</v>
      </c>
      <c r="E19" s="210"/>
      <c r="G19" s="336"/>
      <c r="H19" s="321"/>
      <c r="I19" s="321"/>
      <c r="J19" s="321"/>
      <c r="K19" s="337"/>
    </row>
    <row r="20" spans="2:11" ht="15.75" customHeight="1" x14ac:dyDescent="0.25">
      <c r="B20" s="69">
        <v>4</v>
      </c>
      <c r="C20" s="82"/>
      <c r="D20" s="192"/>
      <c r="E20" s="210"/>
      <c r="G20" s="338"/>
      <c r="H20" s="339"/>
      <c r="I20" s="339"/>
      <c r="J20" s="339"/>
      <c r="K20" s="340"/>
    </row>
    <row r="21" spans="2:11" x14ac:dyDescent="0.25">
      <c r="B21" s="69">
        <v>5</v>
      </c>
      <c r="C21" s="82"/>
      <c r="D21" s="192"/>
      <c r="E21" s="210"/>
    </row>
    <row r="22" spans="2:11" x14ac:dyDescent="0.25">
      <c r="B22" s="69">
        <v>6</v>
      </c>
      <c r="C22" s="82"/>
      <c r="D22" s="192"/>
      <c r="E22" s="210"/>
    </row>
    <row r="23" spans="2:11" ht="15" customHeight="1" x14ac:dyDescent="0.25">
      <c r="B23" s="69">
        <v>7</v>
      </c>
      <c r="C23" s="82"/>
      <c r="D23" s="192"/>
      <c r="E23" s="210"/>
      <c r="G23" s="341" t="s">
        <v>216</v>
      </c>
      <c r="H23" s="342"/>
      <c r="I23" s="342"/>
      <c r="J23" s="343"/>
    </row>
    <row r="24" spans="2:11" x14ac:dyDescent="0.25">
      <c r="B24" s="69">
        <v>8</v>
      </c>
      <c r="C24" s="82"/>
      <c r="D24" s="192"/>
      <c r="E24" s="210"/>
      <c r="G24" s="344"/>
      <c r="H24" s="345"/>
      <c r="I24" s="345"/>
      <c r="J24" s="346"/>
    </row>
    <row r="25" spans="2:11" x14ac:dyDescent="0.25">
      <c r="B25" s="69">
        <v>9</v>
      </c>
      <c r="C25" s="82"/>
      <c r="D25" s="192"/>
      <c r="E25" s="210"/>
      <c r="G25" s="344"/>
      <c r="H25" s="345"/>
      <c r="I25" s="345"/>
      <c r="J25" s="346"/>
    </row>
    <row r="26" spans="2:11" x14ac:dyDescent="0.25">
      <c r="B26" s="69">
        <v>10</v>
      </c>
      <c r="C26" s="82"/>
      <c r="D26" s="192"/>
      <c r="E26" s="210"/>
      <c r="G26" s="344"/>
      <c r="H26" s="345"/>
      <c r="I26" s="345"/>
      <c r="J26" s="346"/>
    </row>
    <row r="27" spans="2:11" x14ac:dyDescent="0.25">
      <c r="B27" s="69">
        <v>11</v>
      </c>
      <c r="C27" s="82"/>
      <c r="D27" s="192"/>
      <c r="E27" s="210"/>
      <c r="G27" s="344"/>
      <c r="H27" s="345"/>
      <c r="I27" s="345"/>
      <c r="J27" s="346"/>
    </row>
    <row r="28" spans="2:11" x14ac:dyDescent="0.25">
      <c r="B28" s="69">
        <v>12</v>
      </c>
      <c r="C28" s="82"/>
      <c r="D28" s="192"/>
      <c r="E28" s="210"/>
      <c r="G28" s="344"/>
      <c r="H28" s="345"/>
      <c r="I28" s="345"/>
      <c r="J28" s="346"/>
    </row>
    <row r="29" spans="2:11" x14ac:dyDescent="0.25">
      <c r="B29" s="69">
        <v>13</v>
      </c>
      <c r="C29" s="82"/>
      <c r="D29" s="192"/>
      <c r="E29" s="210"/>
      <c r="G29" s="344"/>
      <c r="H29" s="345"/>
      <c r="I29" s="345"/>
      <c r="J29" s="346"/>
    </row>
    <row r="30" spans="2:11" x14ac:dyDescent="0.25">
      <c r="B30" s="69">
        <v>14</v>
      </c>
      <c r="C30" s="82"/>
      <c r="D30" s="192"/>
      <c r="E30" s="210"/>
      <c r="G30" s="344"/>
      <c r="H30" s="345"/>
      <c r="I30" s="345"/>
      <c r="J30" s="346"/>
    </row>
    <row r="31" spans="2:11" x14ac:dyDescent="0.25">
      <c r="B31" s="69">
        <v>15</v>
      </c>
      <c r="C31" s="82"/>
      <c r="D31" s="192"/>
      <c r="E31" s="210"/>
      <c r="G31" s="347"/>
      <c r="H31" s="348"/>
      <c r="I31" s="348"/>
      <c r="J31" s="349"/>
    </row>
    <row r="32" spans="2:11" x14ac:dyDescent="0.25">
      <c r="B32" s="69">
        <v>16</v>
      </c>
      <c r="C32" s="82"/>
      <c r="D32" s="192"/>
      <c r="E32" s="210"/>
    </row>
    <row r="33" spans="2:5" x14ac:dyDescent="0.25">
      <c r="B33" s="69">
        <v>17</v>
      </c>
      <c r="C33" s="82"/>
      <c r="D33" s="192"/>
      <c r="E33" s="210"/>
    </row>
    <row r="34" spans="2:5" x14ac:dyDescent="0.25">
      <c r="B34" s="69">
        <v>18</v>
      </c>
      <c r="C34" s="82"/>
      <c r="D34" s="192"/>
      <c r="E34" s="210"/>
    </row>
    <row r="35" spans="2:5" x14ac:dyDescent="0.25">
      <c r="B35" s="69">
        <v>19</v>
      </c>
      <c r="C35" s="82"/>
      <c r="D35" s="192"/>
      <c r="E35" s="210"/>
    </row>
    <row r="36" spans="2:5" x14ac:dyDescent="0.25">
      <c r="B36" s="69">
        <v>20</v>
      </c>
      <c r="C36" s="82"/>
      <c r="D36" s="192"/>
      <c r="E36" s="210"/>
    </row>
    <row r="37" spans="2:5" x14ac:dyDescent="0.25">
      <c r="B37" s="69">
        <v>21</v>
      </c>
      <c r="C37" s="82"/>
      <c r="D37" s="192"/>
      <c r="E37" s="210"/>
    </row>
    <row r="38" spans="2:5" x14ac:dyDescent="0.25">
      <c r="B38" s="69">
        <v>22</v>
      </c>
      <c r="C38" s="82"/>
      <c r="D38" s="192"/>
      <c r="E38" s="210"/>
    </row>
    <row r="39" spans="2:5" x14ac:dyDescent="0.25">
      <c r="B39" s="69">
        <v>23</v>
      </c>
      <c r="C39" s="82"/>
      <c r="D39" s="192"/>
      <c r="E39" s="210"/>
    </row>
    <row r="40" spans="2:5" x14ac:dyDescent="0.25">
      <c r="B40" s="69">
        <v>24</v>
      </c>
      <c r="C40" s="82"/>
      <c r="D40" s="192"/>
      <c r="E40" s="210"/>
    </row>
    <row r="41" spans="2:5" x14ac:dyDescent="0.25">
      <c r="B41" s="69">
        <v>25</v>
      </c>
      <c r="C41" s="82"/>
      <c r="D41" s="192"/>
      <c r="E41" s="210"/>
    </row>
    <row r="42" spans="2:5" x14ac:dyDescent="0.25">
      <c r="B42" s="69">
        <v>26</v>
      </c>
      <c r="C42" s="82"/>
      <c r="D42" s="192"/>
      <c r="E42" s="211"/>
    </row>
    <row r="43" spans="2:5" x14ac:dyDescent="0.25">
      <c r="B43" s="69">
        <v>27</v>
      </c>
      <c r="C43" s="82"/>
      <c r="D43" s="192"/>
      <c r="E43" s="211"/>
    </row>
    <row r="44" spans="2:5" x14ac:dyDescent="0.25">
      <c r="B44" s="69">
        <v>28</v>
      </c>
      <c r="C44" s="82"/>
      <c r="D44" s="192"/>
      <c r="E44" s="211"/>
    </row>
    <row r="45" spans="2:5" x14ac:dyDescent="0.25">
      <c r="B45" s="69">
        <v>29</v>
      </c>
      <c r="C45" s="82"/>
      <c r="D45" s="192"/>
      <c r="E45" s="211"/>
    </row>
    <row r="46" spans="2:5" x14ac:dyDescent="0.25">
      <c r="B46" s="67">
        <v>30</v>
      </c>
      <c r="C46" s="83"/>
      <c r="D46" s="193"/>
      <c r="E46" s="212"/>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E17" sqref="E17"/>
    </sheetView>
  </sheetViews>
  <sheetFormatPr defaultRowHeight="15" x14ac:dyDescent="0.25"/>
  <cols>
    <col min="2" max="2" width="4.140625" customWidth="1"/>
    <col min="3" max="3" width="7.85546875" customWidth="1"/>
    <col min="4" max="4" width="5.7109375" customWidth="1"/>
    <col min="5" max="5" width="43.85546875" customWidth="1"/>
    <col min="6" max="6" width="21.28515625" style="80" customWidth="1"/>
    <col min="7" max="7" width="14.85546875" style="73" customWidth="1"/>
    <col min="8" max="8" width="11.5703125" bestFit="1" customWidth="1"/>
  </cols>
  <sheetData>
    <row r="8" spans="3:11" ht="15.75" customHeight="1" x14ac:dyDescent="0.25">
      <c r="C8" s="333" t="s">
        <v>171</v>
      </c>
      <c r="D8" s="334"/>
      <c r="E8" s="334"/>
      <c r="F8" s="334"/>
      <c r="G8" s="334"/>
      <c r="H8" s="335"/>
      <c r="I8" s="104"/>
      <c r="J8" s="356">
        <f ca="1">'Setup Analytics'!D17</f>
        <v>43396</v>
      </c>
      <c r="K8" s="357"/>
    </row>
    <row r="9" spans="3:11" ht="15" customHeight="1" x14ac:dyDescent="0.25">
      <c r="C9" s="338"/>
      <c r="D9" s="339"/>
      <c r="E9" s="339"/>
      <c r="F9" s="339"/>
      <c r="G9" s="339"/>
      <c r="H9" s="340"/>
      <c r="I9" s="104"/>
      <c r="J9" s="357"/>
      <c r="K9" s="357"/>
    </row>
    <row r="10" spans="3:11" ht="15" customHeight="1" x14ac:dyDescent="0.25">
      <c r="C10" s="66"/>
      <c r="D10" s="66"/>
      <c r="E10" s="66"/>
      <c r="F10" s="81"/>
    </row>
    <row r="11" spans="3:11" ht="15.75" x14ac:dyDescent="0.25">
      <c r="C11" s="305" t="s">
        <v>81</v>
      </c>
      <c r="D11" s="306"/>
      <c r="E11" s="306"/>
      <c r="F11" s="306"/>
      <c r="G11" s="306"/>
      <c r="H11" s="307"/>
    </row>
    <row r="12" spans="3:11" ht="15.75" x14ac:dyDescent="0.25">
      <c r="C12" s="66"/>
      <c r="D12" s="66"/>
      <c r="E12" s="66"/>
      <c r="F12" s="81"/>
    </row>
    <row r="13" spans="3:11" ht="15" customHeight="1" x14ac:dyDescent="0.25">
      <c r="C13" s="358" t="s">
        <v>174</v>
      </c>
      <c r="D13" s="359"/>
      <c r="E13" s="359"/>
      <c r="F13" s="359"/>
      <c r="G13" s="359"/>
      <c r="H13" s="360"/>
    </row>
    <row r="14" spans="3:11" x14ac:dyDescent="0.25">
      <c r="C14" s="361"/>
      <c r="D14" s="362"/>
      <c r="E14" s="362"/>
      <c r="F14" s="362"/>
      <c r="G14" s="362"/>
      <c r="H14" s="363"/>
    </row>
    <row r="16" spans="3:11" ht="15" customHeight="1" x14ac:dyDescent="0.25">
      <c r="C16" s="364" t="s">
        <v>89</v>
      </c>
      <c r="D16" s="365"/>
      <c r="E16" s="365"/>
      <c r="F16" s="365"/>
      <c r="G16" s="365"/>
      <c r="H16" s="366"/>
      <c r="I16" s="1"/>
      <c r="J16" s="1"/>
    </row>
    <row r="17" spans="3:12" x14ac:dyDescent="0.25">
      <c r="H17" s="76"/>
      <c r="I17" s="76"/>
      <c r="J17" s="76"/>
    </row>
    <row r="18" spans="3:12" ht="15.75" thickBot="1" x14ac:dyDescent="0.3">
      <c r="C18" s="6"/>
      <c r="D18" s="6"/>
      <c r="E18" s="86" t="s">
        <v>235</v>
      </c>
      <c r="F18" s="87" t="s">
        <v>85</v>
      </c>
      <c r="G18" s="87" t="s">
        <v>164</v>
      </c>
      <c r="H18" s="205" t="s">
        <v>46</v>
      </c>
      <c r="I18" s="76"/>
      <c r="J18" s="76"/>
    </row>
    <row r="19" spans="3:12" ht="15.75" thickTop="1" x14ac:dyDescent="0.25">
      <c r="D19" s="29">
        <v>1</v>
      </c>
      <c r="E19" s="122" t="str">
        <f>IF(Setup!D14="",NA(),Setup!D14)</f>
        <v>FIGI_BBG00JVF3738</v>
      </c>
      <c r="F19" s="88">
        <v>1</v>
      </c>
      <c r="G19" s="194" t="s">
        <v>162</v>
      </c>
      <c r="H19" s="84"/>
    </row>
    <row r="20" spans="3:12" x14ac:dyDescent="0.25">
      <c r="D20" s="29">
        <v>2</v>
      </c>
      <c r="E20" s="122" t="str">
        <f>IF(Setup!D15="",NA(),Setup!D15)</f>
        <v>FIGI_BBG00DKL90B0</v>
      </c>
      <c r="F20" s="88">
        <v>1</v>
      </c>
      <c r="G20" s="194" t="s">
        <v>162</v>
      </c>
      <c r="H20" s="84"/>
    </row>
    <row r="21" spans="3:12" x14ac:dyDescent="0.25">
      <c r="D21" s="29">
        <v>3</v>
      </c>
      <c r="E21" s="122" t="str">
        <f>IF(Setup!D16="",NA(),Setup!D16)</f>
        <v>FIGI_BBG00DKL91M6</v>
      </c>
      <c r="F21" s="88">
        <v>1</v>
      </c>
      <c r="G21" s="194" t="s">
        <v>162</v>
      </c>
      <c r="H21" s="84"/>
    </row>
    <row r="22" spans="3:12" x14ac:dyDescent="0.25">
      <c r="D22" s="29">
        <v>4</v>
      </c>
      <c r="E22" s="122" t="str">
        <f>IF(Setup!D17="",NA(),Setup!D17)</f>
        <v>FIGI_BBG00FDG24R6</v>
      </c>
      <c r="F22" s="88">
        <v>1</v>
      </c>
      <c r="G22" s="194" t="s">
        <v>162</v>
      </c>
      <c r="H22" s="84"/>
    </row>
    <row r="23" spans="3:12" x14ac:dyDescent="0.25">
      <c r="D23" s="29">
        <v>5</v>
      </c>
      <c r="E23" s="122" t="str">
        <f>IF(Setup!D18="",NA(),Setup!D18)</f>
        <v>FIGI_BBG00DKL91L7</v>
      </c>
      <c r="F23" s="88">
        <v>1</v>
      </c>
      <c r="G23" s="194" t="s">
        <v>162</v>
      </c>
      <c r="H23" s="84"/>
    </row>
    <row r="24" spans="3:12" x14ac:dyDescent="0.25">
      <c r="D24" s="29">
        <v>6</v>
      </c>
      <c r="E24" s="122" t="str">
        <f>IF(Setup!D19="",NA(),Setup!D19)</f>
        <v>FIGI_BBG00FB2C3M5</v>
      </c>
      <c r="F24" s="88">
        <v>1</v>
      </c>
      <c r="G24" s="194" t="s">
        <v>162</v>
      </c>
      <c r="H24" s="84"/>
    </row>
    <row r="25" spans="3:12" x14ac:dyDescent="0.25">
      <c r="D25" s="29">
        <v>7</v>
      </c>
      <c r="E25" s="122" t="str">
        <f>IF(Setup!D20="",NA(),Setup!D20)</f>
        <v>FIGI_BBG00FJ5L0H2</v>
      </c>
      <c r="F25" s="88">
        <v>1</v>
      </c>
      <c r="G25" s="194" t="s">
        <v>162</v>
      </c>
      <c r="H25" s="84"/>
    </row>
    <row r="26" spans="3:12" x14ac:dyDescent="0.25">
      <c r="D26" s="29">
        <v>8</v>
      </c>
      <c r="E26" s="122" t="str">
        <f>IF(Setup!D21="",NA(),Setup!D21)</f>
        <v>FIGI_BBG00FJ5L0Q2</v>
      </c>
      <c r="F26" s="88">
        <v>1</v>
      </c>
      <c r="G26" s="194" t="s">
        <v>162</v>
      </c>
      <c r="H26" s="84"/>
    </row>
    <row r="27" spans="3:12" x14ac:dyDescent="0.25">
      <c r="D27" s="29">
        <v>9</v>
      </c>
      <c r="E27" s="122" t="str">
        <f>IF(Setup!D22="",NA(),Setup!D22)</f>
        <v>FIGI_BBG000C5GF49</v>
      </c>
      <c r="F27" s="88">
        <v>1</v>
      </c>
      <c r="G27" s="194" t="s">
        <v>162</v>
      </c>
      <c r="H27" s="84"/>
    </row>
    <row r="28" spans="3:12" x14ac:dyDescent="0.25">
      <c r="D28" s="29">
        <v>10</v>
      </c>
      <c r="E28" s="122" t="str">
        <f>IF(Setup!D23="",NA(),Setup!D23)</f>
        <v>FIGI_BBG000C45QW9</v>
      </c>
      <c r="F28" s="88">
        <v>1</v>
      </c>
      <c r="G28" s="194" t="s">
        <v>162</v>
      </c>
      <c r="H28" s="84"/>
    </row>
    <row r="29" spans="3:12" x14ac:dyDescent="0.25">
      <c r="D29" s="29">
        <v>11</v>
      </c>
      <c r="E29" s="122" t="str">
        <f>IF(Setup!D24="",NA(),Setup!D24)</f>
        <v>FIGI_BBG00GZY0K24</v>
      </c>
      <c r="F29" s="88">
        <v>1</v>
      </c>
      <c r="G29" s="194" t="s">
        <v>162</v>
      </c>
      <c r="H29" s="84"/>
      <c r="J29" s="341" t="s">
        <v>90</v>
      </c>
      <c r="K29" s="342"/>
      <c r="L29" s="343"/>
    </row>
    <row r="30" spans="3:12" x14ac:dyDescent="0.25">
      <c r="D30" s="29">
        <v>12</v>
      </c>
      <c r="E30" s="122" t="str">
        <f>IF(Setup!D25="",NA(),Setup!D25)</f>
        <v>FIGI_BBG00GZXXVG1</v>
      </c>
      <c r="F30" s="88">
        <v>1</v>
      </c>
      <c r="G30" s="194" t="s">
        <v>162</v>
      </c>
      <c r="H30" s="84"/>
      <c r="J30" s="344"/>
      <c r="K30" s="345"/>
      <c r="L30" s="346"/>
    </row>
    <row r="31" spans="3:12" x14ac:dyDescent="0.25">
      <c r="D31" s="29">
        <v>13</v>
      </c>
      <c r="E31" s="122" t="str">
        <f>IF(Setup!D26="",NA(),Setup!D26)</f>
        <v>FIGI_BBG007V3VDW5</v>
      </c>
      <c r="F31" s="88">
        <v>1</v>
      </c>
      <c r="G31" s="194" t="s">
        <v>162</v>
      </c>
      <c r="H31" s="84"/>
      <c r="J31" s="344"/>
      <c r="K31" s="345"/>
      <c r="L31" s="346"/>
    </row>
    <row r="32" spans="3:12" x14ac:dyDescent="0.25">
      <c r="D32" s="29">
        <v>14</v>
      </c>
      <c r="E32" s="122" t="str">
        <f>IF(Setup!D27="",NA(),Setup!D27)</f>
        <v>FIGI_BBG000GM7Q26</v>
      </c>
      <c r="F32" s="88">
        <v>1</v>
      </c>
      <c r="G32" s="194" t="s">
        <v>162</v>
      </c>
      <c r="H32" s="84"/>
      <c r="J32" s="344"/>
      <c r="K32" s="345"/>
      <c r="L32" s="346"/>
    </row>
    <row r="33" spans="3:12" x14ac:dyDescent="0.25">
      <c r="D33" s="29">
        <v>15</v>
      </c>
      <c r="E33" s="122" t="str">
        <f>IF(Setup!D28="",NA(),Setup!D28)</f>
        <v>FIGI_BBG000V7VSG6</v>
      </c>
      <c r="F33" s="88">
        <v>1</v>
      </c>
      <c r="G33" s="194" t="s">
        <v>162</v>
      </c>
      <c r="H33" s="84"/>
      <c r="J33" s="344"/>
      <c r="K33" s="345"/>
      <c r="L33" s="346"/>
    </row>
    <row r="34" spans="3:12" x14ac:dyDescent="0.25">
      <c r="D34" s="29">
        <v>16</v>
      </c>
      <c r="E34" s="122" t="str">
        <f>IF(Setup!D29="",NA(),Setup!D29)</f>
        <v>FIGI_BBG000F8XRF3</v>
      </c>
      <c r="F34" s="88">
        <v>1</v>
      </c>
      <c r="G34" s="194" t="s">
        <v>162</v>
      </c>
      <c r="H34" s="84"/>
      <c r="J34" s="344"/>
      <c r="K34" s="345"/>
      <c r="L34" s="346"/>
    </row>
    <row r="35" spans="3:12" x14ac:dyDescent="0.25">
      <c r="D35" s="29">
        <v>17</v>
      </c>
      <c r="E35" s="122" t="str">
        <f>IF(Setup!D30="",NA(),Setup!D30)</f>
        <v>FIGI_BBG000RH4VW4</v>
      </c>
      <c r="F35" s="88">
        <v>1</v>
      </c>
      <c r="G35" s="194" t="s">
        <v>162</v>
      </c>
      <c r="H35" s="84"/>
      <c r="J35" s="347"/>
      <c r="K35" s="348"/>
      <c r="L35" s="349"/>
    </row>
    <row r="36" spans="3:12" x14ac:dyDescent="0.25">
      <c r="D36" s="29">
        <v>18</v>
      </c>
      <c r="E36" s="122" t="str">
        <f>IF(Setup!D31="",NA(),Setup!D31)</f>
        <v>FIGI_BBG000R173D9</v>
      </c>
      <c r="F36" s="88">
        <v>1</v>
      </c>
      <c r="G36" s="194" t="s">
        <v>162</v>
      </c>
      <c r="H36" s="84"/>
    </row>
    <row r="37" spans="3:12" x14ac:dyDescent="0.25">
      <c r="D37" s="29">
        <v>19</v>
      </c>
      <c r="E37" s="122" t="str">
        <f>IF(Setup!D32="",NA(),Setup!D32)</f>
        <v>FIGI_BBG001HQYT28</v>
      </c>
      <c r="F37" s="88">
        <v>1</v>
      </c>
      <c r="G37" s="194" t="s">
        <v>162</v>
      </c>
      <c r="H37" s="84"/>
    </row>
    <row r="38" spans="3:12" x14ac:dyDescent="0.25">
      <c r="D38" s="29">
        <v>20</v>
      </c>
      <c r="E38" s="122" t="str">
        <f>IF(Setup!D33="",NA(),Setup!D33)</f>
        <v>FIGI_BBG0037S1FD5</v>
      </c>
      <c r="F38" s="88">
        <v>1</v>
      </c>
      <c r="G38" s="194" t="s">
        <v>162</v>
      </c>
      <c r="H38" s="84"/>
    </row>
    <row r="39" spans="3:12" x14ac:dyDescent="0.25">
      <c r="D39" s="29">
        <v>21</v>
      </c>
      <c r="E39" s="122" t="str">
        <f>IF(Setup!D34="",NA(),Setup!D34)</f>
        <v>FIGI_BBG001B81KF5</v>
      </c>
      <c r="F39" s="88">
        <v>1</v>
      </c>
      <c r="G39" s="194" t="s">
        <v>162</v>
      </c>
      <c r="H39" s="84"/>
    </row>
    <row r="40" spans="3:12" x14ac:dyDescent="0.25">
      <c r="D40" s="29">
        <v>22</v>
      </c>
      <c r="E40" s="122" t="str">
        <f>IF(Setup!D35="",NA(),Setup!D35)</f>
        <v>FIGI_BBG0034YPJG8</v>
      </c>
      <c r="F40" s="88">
        <v>1</v>
      </c>
      <c r="G40" s="194" t="s">
        <v>162</v>
      </c>
      <c r="H40" s="84"/>
    </row>
    <row r="41" spans="3:12" x14ac:dyDescent="0.25">
      <c r="D41" s="29">
        <v>23</v>
      </c>
      <c r="E41" s="122" t="str">
        <f>IF(Setup!D36="",NA(),Setup!D36)</f>
        <v>FIGI_BBG0034YQ808</v>
      </c>
      <c r="F41" s="88">
        <v>1</v>
      </c>
      <c r="G41" s="194" t="s">
        <v>162</v>
      </c>
      <c r="H41" s="84"/>
    </row>
    <row r="42" spans="3:12" x14ac:dyDescent="0.25">
      <c r="D42" s="29">
        <v>24</v>
      </c>
      <c r="E42" s="122" t="str">
        <f>IF(Setup!D37="",NA(),Setup!D37)</f>
        <v>FIGI_BBG004733FZ2</v>
      </c>
      <c r="F42" s="88">
        <v>1</v>
      </c>
      <c r="G42" s="194" t="s">
        <v>162</v>
      </c>
      <c r="H42" s="84"/>
    </row>
    <row r="43" spans="3:12" x14ac:dyDescent="0.25">
      <c r="D43" s="29">
        <v>25</v>
      </c>
      <c r="E43" s="122" t="str">
        <f>IF(Setup!D38="",NA(),Setup!D38)</f>
        <v>FIGI_BBG004XQG9D6</v>
      </c>
      <c r="F43" s="88">
        <v>1</v>
      </c>
      <c r="G43" s="194" t="s">
        <v>162</v>
      </c>
      <c r="H43" s="84"/>
    </row>
    <row r="44" spans="3:12" x14ac:dyDescent="0.25">
      <c r="D44" s="29">
        <v>26</v>
      </c>
      <c r="E44" s="122" t="str">
        <f>IF(Setup!D39="",NA(),Setup!D39)</f>
        <v>FIGI_BBG003BJ6K44</v>
      </c>
      <c r="F44" s="88">
        <v>1</v>
      </c>
      <c r="G44" s="194" t="s">
        <v>162</v>
      </c>
      <c r="H44" s="84"/>
    </row>
    <row r="45" spans="3:12" x14ac:dyDescent="0.25">
      <c r="D45" s="29">
        <v>27</v>
      </c>
      <c r="E45" s="122" t="e">
        <f>IF(Setup!D40="",NA(),Setup!D40)</f>
        <v>#N/A</v>
      </c>
      <c r="F45" s="88"/>
      <c r="G45" s="194"/>
      <c r="H45" s="84"/>
    </row>
    <row r="46" spans="3:12" x14ac:dyDescent="0.25">
      <c r="D46" s="29">
        <v>28</v>
      </c>
      <c r="E46" s="122" t="e">
        <f>IF(Setup!D41="",NA(),Setup!D41)</f>
        <v>#N/A</v>
      </c>
      <c r="F46" s="88"/>
      <c r="G46" s="194"/>
      <c r="H46" s="84"/>
    </row>
    <row r="47" spans="3:12" x14ac:dyDescent="0.25">
      <c r="D47" s="29">
        <v>29</v>
      </c>
      <c r="E47" s="122" t="e">
        <f>IF(Setup!D42="",NA(),Setup!D42)</f>
        <v>#N/A</v>
      </c>
      <c r="F47" s="88"/>
      <c r="G47" s="88"/>
      <c r="H47" s="84"/>
    </row>
    <row r="48" spans="3:12" x14ac:dyDescent="0.25">
      <c r="C48" s="30"/>
      <c r="D48" s="29">
        <v>30</v>
      </c>
      <c r="E48" s="159" t="e">
        <f>IF(Setup!D43="",NA(),Setup!D43)</f>
        <v>#N/A</v>
      </c>
      <c r="F48" s="160"/>
      <c r="G48" s="160"/>
      <c r="H48" s="85"/>
    </row>
    <row r="52" spans="5:9" x14ac:dyDescent="0.25">
      <c r="E52" s="333" t="s">
        <v>143</v>
      </c>
      <c r="F52" s="334"/>
      <c r="G52" s="334"/>
      <c r="H52" s="334"/>
      <c r="I52" s="335"/>
    </row>
    <row r="53" spans="5:9" x14ac:dyDescent="0.25">
      <c r="E53" s="336"/>
      <c r="F53" s="321"/>
      <c r="G53" s="321"/>
      <c r="H53" s="321"/>
      <c r="I53" s="337"/>
    </row>
    <row r="54" spans="5:9" x14ac:dyDescent="0.25">
      <c r="E54" s="336"/>
      <c r="F54" s="321"/>
      <c r="G54" s="321"/>
      <c r="H54" s="321"/>
      <c r="I54" s="337"/>
    </row>
    <row r="55" spans="5:9" x14ac:dyDescent="0.25">
      <c r="E55" s="336"/>
      <c r="F55" s="321"/>
      <c r="G55" s="321"/>
      <c r="H55" s="321"/>
      <c r="I55" s="337"/>
    </row>
    <row r="56" spans="5:9" x14ac:dyDescent="0.25">
      <c r="E56" s="338"/>
      <c r="F56" s="339"/>
      <c r="G56" s="339"/>
      <c r="H56" s="339"/>
      <c r="I56" s="340"/>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G17" sqref="G17"/>
    </sheetView>
  </sheetViews>
  <sheetFormatPr defaultRowHeight="15" x14ac:dyDescent="0.25"/>
  <cols>
    <col min="1" max="1" width="9.140625" style="109"/>
    <col min="4" max="4" width="27.42578125" customWidth="1"/>
    <col min="5" max="5" width="10.42578125" customWidth="1"/>
    <col min="6" max="6" width="14.140625" customWidth="1"/>
  </cols>
  <sheetData>
    <row r="1" spans="2:17" x14ac:dyDescent="0.25">
      <c r="B1" s="109"/>
      <c r="C1" s="109"/>
      <c r="D1" s="109"/>
      <c r="E1" s="80"/>
      <c r="F1" s="73"/>
      <c r="G1" s="109"/>
      <c r="H1" s="109"/>
      <c r="I1" s="109"/>
      <c r="J1" s="109"/>
      <c r="K1" s="109"/>
      <c r="L1" s="109"/>
    </row>
    <row r="2" spans="2:17" x14ac:dyDescent="0.25">
      <c r="B2" s="109"/>
      <c r="C2" s="109"/>
      <c r="D2" s="109"/>
      <c r="E2" s="80"/>
      <c r="F2" s="73"/>
      <c r="G2" s="109"/>
      <c r="H2" s="109"/>
      <c r="I2" s="109"/>
      <c r="J2" s="109"/>
      <c r="K2" s="109"/>
      <c r="L2" s="109"/>
    </row>
    <row r="3" spans="2:17" x14ac:dyDescent="0.25">
      <c r="B3" s="109"/>
      <c r="C3" s="109"/>
      <c r="D3" s="109"/>
      <c r="E3" s="80"/>
      <c r="F3" s="73"/>
      <c r="G3" s="109"/>
      <c r="H3" s="109"/>
      <c r="I3" s="109"/>
      <c r="J3" s="109"/>
      <c r="K3" s="109"/>
      <c r="L3" s="109"/>
    </row>
    <row r="4" spans="2:17" x14ac:dyDescent="0.25">
      <c r="B4" s="109"/>
      <c r="C4" s="109"/>
      <c r="D4" s="109"/>
      <c r="E4" s="80"/>
      <c r="F4" s="73"/>
      <c r="G4" s="109"/>
      <c r="H4" s="109"/>
      <c r="I4" s="109"/>
      <c r="J4" s="109"/>
      <c r="K4" s="109"/>
      <c r="L4" s="109"/>
    </row>
    <row r="5" spans="2:17" x14ac:dyDescent="0.25">
      <c r="B5" s="109"/>
      <c r="C5" s="109"/>
      <c r="D5" s="109"/>
      <c r="E5" s="80"/>
      <c r="F5" s="73"/>
      <c r="G5" s="109"/>
      <c r="H5" s="109"/>
      <c r="I5" s="109"/>
      <c r="J5" s="109"/>
      <c r="K5" s="109"/>
      <c r="L5" s="109"/>
    </row>
    <row r="6" spans="2:17" x14ac:dyDescent="0.25">
      <c r="B6" s="258" t="s">
        <v>170</v>
      </c>
      <c r="C6" s="259"/>
      <c r="D6" s="259"/>
      <c r="E6" s="259"/>
      <c r="F6" s="259"/>
      <c r="G6" s="259"/>
      <c r="H6" s="259"/>
      <c r="I6" s="271"/>
      <c r="J6" s="109"/>
      <c r="K6" s="356">
        <f ca="1">TODAY()</f>
        <v>43396</v>
      </c>
      <c r="L6" s="357"/>
    </row>
    <row r="7" spans="2:17" x14ac:dyDescent="0.25">
      <c r="B7" s="260"/>
      <c r="C7" s="261"/>
      <c r="D7" s="261"/>
      <c r="E7" s="261"/>
      <c r="F7" s="261"/>
      <c r="G7" s="261"/>
      <c r="H7" s="261"/>
      <c r="I7" s="272"/>
      <c r="J7" s="109"/>
      <c r="K7" s="357"/>
      <c r="L7" s="357"/>
    </row>
    <row r="8" spans="2:17" ht="15.75" x14ac:dyDescent="0.25">
      <c r="B8" s="66"/>
      <c r="C8" s="66"/>
      <c r="D8" s="66"/>
      <c r="E8" s="81"/>
      <c r="F8" s="73"/>
      <c r="G8" s="109"/>
      <c r="H8" s="109"/>
      <c r="I8" s="109"/>
      <c r="J8" s="109"/>
      <c r="K8" s="109"/>
      <c r="L8" s="109"/>
    </row>
    <row r="9" spans="2:17" ht="15.75" x14ac:dyDescent="0.25">
      <c r="B9" s="305" t="s">
        <v>160</v>
      </c>
      <c r="C9" s="306"/>
      <c r="D9" s="306"/>
      <c r="E9" s="306"/>
      <c r="F9" s="306"/>
      <c r="G9" s="306"/>
      <c r="H9" s="306"/>
      <c r="I9" s="307"/>
      <c r="J9" s="109"/>
      <c r="K9" s="109"/>
      <c r="L9" s="109"/>
    </row>
    <row r="10" spans="2:17" ht="15.75" x14ac:dyDescent="0.25">
      <c r="B10" s="66"/>
      <c r="C10" s="66"/>
      <c r="D10" s="66"/>
      <c r="E10" s="81"/>
      <c r="F10" s="73"/>
      <c r="G10" s="109"/>
      <c r="H10" s="109"/>
      <c r="I10" s="109"/>
      <c r="J10" s="109"/>
      <c r="K10" s="109"/>
      <c r="L10" s="109"/>
    </row>
    <row r="11" spans="2:17" ht="15" customHeight="1" x14ac:dyDescent="0.25">
      <c r="B11" s="358" t="s">
        <v>175</v>
      </c>
      <c r="C11" s="359"/>
      <c r="D11" s="359"/>
      <c r="E11" s="359"/>
      <c r="F11" s="359"/>
      <c r="G11" s="359"/>
      <c r="H11" s="359"/>
      <c r="I11" s="360"/>
      <c r="J11" s="109"/>
    </row>
    <row r="12" spans="2:17" x14ac:dyDescent="0.25">
      <c r="B12" s="361"/>
      <c r="C12" s="362"/>
      <c r="D12" s="362"/>
      <c r="E12" s="362"/>
      <c r="F12" s="362"/>
      <c r="G12" s="362"/>
      <c r="H12" s="362"/>
      <c r="I12" s="363"/>
      <c r="J12" s="109"/>
    </row>
    <row r="13" spans="2:17" x14ac:dyDescent="0.25">
      <c r="B13" s="109"/>
      <c r="C13" s="109"/>
      <c r="D13" s="109"/>
      <c r="E13" s="80"/>
      <c r="F13" s="73"/>
      <c r="G13" s="109"/>
      <c r="H13" s="109"/>
      <c r="I13" s="109"/>
      <c r="J13" s="109"/>
      <c r="K13" s="109"/>
      <c r="L13" s="109"/>
    </row>
    <row r="14" spans="2:17" ht="15" customHeight="1" x14ac:dyDescent="0.25">
      <c r="B14" s="364" t="s">
        <v>161</v>
      </c>
      <c r="C14" s="365"/>
      <c r="D14" s="365"/>
      <c r="E14" s="365"/>
      <c r="F14" s="365"/>
      <c r="G14" s="365"/>
      <c r="H14" s="365"/>
      <c r="I14" s="366"/>
      <c r="J14" s="109"/>
      <c r="K14" s="109"/>
      <c r="L14" s="109"/>
      <c r="M14" s="111"/>
      <c r="N14" s="111"/>
      <c r="O14" s="111"/>
      <c r="P14" s="111"/>
      <c r="Q14" s="111"/>
    </row>
    <row r="15" spans="2:17" x14ac:dyDescent="0.25">
      <c r="B15" s="109"/>
      <c r="C15" s="109"/>
      <c r="D15" s="109"/>
      <c r="E15" s="80"/>
      <c r="F15" s="73"/>
      <c r="G15" s="139"/>
      <c r="H15" s="139"/>
      <c r="I15" s="139"/>
      <c r="J15" s="109"/>
      <c r="K15" s="109"/>
      <c r="L15" s="109"/>
      <c r="M15" s="111"/>
      <c r="N15" s="195"/>
      <c r="O15" s="187"/>
      <c r="P15" s="111"/>
      <c r="Q15" s="111"/>
    </row>
    <row r="16" spans="2:17" ht="15.75" thickBot="1" x14ac:dyDescent="0.3">
      <c r="B16" s="6"/>
      <c r="C16" s="6"/>
      <c r="D16" s="86" t="s">
        <v>235</v>
      </c>
      <c r="E16" s="87" t="s">
        <v>85</v>
      </c>
      <c r="F16" s="200" t="s">
        <v>164</v>
      </c>
      <c r="G16" s="206" t="s">
        <v>46</v>
      </c>
      <c r="H16" s="139"/>
      <c r="I16" s="139"/>
      <c r="J16" s="109"/>
      <c r="K16" s="109"/>
      <c r="L16" s="109"/>
      <c r="M16" s="111"/>
      <c r="N16" s="195"/>
      <c r="O16" s="187"/>
      <c r="P16" s="111"/>
      <c r="Q16" s="111"/>
    </row>
    <row r="17" spans="2:17" ht="15.75" thickTop="1" x14ac:dyDescent="0.25">
      <c r="B17" s="109"/>
      <c r="C17" s="29">
        <v>1</v>
      </c>
      <c r="D17" s="186" t="s">
        <v>158</v>
      </c>
      <c r="E17" s="88">
        <v>1</v>
      </c>
      <c r="F17" s="201"/>
      <c r="G17" s="143"/>
      <c r="H17" s="109"/>
      <c r="I17" s="109"/>
      <c r="J17" s="109"/>
      <c r="K17" s="109"/>
      <c r="L17" s="109"/>
      <c r="M17" s="111"/>
      <c r="N17" s="195"/>
      <c r="O17" s="187"/>
      <c r="P17" s="111"/>
      <c r="Q17" s="111"/>
    </row>
    <row r="18" spans="2:17" x14ac:dyDescent="0.25">
      <c r="B18" s="109"/>
      <c r="C18" s="29">
        <v>2</v>
      </c>
      <c r="D18" s="186" t="s">
        <v>157</v>
      </c>
      <c r="E18" s="88">
        <v>1.34</v>
      </c>
      <c r="F18" s="201"/>
      <c r="G18" s="84"/>
      <c r="H18" s="109"/>
      <c r="I18" s="109"/>
      <c r="J18" s="109"/>
      <c r="K18" s="109"/>
      <c r="L18" s="109"/>
      <c r="M18" s="111"/>
      <c r="N18" s="195"/>
      <c r="O18" s="187"/>
      <c r="P18" s="111"/>
      <c r="Q18" s="111"/>
    </row>
    <row r="19" spans="2:17" x14ac:dyDescent="0.25">
      <c r="B19" s="109"/>
      <c r="C19" s="29">
        <v>3</v>
      </c>
      <c r="D19" s="186" t="s">
        <v>163</v>
      </c>
      <c r="E19" s="88">
        <v>7.9000000000000001E-2</v>
      </c>
      <c r="F19" s="201"/>
      <c r="G19" s="84"/>
      <c r="H19" s="109"/>
      <c r="I19" s="109"/>
      <c r="J19" s="109"/>
      <c r="K19" s="109"/>
      <c r="L19" s="109"/>
      <c r="M19" s="111"/>
      <c r="N19" s="111"/>
      <c r="O19" s="111"/>
      <c r="P19" s="111"/>
      <c r="Q19" s="111"/>
    </row>
    <row r="20" spans="2:17" x14ac:dyDescent="0.25">
      <c r="B20" s="109"/>
      <c r="C20" s="29">
        <v>4</v>
      </c>
      <c r="D20" s="186" t="s">
        <v>159</v>
      </c>
      <c r="E20" s="88">
        <v>1.17</v>
      </c>
      <c r="F20" s="201"/>
      <c r="G20" s="84"/>
      <c r="H20" s="109"/>
      <c r="I20" s="109"/>
      <c r="J20" s="109"/>
      <c r="K20" s="109"/>
      <c r="L20" s="109"/>
      <c r="M20" s="111"/>
      <c r="N20" s="111"/>
      <c r="O20" s="111"/>
      <c r="P20" s="111"/>
      <c r="Q20" s="111"/>
    </row>
    <row r="21" spans="2:17" x14ac:dyDescent="0.25">
      <c r="B21" s="109"/>
      <c r="C21" s="29">
        <v>5</v>
      </c>
      <c r="D21" s="122"/>
      <c r="E21" s="88"/>
      <c r="F21" s="201"/>
      <c r="G21" s="84"/>
      <c r="H21" s="109"/>
      <c r="I21" s="109"/>
      <c r="J21" s="109"/>
      <c r="K21" s="109"/>
      <c r="L21" s="109"/>
    </row>
    <row r="22" spans="2:17" x14ac:dyDescent="0.25">
      <c r="B22" s="109"/>
      <c r="C22" s="29">
        <v>6</v>
      </c>
      <c r="D22" s="122"/>
      <c r="E22" s="88"/>
      <c r="F22" s="201"/>
      <c r="G22" s="84"/>
      <c r="H22" s="109"/>
      <c r="I22" s="109"/>
      <c r="J22" s="109"/>
      <c r="K22" s="109"/>
      <c r="L22" s="109"/>
    </row>
    <row r="23" spans="2:17" x14ac:dyDescent="0.25">
      <c r="B23" s="109"/>
      <c r="C23" s="29">
        <v>7</v>
      </c>
      <c r="D23" s="122"/>
      <c r="E23" s="88"/>
      <c r="F23" s="201"/>
      <c r="G23" s="84"/>
      <c r="H23" s="109"/>
      <c r="I23" s="109"/>
      <c r="J23" s="109"/>
      <c r="K23" s="109"/>
      <c r="L23" s="109"/>
    </row>
    <row r="24" spans="2:17" x14ac:dyDescent="0.25">
      <c r="B24" s="109"/>
      <c r="C24" s="29">
        <v>8</v>
      </c>
      <c r="D24" s="122"/>
      <c r="E24" s="88"/>
      <c r="F24" s="201"/>
      <c r="G24" s="84"/>
      <c r="H24" s="109"/>
      <c r="I24" s="109"/>
      <c r="J24" s="109"/>
      <c r="K24" s="109"/>
      <c r="L24" s="109"/>
    </row>
    <row r="25" spans="2:17" x14ac:dyDescent="0.25">
      <c r="B25" s="109"/>
      <c r="C25" s="29">
        <v>9</v>
      </c>
      <c r="D25" s="122"/>
      <c r="E25" s="88"/>
      <c r="F25" s="201"/>
      <c r="G25" s="84"/>
      <c r="H25" s="109"/>
      <c r="I25" s="109"/>
      <c r="J25" s="109"/>
      <c r="K25" s="109"/>
      <c r="L25" s="109"/>
    </row>
    <row r="26" spans="2:17" x14ac:dyDescent="0.25">
      <c r="B26" s="109"/>
      <c r="C26" s="29">
        <v>10</v>
      </c>
      <c r="D26" s="122"/>
      <c r="E26" s="88"/>
      <c r="F26" s="201"/>
      <c r="G26" s="84"/>
      <c r="H26" s="109"/>
      <c r="I26" s="109"/>
      <c r="J26" s="109"/>
      <c r="K26" s="109"/>
      <c r="L26" s="109"/>
    </row>
    <row r="27" spans="2:17" x14ac:dyDescent="0.25">
      <c r="B27" s="109"/>
      <c r="C27" s="29">
        <v>11</v>
      </c>
      <c r="D27" s="122"/>
      <c r="E27" s="88"/>
      <c r="F27" s="201"/>
      <c r="G27" s="84"/>
      <c r="H27" s="109"/>
      <c r="I27" s="341" t="s">
        <v>90</v>
      </c>
      <c r="J27" s="342"/>
      <c r="K27" s="343"/>
      <c r="L27" s="109"/>
    </row>
    <row r="28" spans="2:17" x14ac:dyDescent="0.25">
      <c r="B28" s="109"/>
      <c r="C28" s="29">
        <v>12</v>
      </c>
      <c r="D28" s="122"/>
      <c r="E28" s="88"/>
      <c r="F28" s="201"/>
      <c r="G28" s="84"/>
      <c r="H28" s="109"/>
      <c r="I28" s="344"/>
      <c r="J28" s="345"/>
      <c r="K28" s="346"/>
      <c r="L28" s="109"/>
    </row>
    <row r="29" spans="2:17" x14ac:dyDescent="0.25">
      <c r="B29" s="109"/>
      <c r="C29" s="29">
        <v>13</v>
      </c>
      <c r="D29" s="122"/>
      <c r="E29" s="88"/>
      <c r="F29" s="201"/>
      <c r="G29" s="84"/>
      <c r="H29" s="109"/>
      <c r="I29" s="344"/>
      <c r="J29" s="345"/>
      <c r="K29" s="346"/>
      <c r="L29" s="109"/>
    </row>
    <row r="30" spans="2:17" x14ac:dyDescent="0.25">
      <c r="B30" s="109"/>
      <c r="C30" s="29">
        <v>14</v>
      </c>
      <c r="D30" s="122"/>
      <c r="E30" s="88"/>
      <c r="F30" s="201"/>
      <c r="G30" s="84"/>
      <c r="H30" s="109"/>
      <c r="I30" s="344"/>
      <c r="J30" s="345"/>
      <c r="K30" s="346"/>
      <c r="L30" s="109"/>
    </row>
    <row r="31" spans="2:17" x14ac:dyDescent="0.25">
      <c r="B31" s="109"/>
      <c r="C31" s="29">
        <v>15</v>
      </c>
      <c r="D31" s="122"/>
      <c r="E31" s="88"/>
      <c r="F31" s="201"/>
      <c r="G31" s="84"/>
      <c r="H31" s="109"/>
      <c r="I31" s="344"/>
      <c r="J31" s="345"/>
      <c r="K31" s="346"/>
      <c r="L31" s="109"/>
    </row>
    <row r="32" spans="2:17" x14ac:dyDescent="0.25">
      <c r="B32" s="109"/>
      <c r="C32" s="29">
        <v>16</v>
      </c>
      <c r="D32" s="122"/>
      <c r="E32" s="88"/>
      <c r="F32" s="201"/>
      <c r="G32" s="84"/>
      <c r="H32" s="109"/>
      <c r="I32" s="344"/>
      <c r="J32" s="345"/>
      <c r="K32" s="346"/>
      <c r="L32" s="109"/>
    </row>
    <row r="33" spans="2:12" x14ac:dyDescent="0.25">
      <c r="B33" s="109"/>
      <c r="C33" s="29">
        <v>17</v>
      </c>
      <c r="D33" s="122"/>
      <c r="E33" s="88"/>
      <c r="F33" s="201"/>
      <c r="G33" s="84"/>
      <c r="H33" s="109"/>
      <c r="I33" s="347"/>
      <c r="J33" s="348"/>
      <c r="K33" s="349"/>
      <c r="L33" s="109"/>
    </row>
    <row r="34" spans="2:12" x14ac:dyDescent="0.25">
      <c r="B34" s="109"/>
      <c r="C34" s="29">
        <v>18</v>
      </c>
      <c r="D34" s="122"/>
      <c r="E34" s="88"/>
      <c r="F34" s="201"/>
      <c r="G34" s="84"/>
      <c r="H34" s="109"/>
      <c r="I34" s="109"/>
      <c r="J34" s="109"/>
      <c r="K34" s="109"/>
      <c r="L34" s="109"/>
    </row>
    <row r="35" spans="2:12" x14ac:dyDescent="0.25">
      <c r="B35" s="109"/>
      <c r="C35" s="29">
        <v>19</v>
      </c>
      <c r="D35" s="122"/>
      <c r="E35" s="88"/>
      <c r="F35" s="201"/>
      <c r="G35" s="84"/>
      <c r="H35" s="109"/>
      <c r="I35" s="109"/>
      <c r="J35" s="109"/>
      <c r="K35" s="109"/>
      <c r="L35" s="109"/>
    </row>
    <row r="36" spans="2:12" x14ac:dyDescent="0.25">
      <c r="B36" s="109"/>
      <c r="C36" s="29">
        <v>20</v>
      </c>
      <c r="D36" s="122"/>
      <c r="E36" s="88"/>
      <c r="F36" s="201"/>
      <c r="G36" s="84"/>
      <c r="H36" s="109"/>
      <c r="I36" s="109"/>
      <c r="J36" s="109"/>
      <c r="K36" s="109"/>
      <c r="L36" s="109"/>
    </row>
    <row r="37" spans="2:12" x14ac:dyDescent="0.25">
      <c r="B37" s="109"/>
      <c r="C37" s="29">
        <v>21</v>
      </c>
      <c r="D37" s="122"/>
      <c r="E37" s="88"/>
      <c r="F37" s="201"/>
      <c r="G37" s="84"/>
      <c r="H37" s="109"/>
      <c r="I37" s="109"/>
      <c r="J37" s="109"/>
      <c r="K37" s="109"/>
      <c r="L37" s="109"/>
    </row>
    <row r="38" spans="2:12" x14ac:dyDescent="0.25">
      <c r="B38" s="109"/>
      <c r="C38" s="29">
        <v>22</v>
      </c>
      <c r="D38" s="122"/>
      <c r="E38" s="88"/>
      <c r="F38" s="201"/>
      <c r="G38" s="84"/>
      <c r="H38" s="109"/>
      <c r="I38" s="109"/>
      <c r="J38" s="109"/>
      <c r="K38" s="109"/>
      <c r="L38" s="109"/>
    </row>
    <row r="39" spans="2:12" x14ac:dyDescent="0.25">
      <c r="B39" s="109"/>
      <c r="C39" s="29">
        <v>23</v>
      </c>
      <c r="D39" s="122"/>
      <c r="E39" s="88"/>
      <c r="F39" s="201"/>
      <c r="G39" s="84"/>
      <c r="H39" s="109"/>
      <c r="I39" s="109"/>
      <c r="J39" s="109"/>
      <c r="K39" s="109"/>
      <c r="L39" s="109"/>
    </row>
    <row r="40" spans="2:12" x14ac:dyDescent="0.25">
      <c r="B40" s="109"/>
      <c r="C40" s="29">
        <v>24</v>
      </c>
      <c r="D40" s="122"/>
      <c r="E40" s="88"/>
      <c r="F40" s="201"/>
      <c r="G40" s="84"/>
      <c r="H40" s="109"/>
      <c r="I40" s="109"/>
      <c r="J40" s="109"/>
      <c r="K40" s="109"/>
      <c r="L40" s="109"/>
    </row>
    <row r="41" spans="2:12" x14ac:dyDescent="0.25">
      <c r="B41" s="109"/>
      <c r="C41" s="29">
        <v>25</v>
      </c>
      <c r="D41" s="122"/>
      <c r="E41" s="88"/>
      <c r="F41" s="201"/>
      <c r="G41" s="84"/>
      <c r="H41" s="109"/>
      <c r="I41" s="109"/>
      <c r="J41" s="109"/>
      <c r="K41" s="109"/>
      <c r="L41" s="109"/>
    </row>
    <row r="42" spans="2:12" x14ac:dyDescent="0.25">
      <c r="B42" s="109"/>
      <c r="C42" s="29">
        <v>26</v>
      </c>
      <c r="D42" s="122"/>
      <c r="E42" s="88"/>
      <c r="F42" s="201"/>
      <c r="G42" s="84"/>
      <c r="H42" s="109"/>
      <c r="I42" s="109"/>
      <c r="J42" s="109"/>
      <c r="K42" s="109"/>
      <c r="L42" s="109"/>
    </row>
    <row r="43" spans="2:12" x14ac:dyDescent="0.25">
      <c r="B43" s="109"/>
      <c r="C43" s="29">
        <v>27</v>
      </c>
      <c r="D43" s="122"/>
      <c r="E43" s="88"/>
      <c r="F43" s="201"/>
      <c r="G43" s="84"/>
      <c r="H43" s="109"/>
      <c r="I43" s="109"/>
      <c r="J43" s="109"/>
      <c r="K43" s="109"/>
      <c r="L43" s="109"/>
    </row>
    <row r="44" spans="2:12" x14ac:dyDescent="0.25">
      <c r="B44" s="109"/>
      <c r="C44" s="29">
        <v>28</v>
      </c>
      <c r="D44" s="122"/>
      <c r="E44" s="88"/>
      <c r="F44" s="201"/>
      <c r="G44" s="84"/>
      <c r="H44" s="109"/>
      <c r="I44" s="109"/>
      <c r="J44" s="109"/>
      <c r="K44" s="109"/>
      <c r="L44" s="109"/>
    </row>
    <row r="45" spans="2:12" x14ac:dyDescent="0.25">
      <c r="B45" s="109"/>
      <c r="C45" s="29">
        <v>29</v>
      </c>
      <c r="D45" s="122"/>
      <c r="E45" s="88"/>
      <c r="F45" s="201"/>
      <c r="G45" s="84"/>
      <c r="H45" s="109"/>
      <c r="I45" s="109"/>
      <c r="J45" s="109"/>
      <c r="K45" s="109"/>
      <c r="L45" s="109"/>
    </row>
    <row r="46" spans="2:12" x14ac:dyDescent="0.25">
      <c r="B46" s="30"/>
      <c r="C46" s="29">
        <v>30</v>
      </c>
      <c r="D46" s="159"/>
      <c r="E46" s="160"/>
      <c r="F46" s="202"/>
      <c r="G46" s="85"/>
      <c r="H46" s="109"/>
      <c r="I46" s="109"/>
      <c r="J46" s="109"/>
      <c r="K46" s="109"/>
      <c r="L46" s="109"/>
    </row>
    <row r="47" spans="2:12" x14ac:dyDescent="0.25">
      <c r="B47" s="109"/>
      <c r="C47" s="109"/>
      <c r="D47" s="109"/>
      <c r="E47" s="187"/>
      <c r="F47" s="73"/>
      <c r="G47" s="109"/>
      <c r="H47" s="109"/>
      <c r="I47" s="109"/>
      <c r="J47" s="109"/>
      <c r="K47" s="109"/>
      <c r="L47" s="109"/>
    </row>
    <row r="48" spans="2:12" x14ac:dyDescent="0.25">
      <c r="B48" s="109"/>
      <c r="C48" s="109"/>
      <c r="D48" s="109"/>
      <c r="E48" s="187"/>
      <c r="F48" s="73"/>
      <c r="G48" s="109"/>
      <c r="H48" s="109"/>
      <c r="I48" s="109"/>
      <c r="J48" s="109"/>
      <c r="K48" s="109"/>
      <c r="L48" s="109"/>
    </row>
    <row r="49" spans="2:12" x14ac:dyDescent="0.25">
      <c r="B49" s="109"/>
      <c r="C49" s="109"/>
      <c r="D49" s="109"/>
      <c r="E49" s="187"/>
      <c r="F49" s="73"/>
      <c r="G49" s="109"/>
      <c r="H49" s="109"/>
      <c r="I49" s="109"/>
      <c r="J49" s="109"/>
      <c r="K49" s="109"/>
      <c r="L49" s="109"/>
    </row>
    <row r="50" spans="2:12" ht="15" customHeight="1" x14ac:dyDescent="0.25">
      <c r="B50" s="109"/>
      <c r="C50" s="109"/>
      <c r="D50" s="177"/>
      <c r="E50" s="189"/>
      <c r="F50" s="178"/>
      <c r="G50" s="178"/>
      <c r="H50" s="179"/>
      <c r="I50" s="109"/>
      <c r="J50" s="109"/>
      <c r="K50" s="109"/>
      <c r="L50" s="109"/>
    </row>
    <row r="51" spans="2:12" ht="15" customHeight="1" x14ac:dyDescent="0.25">
      <c r="B51" s="109"/>
      <c r="C51" s="109"/>
      <c r="D51" s="180"/>
      <c r="E51" s="188"/>
      <c r="F51" s="181"/>
      <c r="G51" s="181"/>
      <c r="H51" s="182"/>
      <c r="I51" s="109"/>
      <c r="J51" s="109"/>
      <c r="K51" s="109"/>
      <c r="L51" s="109"/>
    </row>
    <row r="52" spans="2:12" ht="15" customHeight="1" x14ac:dyDescent="0.25">
      <c r="B52" s="109"/>
      <c r="C52" s="109"/>
      <c r="D52" s="180"/>
      <c r="E52" s="188"/>
      <c r="F52" s="181"/>
      <c r="G52" s="181"/>
      <c r="H52" s="182"/>
      <c r="I52" s="109"/>
      <c r="J52" s="109"/>
      <c r="K52" s="109"/>
      <c r="L52" s="109"/>
    </row>
    <row r="53" spans="2:12" ht="15" customHeight="1" x14ac:dyDescent="0.25">
      <c r="B53" s="109"/>
      <c r="C53" s="109"/>
      <c r="D53" s="180"/>
      <c r="E53" s="188"/>
      <c r="F53" s="181"/>
      <c r="G53" s="181"/>
      <c r="H53" s="182"/>
      <c r="I53" s="109"/>
      <c r="J53" s="109"/>
      <c r="K53" s="109"/>
      <c r="L53" s="109"/>
    </row>
    <row r="54" spans="2:12" ht="15" customHeight="1" x14ac:dyDescent="0.25">
      <c r="B54" s="109"/>
      <c r="C54" s="109"/>
      <c r="D54" s="183"/>
      <c r="E54" s="190"/>
      <c r="F54" s="184"/>
      <c r="G54" s="184"/>
      <c r="H54" s="185"/>
      <c r="I54" s="109"/>
      <c r="J54" s="109"/>
      <c r="K54" s="109"/>
      <c r="L54" s="109"/>
    </row>
    <row r="55" spans="2:12" x14ac:dyDescent="0.25">
      <c r="E55" s="187"/>
    </row>
    <row r="56" spans="2:12" x14ac:dyDescent="0.25">
      <c r="E56" s="187"/>
    </row>
    <row r="57" spans="2:12" x14ac:dyDescent="0.25">
      <c r="E57" s="187"/>
    </row>
    <row r="58" spans="2:12" x14ac:dyDescent="0.25">
      <c r="E58" s="187"/>
    </row>
    <row r="59" spans="2:12" x14ac:dyDescent="0.25">
      <c r="E59" s="187"/>
    </row>
    <row r="60" spans="2:12" x14ac:dyDescent="0.25">
      <c r="E60" s="187"/>
    </row>
    <row r="61" spans="2:12" x14ac:dyDescent="0.25">
      <c r="E61" s="187"/>
    </row>
    <row r="62" spans="2:12" x14ac:dyDescent="0.25">
      <c r="E62" s="187"/>
    </row>
    <row r="63" spans="2:12" x14ac:dyDescent="0.25">
      <c r="E63" s="187"/>
    </row>
    <row r="64" spans="2:12" x14ac:dyDescent="0.25">
      <c r="E64" s="187"/>
    </row>
    <row r="65" spans="5:5" x14ac:dyDescent="0.25">
      <c r="E65" s="187"/>
    </row>
    <row r="66" spans="5:5" x14ac:dyDescent="0.25">
      <c r="E66" s="187"/>
    </row>
    <row r="67" spans="5:5" x14ac:dyDescent="0.25">
      <c r="E67" s="187"/>
    </row>
    <row r="68" spans="5:5" x14ac:dyDescent="0.25">
      <c r="E68" s="187"/>
    </row>
    <row r="69" spans="5:5" x14ac:dyDescent="0.25">
      <c r="E69" s="187"/>
    </row>
    <row r="70" spans="5:5" x14ac:dyDescent="0.25">
      <c r="E70" s="187"/>
    </row>
    <row r="71" spans="5:5" x14ac:dyDescent="0.25">
      <c r="E71" s="187"/>
    </row>
    <row r="72" spans="5:5" x14ac:dyDescent="0.25">
      <c r="E72" s="187"/>
    </row>
    <row r="73" spans="5:5" x14ac:dyDescent="0.25">
      <c r="E73" s="187"/>
    </row>
    <row r="74" spans="5:5" x14ac:dyDescent="0.25">
      <c r="E74" s="187"/>
    </row>
    <row r="75" spans="5:5" x14ac:dyDescent="0.25">
      <c r="E75" s="187"/>
    </row>
    <row r="76" spans="5:5" x14ac:dyDescent="0.25">
      <c r="E76" s="187"/>
    </row>
    <row r="77" spans="5:5" x14ac:dyDescent="0.25">
      <c r="E77" s="187"/>
    </row>
    <row r="78" spans="5:5" x14ac:dyDescent="0.25">
      <c r="E78" s="187"/>
    </row>
    <row r="79" spans="5:5" x14ac:dyDescent="0.25">
      <c r="E79" s="187"/>
    </row>
    <row r="80" spans="5:5" x14ac:dyDescent="0.25">
      <c r="E80" s="187"/>
    </row>
    <row r="81" spans="5:5" x14ac:dyDescent="0.25">
      <c r="E81" s="187"/>
    </row>
    <row r="82" spans="5:5" x14ac:dyDescent="0.25">
      <c r="E82" s="187"/>
    </row>
    <row r="83" spans="5:5" x14ac:dyDescent="0.25">
      <c r="E83" s="187"/>
    </row>
    <row r="84" spans="5:5" x14ac:dyDescent="0.25">
      <c r="E84" s="187"/>
    </row>
    <row r="85" spans="5:5" x14ac:dyDescent="0.25">
      <c r="E85" s="187"/>
    </row>
    <row r="86" spans="5:5" x14ac:dyDescent="0.25">
      <c r="E86" s="187"/>
    </row>
    <row r="87" spans="5:5" x14ac:dyDescent="0.25">
      <c r="E87" s="187"/>
    </row>
    <row r="88" spans="5:5" x14ac:dyDescent="0.25">
      <c r="E88" s="187"/>
    </row>
    <row r="89" spans="5:5" x14ac:dyDescent="0.25">
      <c r="E89" s="187"/>
    </row>
    <row r="90" spans="5:5" x14ac:dyDescent="0.25">
      <c r="E90" s="187"/>
    </row>
    <row r="91" spans="5:5" x14ac:dyDescent="0.25">
      <c r="E91" s="187"/>
    </row>
    <row r="92" spans="5:5" x14ac:dyDescent="0.25">
      <c r="E92" s="187"/>
    </row>
    <row r="93" spans="5:5" x14ac:dyDescent="0.25">
      <c r="E93" s="187"/>
    </row>
    <row r="94" spans="5:5" x14ac:dyDescent="0.25">
      <c r="E94" s="187"/>
    </row>
    <row r="95" spans="5:5" x14ac:dyDescent="0.25">
      <c r="E95" s="187"/>
    </row>
    <row r="96" spans="5:5" x14ac:dyDescent="0.25">
      <c r="E96" s="187"/>
    </row>
    <row r="97" spans="5:5" x14ac:dyDescent="0.25">
      <c r="E97" s="187"/>
    </row>
    <row r="98" spans="5:5" x14ac:dyDescent="0.25">
      <c r="E98" s="187"/>
    </row>
    <row r="99" spans="5:5" x14ac:dyDescent="0.25">
      <c r="E99" s="187"/>
    </row>
    <row r="100" spans="5:5" x14ac:dyDescent="0.25">
      <c r="E100" s="187"/>
    </row>
    <row r="101" spans="5:5" x14ac:dyDescent="0.25">
      <c r="E101" s="187"/>
    </row>
    <row r="102" spans="5:5" x14ac:dyDescent="0.25">
      <c r="E102" s="187"/>
    </row>
    <row r="103" spans="5:5" x14ac:dyDescent="0.25">
      <c r="E103" s="187"/>
    </row>
    <row r="104" spans="5:5" x14ac:dyDescent="0.25">
      <c r="E104" s="187"/>
    </row>
    <row r="105" spans="5:5" x14ac:dyDescent="0.25">
      <c r="E105" s="187"/>
    </row>
    <row r="106" spans="5:5" x14ac:dyDescent="0.25">
      <c r="E106" s="187"/>
    </row>
    <row r="107" spans="5:5" x14ac:dyDescent="0.25">
      <c r="E107" s="187"/>
    </row>
    <row r="108" spans="5:5" x14ac:dyDescent="0.25">
      <c r="E108" s="187"/>
    </row>
    <row r="109" spans="5:5" x14ac:dyDescent="0.25">
      <c r="E109" s="187"/>
    </row>
    <row r="110" spans="5:5" x14ac:dyDescent="0.25">
      <c r="E110" s="187"/>
    </row>
    <row r="111" spans="5:5" x14ac:dyDescent="0.25">
      <c r="E111" s="187"/>
    </row>
    <row r="112" spans="5:5" x14ac:dyDescent="0.25">
      <c r="E112" s="187"/>
    </row>
    <row r="113" spans="5:5" x14ac:dyDescent="0.25">
      <c r="E113" s="187"/>
    </row>
    <row r="114" spans="5:5" x14ac:dyDescent="0.25">
      <c r="E114" s="187"/>
    </row>
    <row r="115" spans="5:5" x14ac:dyDescent="0.25">
      <c r="E115" s="187"/>
    </row>
    <row r="116" spans="5:5" x14ac:dyDescent="0.25">
      <c r="E116" s="187"/>
    </row>
    <row r="117" spans="5:5" x14ac:dyDescent="0.25">
      <c r="E117" s="187"/>
    </row>
    <row r="118" spans="5:5" x14ac:dyDescent="0.25">
      <c r="E118" s="187"/>
    </row>
    <row r="119" spans="5:5" x14ac:dyDescent="0.25">
      <c r="E119" s="187"/>
    </row>
    <row r="120" spans="5:5" x14ac:dyDescent="0.25">
      <c r="E120" s="187"/>
    </row>
    <row r="121" spans="5:5" x14ac:dyDescent="0.25">
      <c r="E121" s="187"/>
    </row>
    <row r="122" spans="5:5" x14ac:dyDescent="0.25">
      <c r="E122" s="187"/>
    </row>
    <row r="123" spans="5:5" x14ac:dyDescent="0.25">
      <c r="E123" s="187"/>
    </row>
    <row r="124" spans="5:5" x14ac:dyDescent="0.25">
      <c r="E124" s="187"/>
    </row>
    <row r="125" spans="5:5" x14ac:dyDescent="0.25">
      <c r="E125" s="187"/>
    </row>
    <row r="126" spans="5:5" x14ac:dyDescent="0.25">
      <c r="E126" s="187"/>
    </row>
    <row r="127" spans="5:5" x14ac:dyDescent="0.25">
      <c r="E127" s="187"/>
    </row>
    <row r="128" spans="5:5" x14ac:dyDescent="0.25">
      <c r="E128" s="187"/>
    </row>
    <row r="129" spans="5:5" x14ac:dyDescent="0.25">
      <c r="E129" s="187"/>
    </row>
    <row r="130" spans="5:5" x14ac:dyDescent="0.25">
      <c r="E130" s="187"/>
    </row>
    <row r="131" spans="5:5" x14ac:dyDescent="0.25">
      <c r="E131" s="187"/>
    </row>
    <row r="132" spans="5:5" x14ac:dyDescent="0.25">
      <c r="E132" s="187"/>
    </row>
    <row r="133" spans="5:5" x14ac:dyDescent="0.25">
      <c r="E133" s="187"/>
    </row>
    <row r="134" spans="5:5" x14ac:dyDescent="0.25">
      <c r="E134" s="187"/>
    </row>
    <row r="135" spans="5:5" x14ac:dyDescent="0.25">
      <c r="E135" s="187"/>
    </row>
    <row r="136" spans="5:5" x14ac:dyDescent="0.25">
      <c r="E136" s="187"/>
    </row>
    <row r="137" spans="5:5" x14ac:dyDescent="0.25">
      <c r="E137" s="187"/>
    </row>
    <row r="138" spans="5:5" x14ac:dyDescent="0.25">
      <c r="E138" s="187"/>
    </row>
    <row r="139" spans="5:5" x14ac:dyDescent="0.25">
      <c r="E139" s="187"/>
    </row>
    <row r="140" spans="5:5" x14ac:dyDescent="0.25">
      <c r="E140" s="187"/>
    </row>
    <row r="141" spans="5:5" x14ac:dyDescent="0.25">
      <c r="E141" s="187"/>
    </row>
    <row r="142" spans="5:5" x14ac:dyDescent="0.25">
      <c r="E142" s="187"/>
    </row>
    <row r="143" spans="5:5" x14ac:dyDescent="0.25">
      <c r="E143" s="187"/>
    </row>
    <row r="144" spans="5:5" x14ac:dyDescent="0.25">
      <c r="E144" s="187"/>
    </row>
    <row r="145" spans="5:5" x14ac:dyDescent="0.25">
      <c r="E145" s="187"/>
    </row>
    <row r="146" spans="5:5" x14ac:dyDescent="0.25">
      <c r="E146" s="187"/>
    </row>
    <row r="147" spans="5:5" x14ac:dyDescent="0.25">
      <c r="E147" s="187"/>
    </row>
    <row r="148" spans="5:5" x14ac:dyDescent="0.25">
      <c r="E148" s="187"/>
    </row>
    <row r="149" spans="5:5" x14ac:dyDescent="0.25">
      <c r="E149" s="187"/>
    </row>
    <row r="150" spans="5:5" x14ac:dyDescent="0.25">
      <c r="E150" s="187"/>
    </row>
    <row r="151" spans="5:5" x14ac:dyDescent="0.25">
      <c r="E151" s="187"/>
    </row>
    <row r="152" spans="5:5" x14ac:dyDescent="0.25">
      <c r="E152" s="187"/>
    </row>
    <row r="153" spans="5:5" x14ac:dyDescent="0.25">
      <c r="E153" s="187"/>
    </row>
    <row r="154" spans="5:5" x14ac:dyDescent="0.25">
      <c r="E154" s="187"/>
    </row>
    <row r="155" spans="5:5" x14ac:dyDescent="0.25">
      <c r="E155" s="187"/>
    </row>
    <row r="156" spans="5:5" x14ac:dyDescent="0.25">
      <c r="E156" s="187"/>
    </row>
    <row r="157" spans="5:5" x14ac:dyDescent="0.25">
      <c r="E157" s="187"/>
    </row>
    <row r="158" spans="5:5" x14ac:dyDescent="0.25">
      <c r="E158" s="187"/>
    </row>
    <row r="159" spans="5:5" x14ac:dyDescent="0.25">
      <c r="E159" s="187"/>
    </row>
    <row r="160" spans="5:5" x14ac:dyDescent="0.25">
      <c r="E160" s="187"/>
    </row>
    <row r="161" spans="5:5" x14ac:dyDescent="0.25">
      <c r="E161" s="187"/>
    </row>
    <row r="162" spans="5:5" x14ac:dyDescent="0.25">
      <c r="E162" s="187"/>
    </row>
    <row r="163" spans="5:5" x14ac:dyDescent="0.25">
      <c r="E163" s="187"/>
    </row>
    <row r="164" spans="5:5" x14ac:dyDescent="0.25">
      <c r="E164" s="187"/>
    </row>
    <row r="165" spans="5:5" x14ac:dyDescent="0.25">
      <c r="E165" s="187"/>
    </row>
    <row r="166" spans="5:5" x14ac:dyDescent="0.25">
      <c r="E166" s="187"/>
    </row>
    <row r="167" spans="5:5" x14ac:dyDescent="0.25">
      <c r="E167" s="187"/>
    </row>
    <row r="168" spans="5:5" x14ac:dyDescent="0.25">
      <c r="E168" s="187"/>
    </row>
    <row r="169" spans="5:5" x14ac:dyDescent="0.25">
      <c r="E169" s="187"/>
    </row>
    <row r="170" spans="5:5" x14ac:dyDescent="0.25">
      <c r="E170" s="187"/>
    </row>
    <row r="171" spans="5:5" x14ac:dyDescent="0.25">
      <c r="E171" s="187"/>
    </row>
    <row r="172" spans="5:5" x14ac:dyDescent="0.25">
      <c r="E172" s="187"/>
    </row>
    <row r="173" spans="5:5" x14ac:dyDescent="0.25">
      <c r="E173" s="187"/>
    </row>
    <row r="174" spans="5:5" x14ac:dyDescent="0.25">
      <c r="E174" s="187"/>
    </row>
    <row r="175" spans="5:5" x14ac:dyDescent="0.25">
      <c r="E175" s="187"/>
    </row>
    <row r="176" spans="5:5" x14ac:dyDescent="0.25">
      <c r="E176" s="187"/>
    </row>
    <row r="177" spans="5:5" x14ac:dyDescent="0.25">
      <c r="E177" s="187"/>
    </row>
    <row r="178" spans="5:5" x14ac:dyDescent="0.25">
      <c r="E178" s="187"/>
    </row>
    <row r="179" spans="5:5" x14ac:dyDescent="0.25">
      <c r="E179" s="187"/>
    </row>
    <row r="180" spans="5:5" x14ac:dyDescent="0.25">
      <c r="E180" s="187"/>
    </row>
    <row r="181" spans="5:5" x14ac:dyDescent="0.25">
      <c r="E181" s="187"/>
    </row>
    <row r="182" spans="5:5" x14ac:dyDescent="0.25">
      <c r="E182" s="187"/>
    </row>
    <row r="183" spans="5:5" x14ac:dyDescent="0.25">
      <c r="E183" s="187"/>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G17" sqref="G17"/>
    </sheetView>
  </sheetViews>
  <sheetFormatPr defaultRowHeight="15" x14ac:dyDescent="0.25"/>
  <cols>
    <col min="1" max="3" width="9.140625" style="109"/>
    <col min="4" max="4" width="27.42578125" style="109" customWidth="1"/>
    <col min="5" max="5" width="10.42578125" style="109" customWidth="1"/>
    <col min="6" max="6" width="15.28515625" style="109" customWidth="1"/>
    <col min="7" max="16384" width="9.140625" style="109"/>
  </cols>
  <sheetData>
    <row r="1" spans="2:17" x14ac:dyDescent="0.25">
      <c r="E1" s="80"/>
      <c r="F1" s="73"/>
    </row>
    <row r="2" spans="2:17" x14ac:dyDescent="0.25">
      <c r="E2" s="80"/>
      <c r="F2" s="73"/>
    </row>
    <row r="3" spans="2:17" x14ac:dyDescent="0.25">
      <c r="E3" s="80"/>
      <c r="F3" s="73"/>
    </row>
    <row r="4" spans="2:17" x14ac:dyDescent="0.25">
      <c r="E4" s="80"/>
      <c r="F4" s="73"/>
    </row>
    <row r="5" spans="2:17" x14ac:dyDescent="0.25">
      <c r="E5" s="80"/>
      <c r="F5" s="73"/>
    </row>
    <row r="6" spans="2:17" x14ac:dyDescent="0.25">
      <c r="B6" s="258" t="s">
        <v>177</v>
      </c>
      <c r="C6" s="259"/>
      <c r="D6" s="259"/>
      <c r="E6" s="259"/>
      <c r="F6" s="259"/>
      <c r="G6" s="259"/>
      <c r="H6" s="259"/>
      <c r="I6" s="271"/>
      <c r="K6" s="356">
        <f ca="1">TODAY()</f>
        <v>43396</v>
      </c>
      <c r="L6" s="357"/>
    </row>
    <row r="7" spans="2:17" x14ac:dyDescent="0.25">
      <c r="B7" s="260"/>
      <c r="C7" s="261"/>
      <c r="D7" s="261"/>
      <c r="E7" s="261"/>
      <c r="F7" s="261"/>
      <c r="G7" s="261"/>
      <c r="H7" s="261"/>
      <c r="I7" s="272"/>
      <c r="K7" s="357"/>
      <c r="L7" s="357"/>
    </row>
    <row r="8" spans="2:17" ht="15.75" x14ac:dyDescent="0.25">
      <c r="B8" s="66"/>
      <c r="C8" s="66"/>
      <c r="D8" s="66"/>
      <c r="E8" s="81"/>
      <c r="F8" s="73"/>
    </row>
    <row r="9" spans="2:17" ht="15.75" x14ac:dyDescent="0.25">
      <c r="B9" s="305" t="s">
        <v>167</v>
      </c>
      <c r="C9" s="306"/>
      <c r="D9" s="306"/>
      <c r="E9" s="306"/>
      <c r="F9" s="306"/>
      <c r="G9" s="306"/>
      <c r="H9" s="306"/>
      <c r="I9" s="307"/>
    </row>
    <row r="10" spans="2:17" ht="15.75" x14ac:dyDescent="0.25">
      <c r="B10" s="66"/>
      <c r="C10" s="66"/>
      <c r="D10" s="66"/>
      <c r="E10" s="81"/>
      <c r="F10" s="73"/>
    </row>
    <row r="11" spans="2:17" ht="15" customHeight="1" x14ac:dyDescent="0.25">
      <c r="B11" s="358" t="s">
        <v>176</v>
      </c>
      <c r="C11" s="359"/>
      <c r="D11" s="359"/>
      <c r="E11" s="359"/>
      <c r="F11" s="359"/>
      <c r="G11" s="359"/>
      <c r="H11" s="359"/>
      <c r="I11" s="360"/>
    </row>
    <row r="12" spans="2:17" x14ac:dyDescent="0.25">
      <c r="B12" s="361"/>
      <c r="C12" s="362"/>
      <c r="D12" s="362"/>
      <c r="E12" s="362"/>
      <c r="F12" s="362"/>
      <c r="G12" s="362"/>
      <c r="H12" s="362"/>
      <c r="I12" s="363"/>
    </row>
    <row r="13" spans="2:17" x14ac:dyDescent="0.25">
      <c r="E13" s="80"/>
      <c r="F13" s="73"/>
    </row>
    <row r="14" spans="2:17" ht="15" customHeight="1" x14ac:dyDescent="0.25">
      <c r="B14" s="364" t="s">
        <v>168</v>
      </c>
      <c r="C14" s="365"/>
      <c r="D14" s="365"/>
      <c r="E14" s="365"/>
      <c r="F14" s="365"/>
      <c r="G14" s="365"/>
      <c r="H14" s="365"/>
      <c r="I14" s="366"/>
      <c r="M14" s="111"/>
      <c r="N14" s="111"/>
      <c r="O14" s="111"/>
      <c r="P14" s="111"/>
      <c r="Q14" s="111"/>
    </row>
    <row r="15" spans="2:17" x14ac:dyDescent="0.25">
      <c r="E15" s="80"/>
      <c r="F15" s="73"/>
      <c r="G15" s="139"/>
      <c r="H15" s="139"/>
      <c r="I15" s="139"/>
      <c r="M15" s="111"/>
      <c r="N15" s="195"/>
      <c r="O15" s="187"/>
      <c r="P15" s="111"/>
      <c r="Q15" s="111"/>
    </row>
    <row r="16" spans="2:17" ht="15.75" thickBot="1" x14ac:dyDescent="0.3">
      <c r="B16" s="6"/>
      <c r="C16" s="6"/>
      <c r="D16" s="197" t="s">
        <v>235</v>
      </c>
      <c r="E16" s="87" t="s">
        <v>85</v>
      </c>
      <c r="F16" s="200" t="s">
        <v>164</v>
      </c>
      <c r="G16" s="206" t="s">
        <v>46</v>
      </c>
      <c r="H16" s="139"/>
      <c r="I16" s="139"/>
      <c r="M16" s="111"/>
      <c r="N16" s="195"/>
      <c r="O16" s="187"/>
      <c r="P16" s="111"/>
      <c r="Q16" s="111"/>
    </row>
    <row r="17" spans="3:17" ht="15.75" thickTop="1" x14ac:dyDescent="0.25">
      <c r="C17" s="29">
        <v>1</v>
      </c>
      <c r="D17" s="198" t="str">
        <f>IF(Setup!D14="",NA(),Setup!D14)</f>
        <v>FIGI_BBG00JVF3738</v>
      </c>
      <c r="E17" s="88">
        <v>1</v>
      </c>
      <c r="F17" s="201"/>
      <c r="G17" s="143"/>
      <c r="M17" s="111"/>
      <c r="N17" s="195"/>
      <c r="O17" s="187"/>
      <c r="P17" s="111"/>
      <c r="Q17" s="111"/>
    </row>
    <row r="18" spans="3:17" x14ac:dyDescent="0.25">
      <c r="C18" s="29">
        <v>2</v>
      </c>
      <c r="D18" s="198" t="str">
        <f>IF(Setup!D15="",NA(),Setup!D15)</f>
        <v>FIGI_BBG00DKL90B0</v>
      </c>
      <c r="E18" s="88">
        <v>2</v>
      </c>
      <c r="F18" s="201"/>
      <c r="G18" s="84"/>
      <c r="M18" s="111"/>
      <c r="N18" s="195"/>
      <c r="O18" s="187"/>
      <c r="P18" s="111"/>
      <c r="Q18" s="111"/>
    </row>
    <row r="19" spans="3:17" x14ac:dyDescent="0.25">
      <c r="C19" s="29">
        <v>3</v>
      </c>
      <c r="D19" s="198" t="str">
        <f>IF(Setup!D16="",NA(),Setup!D16)</f>
        <v>FIGI_BBG00DKL91M6</v>
      </c>
      <c r="E19" s="88">
        <v>3</v>
      </c>
      <c r="F19" s="201"/>
      <c r="G19" s="84"/>
      <c r="M19" s="111"/>
      <c r="N19" s="111"/>
      <c r="O19" s="111"/>
      <c r="P19" s="111"/>
      <c r="Q19" s="111"/>
    </row>
    <row r="20" spans="3:17" x14ac:dyDescent="0.25">
      <c r="C20" s="29">
        <v>4</v>
      </c>
      <c r="D20" s="198" t="str">
        <f>IF(Setup!D17="",NA(),Setup!D17)</f>
        <v>FIGI_BBG00FDG24R6</v>
      </c>
      <c r="E20" s="88">
        <v>4</v>
      </c>
      <c r="F20" s="201"/>
      <c r="G20" s="84"/>
      <c r="M20" s="111"/>
      <c r="N20" s="111"/>
      <c r="O20" s="111"/>
      <c r="P20" s="111"/>
      <c r="Q20" s="111"/>
    </row>
    <row r="21" spans="3:17" x14ac:dyDescent="0.25">
      <c r="C21" s="29">
        <v>5</v>
      </c>
      <c r="D21" s="198" t="str">
        <f>IF(Setup!D18="",NA(),Setup!D18)</f>
        <v>FIGI_BBG00DKL91L7</v>
      </c>
      <c r="E21" s="88">
        <v>4</v>
      </c>
      <c r="F21" s="201"/>
      <c r="G21" s="84"/>
    </row>
    <row r="22" spans="3:17" x14ac:dyDescent="0.25">
      <c r="C22" s="29">
        <v>6</v>
      </c>
      <c r="D22" s="198" t="str">
        <f>IF(Setup!D19="",NA(),Setup!D19)</f>
        <v>FIGI_BBG00FB2C3M5</v>
      </c>
      <c r="E22" s="88">
        <v>4</v>
      </c>
      <c r="F22" s="201"/>
      <c r="G22" s="84"/>
    </row>
    <row r="23" spans="3:17" x14ac:dyDescent="0.25">
      <c r="C23" s="29">
        <v>7</v>
      </c>
      <c r="D23" s="198" t="str">
        <f>IF(Setup!D20="",NA(),Setup!D20)</f>
        <v>FIGI_BBG00FJ5L0H2</v>
      </c>
      <c r="E23" s="88">
        <v>4</v>
      </c>
      <c r="F23" s="201"/>
      <c r="G23" s="84"/>
    </row>
    <row r="24" spans="3:17" x14ac:dyDescent="0.25">
      <c r="C24" s="29">
        <v>8</v>
      </c>
      <c r="D24" s="198" t="str">
        <f>IF(Setup!D21="",NA(),Setup!D21)</f>
        <v>FIGI_BBG00FJ5L0Q2</v>
      </c>
      <c r="E24" s="88">
        <v>4</v>
      </c>
      <c r="F24" s="201"/>
      <c r="G24" s="84"/>
    </row>
    <row r="25" spans="3:17" x14ac:dyDescent="0.25">
      <c r="C25" s="29">
        <v>9</v>
      </c>
      <c r="D25" s="198" t="str">
        <f>IF(Setup!D22="",NA(),Setup!D22)</f>
        <v>FIGI_BBG000C5GF49</v>
      </c>
      <c r="E25" s="88">
        <v>4</v>
      </c>
      <c r="F25" s="201"/>
      <c r="G25" s="84"/>
    </row>
    <row r="26" spans="3:17" x14ac:dyDescent="0.25">
      <c r="C26" s="29">
        <v>10</v>
      </c>
      <c r="D26" s="198" t="str">
        <f>IF(Setup!D23="",NA(),Setup!D23)</f>
        <v>FIGI_BBG000C45QW9</v>
      </c>
      <c r="E26" s="88">
        <v>4</v>
      </c>
      <c r="F26" s="201"/>
      <c r="G26" s="84"/>
    </row>
    <row r="27" spans="3:17" x14ac:dyDescent="0.25">
      <c r="C27" s="29">
        <v>11</v>
      </c>
      <c r="D27" s="198" t="str">
        <f>IF(Setup!D24="",NA(),Setup!D24)</f>
        <v>FIGI_BBG00GZY0K24</v>
      </c>
      <c r="E27" s="88">
        <v>4</v>
      </c>
      <c r="F27" s="201"/>
      <c r="G27" s="84"/>
      <c r="I27" s="341" t="s">
        <v>166</v>
      </c>
      <c r="J27" s="342"/>
      <c r="K27" s="343"/>
    </row>
    <row r="28" spans="3:17" x14ac:dyDescent="0.25">
      <c r="C28" s="29">
        <v>12</v>
      </c>
      <c r="D28" s="198" t="str">
        <f>IF(Setup!D25="",NA(),Setup!D25)</f>
        <v>FIGI_BBG00GZXXVG1</v>
      </c>
      <c r="E28" s="88">
        <v>4</v>
      </c>
      <c r="F28" s="201"/>
      <c r="G28" s="84"/>
      <c r="I28" s="344"/>
      <c r="J28" s="345"/>
      <c r="K28" s="346"/>
    </row>
    <row r="29" spans="3:17" x14ac:dyDescent="0.25">
      <c r="C29" s="29">
        <v>13</v>
      </c>
      <c r="D29" s="198" t="str">
        <f>IF(Setup!D26="",NA(),Setup!D26)</f>
        <v>FIGI_BBG007V3VDW5</v>
      </c>
      <c r="E29" s="88">
        <v>4</v>
      </c>
      <c r="F29" s="201"/>
      <c r="G29" s="84"/>
      <c r="I29" s="344"/>
      <c r="J29" s="345"/>
      <c r="K29" s="346"/>
    </row>
    <row r="30" spans="3:17" x14ac:dyDescent="0.25">
      <c r="C30" s="29">
        <v>14</v>
      </c>
      <c r="D30" s="198" t="str">
        <f>IF(Setup!D27="",NA(),Setup!D27)</f>
        <v>FIGI_BBG000GM7Q26</v>
      </c>
      <c r="E30" s="88">
        <v>4</v>
      </c>
      <c r="F30" s="201"/>
      <c r="G30" s="84"/>
      <c r="I30" s="344"/>
      <c r="J30" s="345"/>
      <c r="K30" s="346"/>
    </row>
    <row r="31" spans="3:17" x14ac:dyDescent="0.25">
      <c r="C31" s="29">
        <v>15</v>
      </c>
      <c r="D31" s="198" t="str">
        <f>IF(Setup!D28="",NA(),Setup!D28)</f>
        <v>FIGI_BBG000V7VSG6</v>
      </c>
      <c r="E31" s="88">
        <v>4</v>
      </c>
      <c r="F31" s="201"/>
      <c r="G31" s="84"/>
      <c r="I31" s="344"/>
      <c r="J31" s="345"/>
      <c r="K31" s="346"/>
    </row>
    <row r="32" spans="3:17" x14ac:dyDescent="0.25">
      <c r="C32" s="29">
        <v>16</v>
      </c>
      <c r="D32" s="198" t="str">
        <f>IF(Setup!D29="",NA(),Setup!D29)</f>
        <v>FIGI_BBG000F8XRF3</v>
      </c>
      <c r="E32" s="88">
        <v>4</v>
      </c>
      <c r="F32" s="201"/>
      <c r="G32" s="84"/>
      <c r="I32" s="344"/>
      <c r="J32" s="345"/>
      <c r="K32" s="346"/>
    </row>
    <row r="33" spans="2:11" x14ac:dyDescent="0.25">
      <c r="C33" s="29">
        <v>17</v>
      </c>
      <c r="D33" s="198" t="str">
        <f>IF(Setup!D30="",NA(),Setup!D30)</f>
        <v>FIGI_BBG000RH4VW4</v>
      </c>
      <c r="E33" s="88">
        <v>4</v>
      </c>
      <c r="F33" s="201"/>
      <c r="G33" s="84"/>
      <c r="I33" s="347"/>
      <c r="J33" s="348"/>
      <c r="K33" s="349"/>
    </row>
    <row r="34" spans="2:11" x14ac:dyDescent="0.25">
      <c r="C34" s="29">
        <v>18</v>
      </c>
      <c r="D34" s="198" t="str">
        <f>IF(Setup!D31="",NA(),Setup!D31)</f>
        <v>FIGI_BBG000R173D9</v>
      </c>
      <c r="E34" s="88">
        <v>4</v>
      </c>
      <c r="F34" s="201"/>
      <c r="G34" s="84"/>
    </row>
    <row r="35" spans="2:11" x14ac:dyDescent="0.25">
      <c r="C35" s="29">
        <v>19</v>
      </c>
      <c r="D35" s="198" t="str">
        <f>IF(Setup!D32="",NA(),Setup!D32)</f>
        <v>FIGI_BBG001HQYT28</v>
      </c>
      <c r="E35" s="88">
        <v>4</v>
      </c>
      <c r="F35" s="201"/>
      <c r="G35" s="84"/>
    </row>
    <row r="36" spans="2:11" x14ac:dyDescent="0.25">
      <c r="C36" s="29">
        <v>20</v>
      </c>
      <c r="D36" s="198" t="str">
        <f>IF(Setup!D33="",NA(),Setup!D33)</f>
        <v>FIGI_BBG0037S1FD5</v>
      </c>
      <c r="E36" s="88">
        <v>4</v>
      </c>
      <c r="F36" s="201"/>
      <c r="G36" s="84"/>
    </row>
    <row r="37" spans="2:11" x14ac:dyDescent="0.25">
      <c r="C37" s="29">
        <v>21</v>
      </c>
      <c r="D37" s="198" t="str">
        <f>IF(Setup!D34="",NA(),Setup!D34)</f>
        <v>FIGI_BBG001B81KF5</v>
      </c>
      <c r="E37" s="88">
        <v>4</v>
      </c>
      <c r="F37" s="201"/>
      <c r="G37" s="84"/>
    </row>
    <row r="38" spans="2:11" x14ac:dyDescent="0.25">
      <c r="C38" s="29">
        <v>22</v>
      </c>
      <c r="D38" s="198" t="str">
        <f>IF(Setup!D35="",NA(),Setup!D35)</f>
        <v>FIGI_BBG0034YPJG8</v>
      </c>
      <c r="E38" s="88">
        <v>4</v>
      </c>
      <c r="F38" s="201"/>
      <c r="G38" s="84"/>
    </row>
    <row r="39" spans="2:11" x14ac:dyDescent="0.25">
      <c r="C39" s="29">
        <v>23</v>
      </c>
      <c r="D39" s="198" t="str">
        <f>IF(Setup!D36="",NA(),Setup!D36)</f>
        <v>FIGI_BBG0034YQ808</v>
      </c>
      <c r="E39" s="88">
        <v>4</v>
      </c>
      <c r="F39" s="201"/>
      <c r="G39" s="84"/>
    </row>
    <row r="40" spans="2:11" x14ac:dyDescent="0.25">
      <c r="C40" s="29">
        <v>24</v>
      </c>
      <c r="D40" s="198" t="str">
        <f>IF(Setup!D37="",NA(),Setup!D37)</f>
        <v>FIGI_BBG004733FZ2</v>
      </c>
      <c r="E40" s="88">
        <v>4</v>
      </c>
      <c r="F40" s="201"/>
      <c r="G40" s="84"/>
    </row>
    <row r="41" spans="2:11" x14ac:dyDescent="0.25">
      <c r="C41" s="29">
        <v>25</v>
      </c>
      <c r="D41" s="198" t="str">
        <f>IF(Setup!D38="",NA(),Setup!D38)</f>
        <v>FIGI_BBG004XQG9D6</v>
      </c>
      <c r="E41" s="88">
        <v>4</v>
      </c>
      <c r="F41" s="201"/>
      <c r="G41" s="84"/>
    </row>
    <row r="42" spans="2:11" x14ac:dyDescent="0.25">
      <c r="C42" s="29">
        <v>26</v>
      </c>
      <c r="D42" s="198" t="str">
        <f>IF(Setup!D39="",NA(),Setup!D39)</f>
        <v>FIGI_BBG003BJ6K44</v>
      </c>
      <c r="E42" s="88">
        <v>4</v>
      </c>
      <c r="F42" s="201"/>
      <c r="G42" s="84"/>
    </row>
    <row r="43" spans="2:11" x14ac:dyDescent="0.25">
      <c r="C43" s="29">
        <v>27</v>
      </c>
      <c r="D43" s="198" t="e">
        <f>IF(Setup!D40="",NA(),Setup!D40)</f>
        <v>#N/A</v>
      </c>
      <c r="E43" s="88"/>
      <c r="F43" s="201"/>
      <c r="G43" s="84"/>
    </row>
    <row r="44" spans="2:11" x14ac:dyDescent="0.25">
      <c r="C44" s="29">
        <v>28</v>
      </c>
      <c r="D44" s="198" t="e">
        <f>IF(Setup!D41="",NA(),Setup!D41)</f>
        <v>#N/A</v>
      </c>
      <c r="E44" s="88"/>
      <c r="F44" s="201"/>
      <c r="G44" s="84"/>
    </row>
    <row r="45" spans="2:11" x14ac:dyDescent="0.25">
      <c r="C45" s="29">
        <v>29</v>
      </c>
      <c r="D45" s="198" t="e">
        <f>IF(Setup!D42="",NA(),Setup!D42)</f>
        <v>#N/A</v>
      </c>
      <c r="E45" s="88"/>
      <c r="F45" s="201"/>
      <c r="G45" s="84"/>
    </row>
    <row r="46" spans="2:11" x14ac:dyDescent="0.25">
      <c r="B46" s="30"/>
      <c r="C46" s="29">
        <v>30</v>
      </c>
      <c r="D46" s="199" t="e">
        <f>IF(Setup!D43="",NA(),Setup!D43)</f>
        <v>#N/A</v>
      </c>
      <c r="E46" s="160"/>
      <c r="F46" s="202"/>
      <c r="G46" s="85"/>
    </row>
    <row r="47" spans="2:11" x14ac:dyDescent="0.25">
      <c r="E47" s="187"/>
      <c r="F47" s="73"/>
    </row>
    <row r="48" spans="2:11" x14ac:dyDescent="0.25">
      <c r="E48" s="187"/>
      <c r="F48" s="73"/>
    </row>
    <row r="49" spans="3:8" x14ac:dyDescent="0.25">
      <c r="E49" s="187"/>
      <c r="F49" s="73"/>
    </row>
    <row r="50" spans="3:8" ht="15" customHeight="1" x14ac:dyDescent="0.25">
      <c r="C50" s="333" t="s">
        <v>169</v>
      </c>
      <c r="D50" s="334"/>
      <c r="E50" s="334"/>
      <c r="F50" s="334"/>
      <c r="G50" s="334"/>
      <c r="H50" s="335"/>
    </row>
    <row r="51" spans="3:8" ht="15" customHeight="1" x14ac:dyDescent="0.25">
      <c r="C51" s="336"/>
      <c r="D51" s="321"/>
      <c r="E51" s="321"/>
      <c r="F51" s="321"/>
      <c r="G51" s="321"/>
      <c r="H51" s="337"/>
    </row>
    <row r="52" spans="3:8" ht="15" customHeight="1" x14ac:dyDescent="0.25">
      <c r="C52" s="336"/>
      <c r="D52" s="321"/>
      <c r="E52" s="321"/>
      <c r="F52" s="321"/>
      <c r="G52" s="321"/>
      <c r="H52" s="337"/>
    </row>
    <row r="53" spans="3:8" ht="15" customHeight="1" x14ac:dyDescent="0.25">
      <c r="C53" s="336"/>
      <c r="D53" s="321"/>
      <c r="E53" s="321"/>
      <c r="F53" s="321"/>
      <c r="G53" s="321"/>
      <c r="H53" s="337"/>
    </row>
    <row r="54" spans="3:8" ht="15" customHeight="1" x14ac:dyDescent="0.25">
      <c r="C54" s="338"/>
      <c r="D54" s="339"/>
      <c r="E54" s="339"/>
      <c r="F54" s="339"/>
      <c r="G54" s="339"/>
      <c r="H54" s="340"/>
    </row>
    <row r="55" spans="3:8" x14ac:dyDescent="0.25">
      <c r="E55" s="187"/>
    </row>
    <row r="56" spans="3:8" x14ac:dyDescent="0.25">
      <c r="E56" s="187"/>
    </row>
    <row r="57" spans="3:8" x14ac:dyDescent="0.25">
      <c r="E57" s="187"/>
    </row>
    <row r="58" spans="3:8" x14ac:dyDescent="0.25">
      <c r="E58" s="187"/>
    </row>
    <row r="59" spans="3:8" x14ac:dyDescent="0.25">
      <c r="E59" s="187"/>
    </row>
    <row r="60" spans="3:8" x14ac:dyDescent="0.25">
      <c r="E60" s="187"/>
    </row>
    <row r="61" spans="3:8" x14ac:dyDescent="0.25">
      <c r="E61" s="187"/>
    </row>
    <row r="62" spans="3:8" x14ac:dyDescent="0.25">
      <c r="E62" s="187"/>
    </row>
    <row r="63" spans="3:8" x14ac:dyDescent="0.25">
      <c r="E63" s="187"/>
    </row>
    <row r="64" spans="3:8" x14ac:dyDescent="0.25">
      <c r="E64" s="187"/>
    </row>
    <row r="65" spans="5:5" x14ac:dyDescent="0.25">
      <c r="E65" s="187"/>
    </row>
    <row r="66" spans="5:5" x14ac:dyDescent="0.25">
      <c r="E66" s="187"/>
    </row>
    <row r="67" spans="5:5" x14ac:dyDescent="0.25">
      <c r="E67" s="187"/>
    </row>
    <row r="68" spans="5:5" x14ac:dyDescent="0.25">
      <c r="E68" s="187"/>
    </row>
    <row r="69" spans="5:5" x14ac:dyDescent="0.25">
      <c r="E69" s="187"/>
    </row>
    <row r="70" spans="5:5" x14ac:dyDescent="0.25">
      <c r="E70" s="187"/>
    </row>
    <row r="71" spans="5:5" x14ac:dyDescent="0.25">
      <c r="E71" s="187"/>
    </row>
    <row r="72" spans="5:5" x14ac:dyDescent="0.25">
      <c r="E72" s="187"/>
    </row>
    <row r="73" spans="5:5" x14ac:dyDescent="0.25">
      <c r="E73" s="187"/>
    </row>
    <row r="74" spans="5:5" x14ac:dyDescent="0.25">
      <c r="E74" s="187"/>
    </row>
    <row r="75" spans="5:5" x14ac:dyDescent="0.25">
      <c r="E75" s="187"/>
    </row>
    <row r="76" spans="5:5" x14ac:dyDescent="0.25">
      <c r="E76" s="187"/>
    </row>
    <row r="77" spans="5:5" x14ac:dyDescent="0.25">
      <c r="E77" s="187"/>
    </row>
    <row r="78" spans="5:5" x14ac:dyDescent="0.25">
      <c r="E78" s="187"/>
    </row>
    <row r="79" spans="5:5" x14ac:dyDescent="0.25">
      <c r="E79" s="187"/>
    </row>
    <row r="80" spans="5:5" x14ac:dyDescent="0.25">
      <c r="E80" s="187"/>
    </row>
    <row r="81" spans="5:5" x14ac:dyDescent="0.25">
      <c r="E81" s="187"/>
    </row>
    <row r="82" spans="5:5" x14ac:dyDescent="0.25">
      <c r="E82" s="187"/>
    </row>
    <row r="83" spans="5:5" x14ac:dyDescent="0.25">
      <c r="E83" s="187"/>
    </row>
    <row r="84" spans="5:5" x14ac:dyDescent="0.25">
      <c r="E84" s="187"/>
    </row>
    <row r="85" spans="5:5" x14ac:dyDescent="0.25">
      <c r="E85" s="187"/>
    </row>
    <row r="86" spans="5:5" x14ac:dyDescent="0.25">
      <c r="E86" s="187"/>
    </row>
    <row r="87" spans="5:5" x14ac:dyDescent="0.25">
      <c r="E87" s="187"/>
    </row>
    <row r="88" spans="5:5" x14ac:dyDescent="0.25">
      <c r="E88" s="187"/>
    </row>
    <row r="89" spans="5:5" x14ac:dyDescent="0.25">
      <c r="E89" s="187"/>
    </row>
    <row r="90" spans="5:5" x14ac:dyDescent="0.25">
      <c r="E90" s="187"/>
    </row>
    <row r="91" spans="5:5" x14ac:dyDescent="0.25">
      <c r="E91" s="187"/>
    </row>
    <row r="92" spans="5:5" x14ac:dyDescent="0.25">
      <c r="E92" s="187"/>
    </row>
    <row r="93" spans="5:5" x14ac:dyDescent="0.25">
      <c r="E93" s="187"/>
    </row>
    <row r="94" spans="5:5" x14ac:dyDescent="0.25">
      <c r="E94" s="187"/>
    </row>
    <row r="95" spans="5:5" x14ac:dyDescent="0.25">
      <c r="E95" s="187"/>
    </row>
    <row r="96" spans="5:5" x14ac:dyDescent="0.25">
      <c r="E96" s="187"/>
    </row>
    <row r="97" spans="5:5" x14ac:dyDescent="0.25">
      <c r="E97" s="187"/>
    </row>
    <row r="98" spans="5:5" x14ac:dyDescent="0.25">
      <c r="E98" s="187"/>
    </row>
    <row r="99" spans="5:5" x14ac:dyDescent="0.25">
      <c r="E99" s="187"/>
    </row>
    <row r="100" spans="5:5" x14ac:dyDescent="0.25">
      <c r="E100" s="187"/>
    </row>
    <row r="101" spans="5:5" x14ac:dyDescent="0.25">
      <c r="E101" s="187"/>
    </row>
    <row r="102" spans="5:5" x14ac:dyDescent="0.25">
      <c r="E102" s="187"/>
    </row>
    <row r="103" spans="5:5" x14ac:dyDescent="0.25">
      <c r="E103" s="187"/>
    </row>
    <row r="104" spans="5:5" x14ac:dyDescent="0.25">
      <c r="E104" s="187"/>
    </row>
    <row r="105" spans="5:5" x14ac:dyDescent="0.25">
      <c r="E105" s="187"/>
    </row>
    <row r="106" spans="5:5" x14ac:dyDescent="0.25">
      <c r="E106" s="187"/>
    </row>
    <row r="107" spans="5:5" x14ac:dyDescent="0.25">
      <c r="E107" s="187"/>
    </row>
    <row r="108" spans="5:5" x14ac:dyDescent="0.25">
      <c r="E108" s="187"/>
    </row>
    <row r="109" spans="5:5" x14ac:dyDescent="0.25">
      <c r="E109" s="187"/>
    </row>
    <row r="110" spans="5:5" x14ac:dyDescent="0.25">
      <c r="E110" s="187"/>
    </row>
    <row r="111" spans="5:5" x14ac:dyDescent="0.25">
      <c r="E111" s="187"/>
    </row>
    <row r="112" spans="5:5" x14ac:dyDescent="0.25">
      <c r="E112" s="187"/>
    </row>
    <row r="113" spans="5:5" x14ac:dyDescent="0.25">
      <c r="E113" s="187"/>
    </row>
    <row r="114" spans="5:5" x14ac:dyDescent="0.25">
      <c r="E114" s="187"/>
    </row>
    <row r="115" spans="5:5" x14ac:dyDescent="0.25">
      <c r="E115" s="187"/>
    </row>
    <row r="116" spans="5:5" x14ac:dyDescent="0.25">
      <c r="E116" s="187"/>
    </row>
    <row r="117" spans="5:5" x14ac:dyDescent="0.25">
      <c r="E117" s="187"/>
    </row>
    <row r="118" spans="5:5" x14ac:dyDescent="0.25">
      <c r="E118" s="187"/>
    </row>
    <row r="119" spans="5:5" x14ac:dyDescent="0.25">
      <c r="E119" s="187"/>
    </row>
    <row r="120" spans="5:5" x14ac:dyDescent="0.25">
      <c r="E120" s="187"/>
    </row>
    <row r="121" spans="5:5" x14ac:dyDescent="0.25">
      <c r="E121" s="187"/>
    </row>
    <row r="122" spans="5:5" x14ac:dyDescent="0.25">
      <c r="E122" s="187"/>
    </row>
    <row r="123" spans="5:5" x14ac:dyDescent="0.25">
      <c r="E123" s="187"/>
    </row>
    <row r="124" spans="5:5" x14ac:dyDescent="0.25">
      <c r="E124" s="187"/>
    </row>
    <row r="125" spans="5:5" x14ac:dyDescent="0.25">
      <c r="E125" s="187"/>
    </row>
    <row r="126" spans="5:5" x14ac:dyDescent="0.25">
      <c r="E126" s="187"/>
    </row>
    <row r="127" spans="5:5" x14ac:dyDescent="0.25">
      <c r="E127" s="187"/>
    </row>
    <row r="128" spans="5:5" x14ac:dyDescent="0.25">
      <c r="E128" s="187"/>
    </row>
    <row r="129" spans="5:5" x14ac:dyDescent="0.25">
      <c r="E129" s="187"/>
    </row>
    <row r="130" spans="5:5" x14ac:dyDescent="0.25">
      <c r="E130" s="187"/>
    </row>
    <row r="131" spans="5:5" x14ac:dyDescent="0.25">
      <c r="E131" s="187"/>
    </row>
    <row r="132" spans="5:5" x14ac:dyDescent="0.25">
      <c r="E132" s="187"/>
    </row>
    <row r="133" spans="5:5" x14ac:dyDescent="0.25">
      <c r="E133" s="187"/>
    </row>
    <row r="134" spans="5:5" x14ac:dyDescent="0.25">
      <c r="E134" s="187"/>
    </row>
    <row r="135" spans="5:5" x14ac:dyDescent="0.25">
      <c r="E135" s="187"/>
    </row>
    <row r="136" spans="5:5" x14ac:dyDescent="0.25">
      <c r="E136" s="187"/>
    </row>
    <row r="137" spans="5:5" x14ac:dyDescent="0.25">
      <c r="E137" s="187"/>
    </row>
    <row r="138" spans="5:5" x14ac:dyDescent="0.25">
      <c r="E138" s="187"/>
    </row>
    <row r="139" spans="5:5" x14ac:dyDescent="0.25">
      <c r="E139" s="187"/>
    </row>
    <row r="140" spans="5:5" x14ac:dyDescent="0.25">
      <c r="E140" s="187"/>
    </row>
    <row r="141" spans="5:5" x14ac:dyDescent="0.25">
      <c r="E141" s="187"/>
    </row>
    <row r="142" spans="5:5" x14ac:dyDescent="0.25">
      <c r="E142" s="187"/>
    </row>
    <row r="143" spans="5:5" x14ac:dyDescent="0.25">
      <c r="E143" s="187"/>
    </row>
    <row r="144" spans="5:5" x14ac:dyDescent="0.25">
      <c r="E144" s="187"/>
    </row>
    <row r="145" spans="5:5" x14ac:dyDescent="0.25">
      <c r="E145" s="187"/>
    </row>
    <row r="146" spans="5:5" x14ac:dyDescent="0.25">
      <c r="E146" s="187"/>
    </row>
    <row r="147" spans="5:5" x14ac:dyDescent="0.25">
      <c r="E147" s="187"/>
    </row>
    <row r="148" spans="5:5" x14ac:dyDescent="0.25">
      <c r="E148" s="187"/>
    </row>
    <row r="149" spans="5:5" x14ac:dyDescent="0.25">
      <c r="E149" s="187"/>
    </row>
    <row r="150" spans="5:5" x14ac:dyDescent="0.25">
      <c r="E150" s="187"/>
    </row>
    <row r="151" spans="5:5" x14ac:dyDescent="0.25">
      <c r="E151" s="187"/>
    </row>
    <row r="152" spans="5:5" x14ac:dyDescent="0.25">
      <c r="E152" s="187"/>
    </row>
    <row r="153" spans="5:5" x14ac:dyDescent="0.25">
      <c r="E153" s="187"/>
    </row>
    <row r="154" spans="5:5" x14ac:dyDescent="0.25">
      <c r="E154" s="187"/>
    </row>
    <row r="155" spans="5:5" x14ac:dyDescent="0.25">
      <c r="E155" s="187"/>
    </row>
    <row r="156" spans="5:5" x14ac:dyDescent="0.25">
      <c r="E156" s="187"/>
    </row>
    <row r="157" spans="5:5" x14ac:dyDescent="0.25">
      <c r="E157" s="187"/>
    </row>
    <row r="158" spans="5:5" x14ac:dyDescent="0.25">
      <c r="E158" s="187"/>
    </row>
    <row r="159" spans="5:5" x14ac:dyDescent="0.25">
      <c r="E159" s="187"/>
    </row>
    <row r="160" spans="5:5" x14ac:dyDescent="0.25">
      <c r="E160" s="187"/>
    </row>
    <row r="161" spans="5:5" x14ac:dyDescent="0.25">
      <c r="E161" s="187"/>
    </row>
    <row r="162" spans="5:5" x14ac:dyDescent="0.25">
      <c r="E162" s="187"/>
    </row>
    <row r="163" spans="5:5" x14ac:dyDescent="0.25">
      <c r="E163" s="187"/>
    </row>
    <row r="164" spans="5:5" x14ac:dyDescent="0.25">
      <c r="E164" s="187"/>
    </row>
    <row r="165" spans="5:5" x14ac:dyDescent="0.25">
      <c r="E165" s="187"/>
    </row>
    <row r="166" spans="5:5" x14ac:dyDescent="0.25">
      <c r="E166" s="187"/>
    </row>
    <row r="167" spans="5:5" x14ac:dyDescent="0.25">
      <c r="E167" s="187"/>
    </row>
    <row r="168" spans="5:5" x14ac:dyDescent="0.25">
      <c r="E168" s="187"/>
    </row>
    <row r="169" spans="5:5" x14ac:dyDescent="0.25">
      <c r="E169" s="187"/>
    </row>
    <row r="170" spans="5:5" x14ac:dyDescent="0.25">
      <c r="E170" s="187"/>
    </row>
    <row r="171" spans="5:5" x14ac:dyDescent="0.25">
      <c r="E171" s="187"/>
    </row>
    <row r="172" spans="5:5" x14ac:dyDescent="0.25">
      <c r="E172" s="187"/>
    </row>
    <row r="173" spans="5:5" x14ac:dyDescent="0.25">
      <c r="E173" s="187"/>
    </row>
    <row r="174" spans="5:5" x14ac:dyDescent="0.25">
      <c r="E174" s="187"/>
    </row>
    <row r="175" spans="5:5" x14ac:dyDescent="0.25">
      <c r="E175" s="187"/>
    </row>
    <row r="176" spans="5:5" x14ac:dyDescent="0.25">
      <c r="E176" s="187"/>
    </row>
    <row r="177" spans="5:5" x14ac:dyDescent="0.25">
      <c r="E177" s="187"/>
    </row>
    <row r="178" spans="5:5" x14ac:dyDescent="0.25">
      <c r="E178" s="187"/>
    </row>
    <row r="179" spans="5:5" x14ac:dyDescent="0.25">
      <c r="E179" s="187"/>
    </row>
    <row r="180" spans="5:5" x14ac:dyDescent="0.25">
      <c r="E180" s="187"/>
    </row>
    <row r="181" spans="5:5" x14ac:dyDescent="0.25">
      <c r="E181" s="187"/>
    </row>
    <row r="182" spans="5:5" x14ac:dyDescent="0.25">
      <c r="E182" s="187"/>
    </row>
    <row r="183" spans="5:5" x14ac:dyDescent="0.25">
      <c r="E183" s="187"/>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8"/>
  <sheetViews>
    <sheetView zoomScale="80" zoomScaleNormal="80" workbookViewId="0">
      <selection activeCell="C15" sqref="C15"/>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80"/>
    </row>
    <row r="3" spans="2:14" x14ac:dyDescent="0.25">
      <c r="D3" s="80"/>
    </row>
    <row r="4" spans="2:14" x14ac:dyDescent="0.25">
      <c r="D4" s="80"/>
    </row>
    <row r="5" spans="2:14" x14ac:dyDescent="0.25">
      <c r="D5" s="80"/>
    </row>
    <row r="6" spans="2:14" ht="15" customHeight="1" x14ac:dyDescent="0.25">
      <c r="B6" s="333" t="s">
        <v>134</v>
      </c>
      <c r="C6" s="334"/>
      <c r="D6" s="334"/>
      <c r="E6" s="334"/>
      <c r="F6" s="334"/>
      <c r="G6" s="334"/>
      <c r="H6" s="335"/>
      <c r="I6" s="95"/>
      <c r="L6" s="95"/>
      <c r="M6" s="95"/>
      <c r="N6" s="95"/>
    </row>
    <row r="7" spans="2:14" ht="15" customHeight="1" x14ac:dyDescent="0.25">
      <c r="B7" s="336"/>
      <c r="C7" s="321"/>
      <c r="D7" s="321"/>
      <c r="E7" s="321"/>
      <c r="F7" s="321"/>
      <c r="G7" s="321"/>
      <c r="H7" s="337"/>
      <c r="I7" s="95"/>
      <c r="L7" s="95"/>
      <c r="M7" s="95"/>
      <c r="N7" s="95"/>
    </row>
    <row r="8" spans="2:14" ht="15.75" customHeight="1" x14ac:dyDescent="0.25">
      <c r="B8" s="338"/>
      <c r="C8" s="339"/>
      <c r="D8" s="339"/>
      <c r="E8" s="339"/>
      <c r="F8" s="339"/>
      <c r="G8" s="339"/>
      <c r="H8" s="340"/>
      <c r="I8" s="19"/>
    </row>
    <row r="10" spans="2:14" ht="15.75" customHeight="1" x14ac:dyDescent="0.25">
      <c r="B10" s="367" t="s">
        <v>133</v>
      </c>
      <c r="C10" s="368"/>
      <c r="D10" s="368"/>
      <c r="E10" s="368"/>
      <c r="F10" s="368"/>
      <c r="G10" s="368"/>
      <c r="H10" s="369"/>
      <c r="I10" s="66"/>
    </row>
    <row r="11" spans="2:14" ht="15.75" x14ac:dyDescent="0.25">
      <c r="B11" s="370"/>
      <c r="C11" s="371"/>
      <c r="D11" s="371"/>
      <c r="E11" s="371"/>
      <c r="F11" s="371"/>
      <c r="G11" s="371"/>
      <c r="H11" s="372"/>
      <c r="I11" s="66"/>
    </row>
    <row r="12" spans="2:14" ht="15.75" x14ac:dyDescent="0.25">
      <c r="D12" s="66"/>
      <c r="E12" s="66"/>
      <c r="F12" s="66"/>
      <c r="G12" s="66"/>
      <c r="H12" s="66"/>
      <c r="I12" s="66"/>
    </row>
    <row r="13" spans="2:14" ht="16.5" customHeight="1" thickBot="1" x14ac:dyDescent="0.3">
      <c r="B13" s="91" t="s">
        <v>0</v>
      </c>
      <c r="C13" s="92" t="s">
        <v>85</v>
      </c>
      <c r="D13" s="66"/>
      <c r="E13" s="333" t="s">
        <v>144</v>
      </c>
      <c r="F13" s="334"/>
      <c r="G13" s="334"/>
      <c r="H13" s="335"/>
      <c r="I13" s="104"/>
    </row>
    <row r="14" spans="2:14" ht="16.5" customHeight="1" thickTop="1" x14ac:dyDescent="0.25">
      <c r="B14" s="89" t="s">
        <v>91</v>
      </c>
      <c r="C14" s="71" t="str">
        <f>Scope</f>
        <v>DemoScope</v>
      </c>
      <c r="D14" s="66"/>
      <c r="E14" s="336"/>
      <c r="F14" s="321"/>
      <c r="G14" s="321"/>
      <c r="H14" s="337"/>
      <c r="I14" s="104"/>
    </row>
    <row r="15" spans="2:14" ht="15.75" customHeight="1" x14ac:dyDescent="0.25">
      <c r="B15" s="89" t="s">
        <v>92</v>
      </c>
      <c r="C15" s="94" t="s">
        <v>236</v>
      </c>
      <c r="D15" s="66"/>
      <c r="E15" s="336"/>
      <c r="F15" s="321"/>
      <c r="G15" s="321"/>
      <c r="H15" s="337"/>
      <c r="I15" s="104"/>
    </row>
    <row r="16" spans="2:14" ht="15.75" customHeight="1" x14ac:dyDescent="0.25">
      <c r="B16" s="89" t="s">
        <v>93</v>
      </c>
      <c r="C16" s="71" t="s">
        <v>94</v>
      </c>
      <c r="D16" s="66"/>
      <c r="E16" s="336"/>
      <c r="F16" s="321"/>
      <c r="G16" s="321"/>
      <c r="H16" s="337"/>
      <c r="I16" s="104"/>
    </row>
    <row r="17" spans="1:10" ht="15.75" customHeight="1" thickBot="1" x14ac:dyDescent="0.3">
      <c r="B17" s="89" t="s">
        <v>95</v>
      </c>
      <c r="C17" s="163" t="str">
        <f t="array" ref="C17">TRANSPOSE(IF(ClassificationKeys="","",ClassificationKeys))</f>
        <v/>
      </c>
      <c r="D17" s="66"/>
      <c r="E17" s="336"/>
      <c r="F17" s="321"/>
      <c r="G17" s="321"/>
      <c r="H17" s="337"/>
      <c r="I17" s="104"/>
      <c r="J17" s="150"/>
    </row>
    <row r="18" spans="1:10" ht="15.75" customHeight="1" thickTop="1" x14ac:dyDescent="0.25">
      <c r="B18" s="89" t="s">
        <v>44</v>
      </c>
      <c r="C18" s="149" t="s">
        <v>96</v>
      </c>
      <c r="D18" s="66"/>
      <c r="E18" s="336"/>
      <c r="F18" s="321"/>
      <c r="G18" s="321"/>
      <c r="H18" s="337"/>
      <c r="I18" s="66"/>
      <c r="J18" s="112"/>
    </row>
    <row r="19" spans="1:10" ht="15.75" customHeight="1" x14ac:dyDescent="0.25">
      <c r="B19" s="90" t="s">
        <v>97</v>
      </c>
      <c r="C19" s="93">
        <f ca="1">AnalyticsStoreDate</f>
        <v>43396</v>
      </c>
      <c r="D19" s="66"/>
      <c r="E19" s="338"/>
      <c r="F19" s="339"/>
      <c r="G19" s="339"/>
      <c r="H19" s="340"/>
      <c r="I19" s="66"/>
      <c r="J19" s="111"/>
    </row>
    <row r="20" spans="1:10" ht="15.75" x14ac:dyDescent="0.25">
      <c r="D20" s="66"/>
      <c r="E20" s="66"/>
      <c r="F20" s="66"/>
      <c r="G20" s="66"/>
      <c r="H20" s="66"/>
      <c r="I20" s="66"/>
    </row>
    <row r="21" spans="1:10" ht="15.75" x14ac:dyDescent="0.25">
      <c r="D21" s="66"/>
      <c r="E21" s="66"/>
      <c r="F21" s="66"/>
      <c r="G21" s="66"/>
      <c r="H21" s="66"/>
      <c r="I21" s="66"/>
    </row>
    <row r="22" spans="1:10" ht="15.75" customHeight="1" x14ac:dyDescent="0.25">
      <c r="B22" s="308" t="s">
        <v>132</v>
      </c>
      <c r="C22" s="309"/>
      <c r="D22" s="309"/>
      <c r="E22" s="310"/>
      <c r="F22" s="78"/>
      <c r="G22" s="78"/>
      <c r="H22" s="66"/>
      <c r="I22" s="66"/>
    </row>
    <row r="23" spans="1:10" ht="15.75" customHeight="1" x14ac:dyDescent="0.25">
      <c r="B23" s="311"/>
      <c r="C23" s="312"/>
      <c r="D23" s="312"/>
      <c r="E23" s="313"/>
      <c r="F23" s="78"/>
      <c r="G23" s="78"/>
      <c r="H23" s="66"/>
      <c r="I23" s="66"/>
    </row>
    <row r="24" spans="1:10" ht="15.75" x14ac:dyDescent="0.25">
      <c r="B24" s="314"/>
      <c r="C24" s="315"/>
      <c r="D24" s="315"/>
      <c r="E24" s="316"/>
      <c r="F24" s="78"/>
      <c r="G24" s="78"/>
      <c r="H24" s="66"/>
      <c r="I24" s="66"/>
    </row>
    <row r="25" spans="1:10" ht="15.75" x14ac:dyDescent="0.25">
      <c r="D25" s="66"/>
      <c r="E25" s="66"/>
      <c r="F25" s="66"/>
      <c r="G25" s="66"/>
      <c r="H25" s="66"/>
      <c r="I25" s="66"/>
    </row>
    <row r="26" spans="1:10" ht="15.75" x14ac:dyDescent="0.25">
      <c r="B26" s="196" t="s">
        <v>135</v>
      </c>
      <c r="D26" s="66"/>
      <c r="E26" s="66"/>
      <c r="F26" s="66"/>
      <c r="G26" s="66"/>
      <c r="H26" s="66"/>
      <c r="I26" s="66"/>
    </row>
    <row r="27" spans="1:10" ht="15.75" x14ac:dyDescent="0.25">
      <c r="A27" s="111"/>
      <c r="B27" s="111"/>
      <c r="C27" s="111"/>
      <c r="D27" s="111"/>
      <c r="E27" s="111"/>
      <c r="F27" s="111"/>
      <c r="G27" s="66"/>
      <c r="H27" s="66"/>
      <c r="I27" s="66"/>
    </row>
    <row r="28" spans="1:10" ht="15.75" x14ac:dyDescent="0.25">
      <c r="A28" s="111"/>
      <c r="B28" s="236"/>
      <c r="C28" s="236"/>
      <c r="D28" s="236"/>
      <c r="E28" s="236"/>
      <c r="F28" s="111"/>
      <c r="G28" s="66"/>
      <c r="H28" s="66"/>
      <c r="I28" s="66"/>
    </row>
    <row r="29" spans="1:10" ht="15.75" x14ac:dyDescent="0.25">
      <c r="A29" s="111"/>
      <c r="B29" s="236"/>
      <c r="C29" s="236"/>
      <c r="D29" s="236"/>
      <c r="E29" s="236"/>
      <c r="F29" s="111"/>
      <c r="G29" s="66"/>
      <c r="H29" s="66"/>
      <c r="I29" s="66"/>
    </row>
    <row r="30" spans="1:10" ht="15.75" x14ac:dyDescent="0.25">
      <c r="A30" s="111"/>
      <c r="B30" s="236"/>
      <c r="C30" s="236"/>
      <c r="D30" s="236"/>
      <c r="E30" s="236"/>
      <c r="F30" s="111"/>
      <c r="G30" s="66"/>
      <c r="H30" s="66"/>
      <c r="I30" s="66"/>
    </row>
    <row r="31" spans="1:10" x14ac:dyDescent="0.25">
      <c r="A31" s="111"/>
      <c r="B31" s="236"/>
      <c r="C31" s="236"/>
      <c r="D31" s="236"/>
      <c r="E31" s="236"/>
      <c r="F31" s="111"/>
      <c r="G31" s="111"/>
    </row>
    <row r="32" spans="1:10" x14ac:dyDescent="0.25">
      <c r="A32" s="111"/>
      <c r="B32" s="236"/>
      <c r="C32" s="236"/>
      <c r="D32" s="236"/>
      <c r="E32" s="236"/>
      <c r="F32" s="111"/>
      <c r="G32" s="111"/>
    </row>
    <row r="33" spans="1:7" x14ac:dyDescent="0.25">
      <c r="A33" s="111"/>
      <c r="B33" s="111"/>
      <c r="C33" s="111"/>
      <c r="D33" s="111"/>
      <c r="E33" s="111"/>
      <c r="F33" s="111"/>
      <c r="G33" s="111"/>
    </row>
    <row r="34" spans="1:7" ht="15" customHeight="1" x14ac:dyDescent="0.25">
      <c r="A34" s="111"/>
      <c r="B34" s="111"/>
      <c r="C34" s="111"/>
      <c r="D34" s="111"/>
      <c r="E34" s="111"/>
      <c r="F34" s="111"/>
      <c r="G34" s="111"/>
    </row>
    <row r="35" spans="1:7" x14ac:dyDescent="0.25">
      <c r="A35" s="111"/>
      <c r="B35" s="111"/>
      <c r="C35" s="111"/>
      <c r="D35" s="111"/>
      <c r="E35" s="111"/>
      <c r="F35" s="111"/>
      <c r="G35" s="111"/>
    </row>
    <row r="36" spans="1:7" x14ac:dyDescent="0.25">
      <c r="A36" s="111"/>
      <c r="G36" s="111"/>
    </row>
    <row r="37" spans="1:7" x14ac:dyDescent="0.25">
      <c r="A37" s="111"/>
      <c r="G37" s="111"/>
    </row>
    <row r="38" spans="1:7" x14ac:dyDescent="0.25">
      <c r="A38" s="111"/>
      <c r="G38" s="111"/>
    </row>
    <row r="39" spans="1:7" x14ac:dyDescent="0.25">
      <c r="A39" s="111"/>
      <c r="G39" s="111"/>
    </row>
    <row r="40" spans="1:7" x14ac:dyDescent="0.25">
      <c r="A40" s="111"/>
      <c r="G40" s="111"/>
    </row>
    <row r="41" spans="1:7" x14ac:dyDescent="0.25">
      <c r="A41" s="111"/>
      <c r="G41" s="111"/>
    </row>
    <row r="42" spans="1:7" x14ac:dyDescent="0.25">
      <c r="A42" s="111"/>
      <c r="G42" s="111"/>
    </row>
    <row r="43" spans="1:7" x14ac:dyDescent="0.25">
      <c r="A43" s="111"/>
      <c r="G43" s="111"/>
    </row>
    <row r="44" spans="1:7" x14ac:dyDescent="0.25">
      <c r="A44" s="111"/>
      <c r="B44" s="111"/>
      <c r="C44" s="111"/>
      <c r="D44" s="111"/>
      <c r="E44" s="111"/>
      <c r="F44" s="111"/>
      <c r="G44" s="111"/>
    </row>
    <row r="45" spans="1:7" x14ac:dyDescent="0.25">
      <c r="A45" s="111"/>
      <c r="B45" s="111"/>
      <c r="C45" s="111"/>
      <c r="D45" s="111"/>
      <c r="E45" s="111"/>
      <c r="F45" s="111"/>
      <c r="G45" s="111"/>
    </row>
    <row r="46" spans="1:7" x14ac:dyDescent="0.25">
      <c r="A46" s="111"/>
      <c r="B46" s="111"/>
      <c r="C46" s="111"/>
      <c r="D46" s="111"/>
      <c r="E46" s="111"/>
      <c r="F46" s="111"/>
      <c r="G46" s="111"/>
    </row>
    <row r="47" spans="1:7" x14ac:dyDescent="0.25">
      <c r="A47" s="111"/>
      <c r="B47" s="111"/>
      <c r="C47" s="111"/>
      <c r="D47" s="111"/>
      <c r="E47" s="111"/>
      <c r="F47" s="111"/>
      <c r="G47" s="111"/>
    </row>
    <row r="48" spans="1:7" x14ac:dyDescent="0.25">
      <c r="A48" s="111"/>
      <c r="B48" s="111"/>
      <c r="C48" s="111"/>
      <c r="D48" s="111"/>
      <c r="E48" s="111"/>
      <c r="F48" s="111"/>
      <c r="G48" s="111"/>
    </row>
    <row r="49" spans="1:7" x14ac:dyDescent="0.25">
      <c r="A49" s="111"/>
      <c r="B49" s="111"/>
      <c r="C49" s="111"/>
      <c r="D49" s="111"/>
      <c r="E49" s="111"/>
      <c r="F49" s="111"/>
      <c r="G49" s="111"/>
    </row>
    <row r="50" spans="1:7" x14ac:dyDescent="0.25">
      <c r="A50" s="111"/>
      <c r="B50" s="111"/>
      <c r="C50" s="111"/>
      <c r="D50" s="111"/>
      <c r="E50" s="111"/>
      <c r="F50" s="111"/>
      <c r="G50" s="111"/>
    </row>
    <row r="51" spans="1:7" x14ac:dyDescent="0.25">
      <c r="A51" s="111"/>
      <c r="B51" s="111"/>
      <c r="C51" s="111"/>
      <c r="D51" s="111"/>
      <c r="E51" s="111"/>
      <c r="F51" s="111"/>
      <c r="G51" s="111"/>
    </row>
    <row r="52" spans="1:7" x14ac:dyDescent="0.25">
      <c r="A52" s="111"/>
      <c r="B52" s="111"/>
      <c r="C52" s="111"/>
      <c r="D52" s="111"/>
      <c r="E52" s="111"/>
      <c r="F52" s="111"/>
      <c r="G52" s="111"/>
    </row>
    <row r="53" spans="1:7" x14ac:dyDescent="0.25">
      <c r="A53" s="111"/>
      <c r="B53" s="111"/>
      <c r="C53" s="111"/>
      <c r="D53" s="111"/>
      <c r="E53" s="111"/>
      <c r="F53" s="111"/>
      <c r="G53" s="111"/>
    </row>
    <row r="54" spans="1:7" x14ac:dyDescent="0.25">
      <c r="A54" s="111"/>
      <c r="B54" s="111"/>
      <c r="C54" s="111"/>
      <c r="D54" s="111"/>
      <c r="E54" s="111"/>
      <c r="F54" s="111"/>
      <c r="G54" s="111"/>
    </row>
    <row r="55" spans="1:7" x14ac:dyDescent="0.25">
      <c r="A55" s="111"/>
      <c r="B55" s="111"/>
      <c r="C55" s="111"/>
      <c r="D55" s="111"/>
      <c r="E55" s="111"/>
      <c r="F55" s="111"/>
      <c r="G55" s="111"/>
    </row>
    <row r="56" spans="1:7" x14ac:dyDescent="0.25">
      <c r="A56" s="111"/>
      <c r="B56" s="111"/>
      <c r="C56" s="111"/>
      <c r="D56" s="111"/>
      <c r="E56" s="111"/>
      <c r="F56" s="111"/>
    </row>
    <row r="57" spans="1:7" x14ac:dyDescent="0.25">
      <c r="A57" s="111"/>
      <c r="B57" s="111"/>
      <c r="C57" s="111"/>
      <c r="D57" s="111"/>
      <c r="E57" s="111"/>
      <c r="F57" s="111"/>
    </row>
    <row r="58" spans="1:7" x14ac:dyDescent="0.25">
      <c r="A58" s="111"/>
      <c r="B58" s="111"/>
      <c r="C58" s="111"/>
      <c r="D58" s="111"/>
      <c r="E58" s="111"/>
      <c r="F58" s="111"/>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tabSelected="1" zoomScale="80" zoomScaleNormal="80" workbookViewId="0">
      <selection activeCell="G14" sqref="G14:H14"/>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 min="13" max="13" width="17.7109375" customWidth="1"/>
    <col min="15" max="15" width="33.140625" customWidth="1"/>
  </cols>
  <sheetData>
    <row r="7" spans="3:8" ht="15" customHeight="1" x14ac:dyDescent="0.25">
      <c r="C7" s="377" t="s">
        <v>68</v>
      </c>
      <c r="D7" s="378"/>
      <c r="E7" s="379"/>
      <c r="F7" s="18"/>
    </row>
    <row r="8" spans="3:8" x14ac:dyDescent="0.25">
      <c r="C8" s="380"/>
      <c r="D8" s="381"/>
      <c r="E8" s="382"/>
      <c r="F8" s="18"/>
    </row>
    <row r="9" spans="3:8" x14ac:dyDescent="0.25">
      <c r="C9" s="383"/>
      <c r="D9" s="384"/>
      <c r="E9" s="385"/>
    </row>
    <row r="11" spans="3:8" ht="16.5" customHeight="1" x14ac:dyDescent="0.25">
      <c r="C11" s="373" t="s">
        <v>9</v>
      </c>
      <c r="D11" s="374"/>
      <c r="E11" s="375"/>
      <c r="G11" s="373" t="s">
        <v>3</v>
      </c>
      <c r="H11" s="375"/>
    </row>
    <row r="13" spans="3:8" ht="15.75" thickBot="1" x14ac:dyDescent="0.3">
      <c r="C13" s="114" t="s">
        <v>245</v>
      </c>
      <c r="D13" s="115" t="s">
        <v>0</v>
      </c>
      <c r="E13" s="116" t="s">
        <v>1</v>
      </c>
      <c r="F13" s="1"/>
      <c r="G13" s="36" t="s">
        <v>4</v>
      </c>
      <c r="H13" s="37" t="s">
        <v>47</v>
      </c>
    </row>
    <row r="14" spans="3:8" ht="15.75" thickTop="1" x14ac:dyDescent="0.25">
      <c r="C14" s="117" t="s">
        <v>130</v>
      </c>
      <c r="D14" s="118" t="s">
        <v>131</v>
      </c>
      <c r="E14" s="119"/>
      <c r="F14" s="2"/>
      <c r="G14" s="38"/>
      <c r="H14" s="39"/>
    </row>
    <row r="15" spans="3:8" x14ac:dyDescent="0.25">
      <c r="C15" s="117"/>
      <c r="D15" s="118"/>
      <c r="E15" s="119"/>
      <c r="F15" s="3"/>
      <c r="G15" s="13"/>
      <c r="H15" s="14"/>
    </row>
    <row r="16" spans="3:8" x14ac:dyDescent="0.25">
      <c r="C16" s="117"/>
      <c r="D16" s="118"/>
      <c r="E16" s="119"/>
      <c r="F16" s="3"/>
      <c r="G16" s="13"/>
      <c r="H16" s="14"/>
    </row>
    <row r="17" spans="3:15" x14ac:dyDescent="0.25">
      <c r="C17" s="117"/>
      <c r="D17" s="118"/>
      <c r="E17" s="119"/>
      <c r="F17" s="3"/>
      <c r="G17" s="13"/>
      <c r="H17" s="14"/>
    </row>
    <row r="18" spans="3:15" x14ac:dyDescent="0.25">
      <c r="C18" s="117"/>
      <c r="D18" s="118"/>
      <c r="E18" s="119"/>
      <c r="F18" s="3"/>
      <c r="G18" s="13"/>
      <c r="H18" s="14"/>
    </row>
    <row r="19" spans="3:15" x14ac:dyDescent="0.25">
      <c r="C19" s="117"/>
      <c r="D19" s="118"/>
      <c r="E19" s="119"/>
      <c r="F19" s="3"/>
      <c r="G19" s="13"/>
      <c r="H19" s="14"/>
    </row>
    <row r="20" spans="3:15" x14ac:dyDescent="0.25">
      <c r="C20" s="117"/>
      <c r="D20" s="118"/>
      <c r="E20" s="119"/>
      <c r="F20" s="3"/>
      <c r="G20" s="13"/>
      <c r="H20" s="14"/>
      <c r="K20" s="376" t="s">
        <v>64</v>
      </c>
      <c r="L20" s="376"/>
      <c r="M20" s="376"/>
      <c r="N20" s="376"/>
      <c r="O20" s="376"/>
    </row>
    <row r="21" spans="3:15" x14ac:dyDescent="0.25">
      <c r="C21" s="117"/>
      <c r="D21" s="118"/>
      <c r="E21" s="119"/>
      <c r="F21" s="3"/>
      <c r="G21" s="13"/>
      <c r="H21" s="14"/>
      <c r="K21" s="376"/>
      <c r="L21" s="376"/>
      <c r="M21" s="376"/>
      <c r="N21" s="376"/>
      <c r="O21" s="376"/>
    </row>
    <row r="22" spans="3:15" x14ac:dyDescent="0.25">
      <c r="C22" s="117"/>
      <c r="D22" s="118"/>
      <c r="E22" s="119"/>
      <c r="F22" s="3"/>
      <c r="G22" s="13"/>
      <c r="H22" s="14"/>
      <c r="K22" s="376"/>
      <c r="L22" s="376"/>
      <c r="M22" s="376"/>
      <c r="N22" s="376"/>
      <c r="O22" s="376"/>
    </row>
    <row r="23" spans="3:15" x14ac:dyDescent="0.25">
      <c r="C23" s="117"/>
      <c r="D23" s="118"/>
      <c r="E23" s="119"/>
      <c r="F23" s="3"/>
      <c r="G23" s="13"/>
      <c r="H23" s="14"/>
      <c r="K23" s="376"/>
      <c r="L23" s="376"/>
      <c r="M23" s="376"/>
      <c r="N23" s="376"/>
      <c r="O23" s="376"/>
    </row>
    <row r="24" spans="3:15" x14ac:dyDescent="0.25">
      <c r="C24" s="117"/>
      <c r="D24" s="118"/>
      <c r="E24" s="119"/>
      <c r="F24" s="3"/>
      <c r="G24" s="13"/>
      <c r="H24" s="14"/>
      <c r="K24" s="376"/>
      <c r="L24" s="376"/>
      <c r="M24" s="376"/>
      <c r="N24" s="376"/>
      <c r="O24" s="376"/>
    </row>
    <row r="25" spans="3:15" x14ac:dyDescent="0.25">
      <c r="C25" s="117"/>
      <c r="D25" s="118"/>
      <c r="E25" s="119"/>
      <c r="F25" s="3"/>
      <c r="G25" s="13"/>
      <c r="H25" s="14"/>
    </row>
    <row r="26" spans="3:15" x14ac:dyDescent="0.25">
      <c r="C26" s="117"/>
      <c r="D26" s="118"/>
      <c r="E26" s="119"/>
      <c r="F26" s="3"/>
      <c r="G26" s="13"/>
      <c r="H26" s="14"/>
    </row>
    <row r="27" spans="3:15" x14ac:dyDescent="0.25">
      <c r="C27" s="117"/>
      <c r="D27" s="118"/>
      <c r="E27" s="119"/>
      <c r="F27" s="3"/>
      <c r="G27" s="13"/>
      <c r="H27" s="14"/>
    </row>
    <row r="28" spans="3:15" x14ac:dyDescent="0.25">
      <c r="C28" s="117"/>
      <c r="D28" s="118"/>
      <c r="E28" s="119"/>
      <c r="F28" s="3"/>
      <c r="G28" s="13"/>
      <c r="H28" s="14"/>
    </row>
    <row r="29" spans="3:15" x14ac:dyDescent="0.25">
      <c r="C29" s="117"/>
      <c r="D29" s="118"/>
      <c r="E29" s="119"/>
      <c r="F29" s="3"/>
      <c r="G29" s="13"/>
      <c r="H29" s="14"/>
    </row>
    <row r="30" spans="3:15" x14ac:dyDescent="0.25">
      <c r="C30" s="117"/>
      <c r="D30" s="118"/>
      <c r="E30" s="119"/>
      <c r="F30" s="3"/>
      <c r="G30" s="13"/>
      <c r="H30" s="14"/>
    </row>
    <row r="31" spans="3:15" x14ac:dyDescent="0.25">
      <c r="C31" s="117"/>
      <c r="D31" s="118"/>
      <c r="E31" s="119"/>
      <c r="F31" s="3"/>
      <c r="G31" s="13"/>
      <c r="H31" s="14"/>
    </row>
    <row r="32" spans="3:15" x14ac:dyDescent="0.25">
      <c r="C32" s="117"/>
      <c r="D32" s="118"/>
      <c r="E32" s="119"/>
      <c r="F32" s="3"/>
      <c r="G32" s="13"/>
      <c r="H32" s="14"/>
    </row>
    <row r="33" spans="3:8" x14ac:dyDescent="0.25">
      <c r="C33" s="117"/>
      <c r="D33" s="118"/>
      <c r="E33" s="119"/>
      <c r="F33" s="3"/>
      <c r="G33" s="13"/>
      <c r="H33" s="14"/>
    </row>
    <row r="34" spans="3:8" x14ac:dyDescent="0.25">
      <c r="C34" s="117"/>
      <c r="D34" s="118"/>
      <c r="E34" s="119"/>
      <c r="F34" s="3"/>
      <c r="G34" s="13"/>
      <c r="H34" s="14"/>
    </row>
    <row r="35" spans="3:8" x14ac:dyDescent="0.25">
      <c r="C35" s="117"/>
      <c r="D35" s="118"/>
      <c r="E35" s="119"/>
      <c r="F35" s="3"/>
      <c r="G35" s="13"/>
      <c r="H35" s="14"/>
    </row>
    <row r="36" spans="3:8" x14ac:dyDescent="0.25">
      <c r="C36" s="117"/>
      <c r="D36" s="118"/>
      <c r="E36" s="119"/>
      <c r="F36" s="3"/>
      <c r="G36" s="13"/>
      <c r="H36" s="14"/>
    </row>
    <row r="37" spans="3:8" x14ac:dyDescent="0.25">
      <c r="C37" s="117"/>
      <c r="D37" s="118"/>
      <c r="E37" s="119"/>
      <c r="F37" s="3"/>
      <c r="G37" s="13"/>
      <c r="H37" s="14"/>
    </row>
    <row r="38" spans="3:8" x14ac:dyDescent="0.25">
      <c r="C38" s="117"/>
      <c r="D38" s="118"/>
      <c r="E38" s="119"/>
      <c r="F38" s="3"/>
      <c r="G38" s="13"/>
      <c r="H38" s="14"/>
    </row>
    <row r="39" spans="3:8" x14ac:dyDescent="0.25">
      <c r="C39" s="117"/>
      <c r="D39" s="118"/>
      <c r="E39" s="119"/>
      <c r="F39" s="3"/>
      <c r="G39" s="13"/>
      <c r="H39" s="14"/>
    </row>
    <row r="40" spans="3:8" x14ac:dyDescent="0.25">
      <c r="C40" s="117"/>
      <c r="D40" s="118"/>
      <c r="E40" s="119"/>
      <c r="F40" s="3"/>
      <c r="G40" s="13"/>
      <c r="H40" s="14"/>
    </row>
    <row r="41" spans="3:8" x14ac:dyDescent="0.25">
      <c r="C41" s="120"/>
      <c r="D41" s="35"/>
      <c r="E41" s="121"/>
      <c r="F41" s="3"/>
      <c r="G41" s="15"/>
      <c r="H41" s="16"/>
    </row>
    <row r="44" spans="3:8" x14ac:dyDescent="0.25">
      <c r="C44" s="333" t="s">
        <v>145</v>
      </c>
      <c r="D44" s="334"/>
      <c r="E44" s="334"/>
      <c r="F44" s="335"/>
    </row>
    <row r="45" spans="3:8" x14ac:dyDescent="0.25">
      <c r="C45" s="336"/>
      <c r="D45" s="321"/>
      <c r="E45" s="321"/>
      <c r="F45" s="337"/>
    </row>
    <row r="46" spans="3:8" x14ac:dyDescent="0.25">
      <c r="C46" s="336"/>
      <c r="D46" s="321"/>
      <c r="E46" s="321"/>
      <c r="F46" s="337"/>
    </row>
    <row r="47" spans="3:8" x14ac:dyDescent="0.25">
      <c r="C47" s="336"/>
      <c r="D47" s="321"/>
      <c r="E47" s="321"/>
      <c r="F47" s="337"/>
    </row>
    <row r="48" spans="3:8" x14ac:dyDescent="0.25">
      <c r="C48" s="336"/>
      <c r="D48" s="321"/>
      <c r="E48" s="321"/>
      <c r="F48" s="337"/>
    </row>
    <row r="49" spans="3:6" x14ac:dyDescent="0.25">
      <c r="C49" s="336"/>
      <c r="D49" s="321"/>
      <c r="E49" s="321"/>
      <c r="F49" s="337"/>
    </row>
    <row r="50" spans="3:6" x14ac:dyDescent="0.25">
      <c r="C50" s="338"/>
      <c r="D50" s="339"/>
      <c r="E50" s="339"/>
      <c r="F50" s="340"/>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13</xdr:col>
                    <xdr:colOff>95250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51</vt:i4>
      </vt:variant>
    </vt:vector>
  </HeadingPairs>
  <TitlesOfParts>
    <vt:vector size="67"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2018-10-23T07:10:30Z</dcterms:modified>
</cp:coreProperties>
</file>