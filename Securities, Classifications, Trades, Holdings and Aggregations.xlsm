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trlProps/ctrlProp12.xml" ContentType="application/vnd.ms-excel.controlproperties+xml"/>
  <Override PartName="/xl/drawings/drawing14.xml" ContentType="application/vnd.openxmlformats-officedocument.drawing+xml"/>
  <Override PartName="/xl/ctrlProps/ctrlProp13.xml" ContentType="application/vnd.ms-excel.controlproperties+xml"/>
  <Override PartName="/xl/drawings/drawing15.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codeName="{22E68647-3C60-695B-3CA0-4895CD717B8A}"/>
  <workbookPr codeName="ThisWorkbook" defaultThemeVersion="166925"/>
  <mc:AlternateContent xmlns:mc="http://schemas.openxmlformats.org/markup-compatibility/2006">
    <mc:Choice Requires="x15">
      <x15ac:absPath xmlns:x15ac="http://schemas.microsoft.com/office/spreadsheetml/2010/11/ac" url="C:\Users\StuartMathews\Downloads\"/>
    </mc:Choice>
  </mc:AlternateContent>
  <xr:revisionPtr revIDLastSave="0" documentId="8_{96FD082A-E524-479B-9FB8-37D121CDC70A}" xr6:coauthVersionLast="40" xr6:coauthVersionMax="40" xr10:uidLastSave="{00000000-0000-0000-0000-000000000000}"/>
  <bookViews>
    <workbookView xWindow="-120" yWindow="-120" windowWidth="29040" windowHeight="15840" tabRatio="915" activeTab="6" xr2:uid="{00000000-000D-0000-FFFF-FFFF00000000}"/>
  </bookViews>
  <sheets>
    <sheet name="LICENSE" sheetId="15" r:id="rId1"/>
    <sheet name="Setup" sheetId="1" r:id="rId2"/>
    <sheet name="Define New Securities" sheetId="2" r:id="rId3"/>
    <sheet name="Define Portfolio" sheetId="4" r:id="rId4"/>
    <sheet name="Define Classifications" sheetId="6" r:id="rId5"/>
    <sheet name="Apply classifications to sec" sheetId="5" r:id="rId6"/>
    <sheet name="Master Securities View" sheetId="7" r:id="rId7"/>
    <sheet name="Sheet2" sheetId="20" r:id="rId8"/>
    <sheet name="Add Trades On Security" sheetId="8" r:id="rId9"/>
    <sheet name="Adjust Holdings" sheetId="16" r:id="rId10"/>
    <sheet name="Master Trades View" sheetId="10" r:id="rId11"/>
    <sheet name="Master Holdings View" sheetId="11" r:id="rId12"/>
    <sheet name="Setup Analytics" sheetId="13" r:id="rId13"/>
    <sheet name="Insert Analytics" sheetId="12" r:id="rId14"/>
    <sheet name="Insert FX Rates" sheetId="17" r:id="rId15"/>
    <sheet name="Insert Accrual amounts" sheetId="18" r:id="rId16"/>
    <sheet name="Aggregation" sheetId="14" r:id="rId17"/>
  </sheets>
  <functionGroups builtInGroupCount="19"/>
  <definedNames>
    <definedName name="AccrualDate">'Insert Accrual amounts'!$K$6</definedName>
    <definedName name="AccuralAmountsUploadArea">'Insert Accrual amounts'!$D$16:$F$46</definedName>
    <definedName name="AccuralAmountsUploadResult">'Insert Accrual amounts'!$G$16:$G$46</definedName>
    <definedName name="AccuralDate">'Insert Accrual amounts'!$K$6</definedName>
    <definedName name="AddTradesResults">'Add Trades On Security'!$P$14:$P$44</definedName>
    <definedName name="AddTradesSelection">'Add Trades On Security'!$C$14:$O$44</definedName>
    <definedName name="AdjustHoldingsUploadData">'Adjust Holdings'!$C$13:$G$45</definedName>
    <definedName name="AdjustHoldingsUploadDataDate">'Adjust Holdings'!$F$10</definedName>
    <definedName name="AdjustHoldingsUploadDataResult">'Adjust Holdings'!$H$13:$H$45</definedName>
    <definedName name="AggregationParameters">Aggregation!$B$13:$C$19</definedName>
    <definedName name="AnalyticsStoreDate">Setup!$G$36</definedName>
    <definedName name="AnalyticsStoreUploadData">'Setup Analytics'!$C$16:$D$46</definedName>
    <definedName name="AnalyticsStoreUploadDataResults">'Setup Analytics'!$E$16:$E$46</definedName>
    <definedName name="ApplyAnalyticsUploadData">'Insert Analytics'!$E$18:$G$48</definedName>
    <definedName name="ApplyAnalyticsUploadDataResult">'Insert Analytics'!$H$18:$H$48</definedName>
    <definedName name="ApplyClassificationsResult">'Apply classifications to sec'!$J$15:$J$44</definedName>
    <definedName name="ApplyClassificationUploadData">'Apply classifications to sec'!$C$14:$J$44</definedName>
    <definedName name="BluePortfoliosRange">'Define Portfolio'!$C$13:$J$40</definedName>
    <definedName name="BlueSecuritiesRange">'Define New Securities'!$C$13:$I$35</definedName>
    <definedName name="ClassificationKeys">'Define Classifications'!$O$15:$O$43</definedName>
    <definedName name="CreateSecurityPropertiesUploadData">'Define Classifications'!$E$14:$L$43</definedName>
    <definedName name="CustomSecuritiesMasterViewUpdate">'Master Securities View'!#REF!</definedName>
    <definedName name="DELETEME">'Apply classifications to sec'!$C$15:$I$49</definedName>
    <definedName name="ExistingSecuritiesLookup">#REF!</definedName>
    <definedName name="ExistingSecuritiesLookupResults">#REF!</definedName>
    <definedName name="fbnAnalytics_Template_ref" localSheetId="15">'Insert Accrual amounts'!$D$16:$F$16</definedName>
    <definedName name="fbnAnalytics_Template_ref" localSheetId="13">'Insert Analytics'!$E$18:$G$18</definedName>
    <definedName name="fbnAnalytics_Template_ref" localSheetId="14">'Insert FX Rates'!$D$16:$F$16</definedName>
    <definedName name="fbnAnalyticsStore_Template_ref" localSheetId="12">'Setup Analytics'!$C$16:$D$16</definedName>
    <definedName name="fbnClassifications_Template_ref" localSheetId="5">'Apply classifications to sec'!$C$14:$D$14</definedName>
    <definedName name="fbnClassifications_Template_ref" localSheetId="2">'Define New Securities'!$B$48:$B$48</definedName>
    <definedName name="fbnClassifications_Template_ref" localSheetId="13">'Insert Analytics'!$E$18:$F$18</definedName>
    <definedName name="fbnHoldings_Template_ref" localSheetId="8">'Add Trades On Security'!#REF!</definedName>
    <definedName name="fbnHoldings_Template_ref" localSheetId="9">'Adjust Holdings'!$N$23:$U$23</definedName>
    <definedName name="fbnPortfoliosAdd_Template_ref" localSheetId="8">'Add Trades On Security'!#REF!</definedName>
    <definedName name="fbnPortfoliosAdd_Template_ref" localSheetId="3">'Define Portfolio'!$C$13:$J$13</definedName>
    <definedName name="fbnPropertiesAdd_Template_ref" localSheetId="8">'Add Trades On Security'!#REF!</definedName>
    <definedName name="fbnPropertiesAdd_Template_ref" localSheetId="4">'Define Classifications'!$E$14:$L$14</definedName>
    <definedName name="fbnPropertiesAdd_Template_ref" localSheetId="7">Sheet2!$G$13:$N$13</definedName>
    <definedName name="fbnSecurities_Template_ref" localSheetId="2">'Define New Securities'!$C$13:$I$13</definedName>
    <definedName name="fbnSecurities_Template_ref" localSheetId="6">'Master Securities View'!$C$13:$E$13</definedName>
    <definedName name="fbnSecurities_Template_ref" localSheetId="7">Sheet2!$G$19:$M$19</definedName>
    <definedName name="fbnTradesAdd_Template_ref" localSheetId="8">'Add Trades On Security'!$C$14:$O$14</definedName>
    <definedName name="FxDate">'Insert FX Rates'!$K$6</definedName>
    <definedName name="FXRateUploadArea">'Insert FX Rates'!$D$16:$F$46</definedName>
    <definedName name="FXRateUploadResult">'Insert FX Rates'!$G$16:$G$46</definedName>
    <definedName name="MasterAggregationUpdateView">Aggregation!$B$28:$F$43</definedName>
    <definedName name="MasterHoldingsUpdateView">'Master Holdings View'!$B$17:$M$31</definedName>
    <definedName name="MasterSecurityUpdateView">'Master Securities View'!$C$12:$I$42</definedName>
    <definedName name="MasterTradesUpdateView">'Master Trades View'!$C$17:$S$47</definedName>
    <definedName name="PortfolioCode">Setup!$G$34</definedName>
    <definedName name="PortfolioName">Setup!$G$33</definedName>
    <definedName name="PortfoliosCreatedResults">'Define Portfolio'!$L$14:$L$40</definedName>
    <definedName name="PropertyKeys">'Define Classifications'!#REF!</definedName>
    <definedName name="RawSecuritiesRange">Setup!$B$14:$B$40</definedName>
    <definedName name="Scope">Setup!$G$32</definedName>
    <definedName name="SecurityCreatedResult">'Define Classifications'!$N$15:$N$43</definedName>
    <definedName name="SecurityMasterUid">'Master Securities View'!$C$12:$C$42</definedName>
    <definedName name="SecurityPropertyNames">'Define Classifications'!$C$15:$C$43</definedName>
    <definedName name="UploadResults">'Define New Securities'!$K$14:$K$35</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15" i="6" l="1"/>
  <c r="L16" i="6"/>
  <c r="L17" i="6"/>
  <c r="K16" i="6"/>
  <c r="K17" i="6"/>
  <c r="G12" i="20"/>
  <c r="F15" i="2" l="1"/>
  <c r="F16" i="2"/>
  <c r="F17" i="2"/>
  <c r="F18" i="2"/>
  <c r="F19" i="2"/>
  <c r="F20" i="2"/>
  <c r="F21" i="2"/>
  <c r="F22" i="2"/>
  <c r="F23" i="2"/>
  <c r="F24" i="2"/>
  <c r="F25" i="2"/>
  <c r="F26" i="2"/>
  <c r="F27" i="2"/>
  <c r="F28" i="2"/>
  <c r="F29" i="2"/>
  <c r="F30" i="2"/>
  <c r="F31" i="2"/>
  <c r="F32" i="2"/>
  <c r="F33" i="2"/>
  <c r="F34" i="2"/>
  <c r="F35" i="2"/>
  <c r="F14" i="2"/>
  <c r="C15" i="2"/>
  <c r="C16" i="2"/>
  <c r="C17" i="2"/>
  <c r="C18" i="2"/>
  <c r="C19" i="2"/>
  <c r="C20" i="2"/>
  <c r="C21" i="2"/>
  <c r="C22" i="2"/>
  <c r="C23" i="2"/>
  <c r="C24" i="2"/>
  <c r="C25" i="2"/>
  <c r="C26" i="2"/>
  <c r="C27" i="2"/>
  <c r="C28" i="2"/>
  <c r="C29" i="2"/>
  <c r="C30" i="2"/>
  <c r="C31" i="2"/>
  <c r="C32" i="2"/>
  <c r="C33" i="2"/>
  <c r="C34" i="2"/>
  <c r="C35" i="2"/>
  <c r="D15" i="2"/>
  <c r="D16" i="2"/>
  <c r="D17" i="2"/>
  <c r="D18" i="2"/>
  <c r="D19" i="2"/>
  <c r="D20" i="2"/>
  <c r="D21" i="2"/>
  <c r="D22" i="2"/>
  <c r="D23" i="2"/>
  <c r="D24" i="2"/>
  <c r="D25" i="2"/>
  <c r="D26" i="2"/>
  <c r="D27" i="2"/>
  <c r="D28" i="2"/>
  <c r="D29" i="2"/>
  <c r="D30" i="2"/>
  <c r="D31" i="2"/>
  <c r="D32" i="2"/>
  <c r="D33" i="2"/>
  <c r="D34" i="2"/>
  <c r="D35" i="2"/>
  <c r="C14" i="2"/>
  <c r="D14" i="2"/>
  <c r="C13" i="5"/>
  <c r="C12" i="2"/>
  <c r="D30" i="1"/>
  <c r="D21" i="1"/>
  <c r="D15" i="1"/>
  <c r="D24" i="1"/>
  <c r="D28" i="1"/>
  <c r="D25" i="1"/>
  <c r="D22" i="1"/>
  <c r="D23" i="1"/>
  <c r="D14" i="1"/>
  <c r="D20" i="1"/>
  <c r="D29" i="1"/>
  <c r="D17" i="1"/>
  <c r="D32" i="1"/>
  <c r="D26" i="1"/>
  <c r="D16" i="1"/>
  <c r="D27" i="1"/>
  <c r="D33" i="1"/>
  <c r="D35" i="1"/>
  <c r="D18" i="1"/>
  <c r="D34" i="1"/>
  <c r="D31" i="1"/>
  <c r="D19" i="1"/>
  <c r="F16" i="6" l="1"/>
  <c r="G16" i="6"/>
  <c r="H16" i="6"/>
  <c r="I16" i="6"/>
  <c r="J16" i="6"/>
  <c r="F17" i="6"/>
  <c r="G17" i="6"/>
  <c r="H17" i="6"/>
  <c r="I17" i="6"/>
  <c r="J17" i="6"/>
  <c r="C17" i="14" a="1"/>
  <c r="C17" i="14" s="1"/>
  <c r="F15" i="8"/>
  <c r="E15" i="8"/>
  <c r="C14" i="4" l="1"/>
  <c r="G14" i="4"/>
  <c r="I14" i="4"/>
  <c r="H15" i="6" l="1"/>
  <c r="C19" i="13" l="1"/>
  <c r="K6" i="18" l="1"/>
  <c r="D19" i="13"/>
  <c r="C18" i="13"/>
  <c r="C17" i="13" l="1"/>
  <c r="K6" i="17"/>
  <c r="F10" i="16" l="1"/>
  <c r="C14" i="14" l="1"/>
  <c r="G36" i="1"/>
  <c r="D15" i="8" l="1"/>
  <c r="C30" i="16"/>
  <c r="C26" i="16"/>
  <c r="C28" i="16"/>
  <c r="C25" i="16"/>
  <c r="C22" i="16"/>
  <c r="C15" i="16"/>
  <c r="C24" i="16"/>
  <c r="C19" i="16"/>
  <c r="C27" i="16"/>
  <c r="C14" i="16"/>
  <c r="C33" i="16"/>
  <c r="C21" i="16"/>
  <c r="C18" i="16"/>
  <c r="C34" i="16"/>
  <c r="C17" i="16"/>
  <c r="C23" i="16"/>
  <c r="C31" i="16"/>
  <c r="C16" i="16"/>
  <c r="C29" i="16"/>
  <c r="C20" i="16"/>
  <c r="C32" i="16"/>
  <c r="C35" i="16"/>
  <c r="D17" i="18"/>
  <c r="E19" i="12"/>
  <c r="D17" i="13"/>
  <c r="J8" i="12" s="1"/>
  <c r="D18" i="13"/>
  <c r="C21" i="5"/>
  <c r="D21" i="5" s="1"/>
  <c r="E25" i="12"/>
  <c r="C17" i="5"/>
  <c r="D17" i="5" s="1"/>
  <c r="E21" i="12"/>
  <c r="C38" i="5"/>
  <c r="E42" i="12"/>
  <c r="E46" i="12"/>
  <c r="C42" i="5"/>
  <c r="C33" i="5"/>
  <c r="D33" i="5" s="1"/>
  <c r="E37" i="12"/>
  <c r="E22" i="12"/>
  <c r="C18" i="5"/>
  <c r="D18" i="5" s="1"/>
  <c r="C16" i="5"/>
  <c r="D16" i="5" s="1"/>
  <c r="E20" i="12"/>
  <c r="E30" i="12"/>
  <c r="C26" i="5"/>
  <c r="C22" i="5"/>
  <c r="E26" i="12"/>
  <c r="C25" i="5"/>
  <c r="D25" i="5" s="1"/>
  <c r="E29" i="12"/>
  <c r="C40" i="5"/>
  <c r="E44" i="12"/>
  <c r="C24" i="5"/>
  <c r="D24" i="5" s="1"/>
  <c r="E28" i="12"/>
  <c r="C23" i="5"/>
  <c r="D23" i="5" s="1"/>
  <c r="E27" i="12"/>
  <c r="E39" i="12"/>
  <c r="C35" i="5"/>
  <c r="D35" i="5" s="1"/>
  <c r="C31" i="5"/>
  <c r="D31" i="5" s="1"/>
  <c r="E35" i="12"/>
  <c r="E31" i="12"/>
  <c r="C27" i="5"/>
  <c r="D27" i="5" s="1"/>
  <c r="E23" i="12"/>
  <c r="C19" i="5"/>
  <c r="D19" i="5" s="1"/>
  <c r="C37" i="5"/>
  <c r="E41" i="12"/>
  <c r="E47" i="12"/>
  <c r="C43" i="5"/>
  <c r="C29" i="5"/>
  <c r="D29" i="5" s="1"/>
  <c r="E33" i="12"/>
  <c r="C32" i="5"/>
  <c r="E36" i="12"/>
  <c r="C28" i="5"/>
  <c r="D28" i="5" s="1"/>
  <c r="E32" i="12"/>
  <c r="C20" i="5"/>
  <c r="D20" i="5" s="1"/>
  <c r="E24" i="12"/>
  <c r="E38" i="12"/>
  <c r="C34" i="5"/>
  <c r="D34" i="5" s="1"/>
  <c r="C30" i="5"/>
  <c r="D30" i="5" s="1"/>
  <c r="E34" i="12"/>
  <c r="C39" i="5"/>
  <c r="E43" i="12"/>
  <c r="C36" i="5"/>
  <c r="D36" i="5" s="1"/>
  <c r="E40" i="12"/>
  <c r="C15" i="5"/>
  <c r="D15" i="5" s="1"/>
  <c r="C44" i="5"/>
  <c r="E48" i="12"/>
  <c r="C41" i="5"/>
  <c r="E45" i="12"/>
  <c r="C19" i="14"/>
  <c r="H10" i="11"/>
  <c r="G15" i="6" l="1"/>
  <c r="D44" i="5" l="1"/>
  <c r="D41" i="5" l="1"/>
  <c r="D40" i="5"/>
  <c r="D43" i="5"/>
  <c r="D42" i="5"/>
  <c r="G43" i="6" l="1"/>
  <c r="H43" i="6"/>
  <c r="I43" i="6"/>
  <c r="J43" i="6"/>
  <c r="K43" i="6"/>
  <c r="L43" i="6"/>
  <c r="G28" i="6"/>
  <c r="H28" i="6"/>
  <c r="I28" i="6"/>
  <c r="J28" i="6"/>
  <c r="K28" i="6"/>
  <c r="L28" i="6"/>
  <c r="G29" i="6"/>
  <c r="H29" i="6"/>
  <c r="I29" i="6"/>
  <c r="J29" i="6"/>
  <c r="K29" i="6"/>
  <c r="L29" i="6"/>
  <c r="G30" i="6"/>
  <c r="H30" i="6"/>
  <c r="I30" i="6"/>
  <c r="J30" i="6"/>
  <c r="K30" i="6"/>
  <c r="L30" i="6"/>
  <c r="G31" i="6"/>
  <c r="H31" i="6"/>
  <c r="I31" i="6"/>
  <c r="J31" i="6"/>
  <c r="K31" i="6"/>
  <c r="L31" i="6"/>
  <c r="G32" i="6"/>
  <c r="H32" i="6"/>
  <c r="I32" i="6"/>
  <c r="J32" i="6"/>
  <c r="K32" i="6"/>
  <c r="L32" i="6"/>
  <c r="G33" i="6"/>
  <c r="H33" i="6"/>
  <c r="I33" i="6"/>
  <c r="J33" i="6"/>
  <c r="K33" i="6"/>
  <c r="L33" i="6"/>
  <c r="G34" i="6"/>
  <c r="H34" i="6"/>
  <c r="I34" i="6"/>
  <c r="J34" i="6"/>
  <c r="K34" i="6"/>
  <c r="L34" i="6"/>
  <c r="G35" i="6"/>
  <c r="H35" i="6"/>
  <c r="I35" i="6"/>
  <c r="J35" i="6"/>
  <c r="K35" i="6"/>
  <c r="L35" i="6"/>
  <c r="G36" i="6"/>
  <c r="H36" i="6"/>
  <c r="I36" i="6"/>
  <c r="J36" i="6"/>
  <c r="K36" i="6"/>
  <c r="L36" i="6"/>
  <c r="G37" i="6"/>
  <c r="H37" i="6"/>
  <c r="I37" i="6"/>
  <c r="J37" i="6"/>
  <c r="K37" i="6"/>
  <c r="L37" i="6"/>
  <c r="G38" i="6"/>
  <c r="H38" i="6"/>
  <c r="I38" i="6"/>
  <c r="J38" i="6"/>
  <c r="K38" i="6"/>
  <c r="L38" i="6"/>
  <c r="G39" i="6"/>
  <c r="H39" i="6"/>
  <c r="I39" i="6"/>
  <c r="J39" i="6"/>
  <c r="K39" i="6"/>
  <c r="L39" i="6"/>
  <c r="G40" i="6"/>
  <c r="H40" i="6"/>
  <c r="I40" i="6"/>
  <c r="J40" i="6"/>
  <c r="K40" i="6"/>
  <c r="L40" i="6"/>
  <c r="G41" i="6"/>
  <c r="H41" i="6"/>
  <c r="I41" i="6"/>
  <c r="J41" i="6"/>
  <c r="K41" i="6"/>
  <c r="L41" i="6"/>
  <c r="G42" i="6"/>
  <c r="H42" i="6"/>
  <c r="I42" i="6"/>
  <c r="J42" i="6"/>
  <c r="K42" i="6"/>
  <c r="L42" i="6"/>
  <c r="F28" i="6"/>
  <c r="J15" i="6"/>
  <c r="J18" i="6"/>
  <c r="F15" i="6"/>
  <c r="F18" i="6"/>
  <c r="F20" i="6"/>
  <c r="F21" i="6"/>
  <c r="F22" i="6"/>
  <c r="F23" i="6"/>
  <c r="F24" i="6"/>
  <c r="F25" i="6"/>
  <c r="F26" i="6"/>
  <c r="F27" i="6"/>
  <c r="G20" i="6"/>
  <c r="G21" i="6"/>
  <c r="G22" i="6"/>
  <c r="G23" i="6"/>
  <c r="G24" i="6"/>
  <c r="G25" i="6"/>
  <c r="G26" i="6"/>
  <c r="G27" i="6"/>
  <c r="G18" i="6"/>
  <c r="G19" i="6"/>
  <c r="H20" i="6"/>
  <c r="H21" i="6"/>
  <c r="H22" i="6"/>
  <c r="H23" i="6"/>
  <c r="H24" i="6"/>
  <c r="H25" i="6"/>
  <c r="H26" i="6"/>
  <c r="H27" i="6"/>
  <c r="H18" i="6"/>
  <c r="I15" i="6"/>
  <c r="I18" i="6"/>
  <c r="I20" i="6"/>
  <c r="I21" i="6"/>
  <c r="I22" i="6"/>
  <c r="I23" i="6"/>
  <c r="I24" i="6"/>
  <c r="I25" i="6"/>
  <c r="I26" i="6"/>
  <c r="I27" i="6"/>
  <c r="I19" i="6"/>
  <c r="J20" i="6"/>
  <c r="J21" i="6"/>
  <c r="J22" i="6"/>
  <c r="J23" i="6"/>
  <c r="J24" i="6"/>
  <c r="J25" i="6"/>
  <c r="J26" i="6"/>
  <c r="J27" i="6"/>
  <c r="K18" i="6"/>
  <c r="K19" i="6"/>
  <c r="K20" i="6"/>
  <c r="K21" i="6"/>
  <c r="K22" i="6"/>
  <c r="K23" i="6"/>
  <c r="K24" i="6"/>
  <c r="K25" i="6"/>
  <c r="K26" i="6"/>
  <c r="K27" i="6"/>
  <c r="L20" i="6"/>
  <c r="L21" i="6"/>
  <c r="L22" i="6"/>
  <c r="L23" i="6"/>
  <c r="L24" i="6"/>
  <c r="L25" i="6"/>
  <c r="L26" i="6"/>
  <c r="L27" i="6"/>
  <c r="L18" i="6"/>
  <c r="L19" i="6"/>
  <c r="J19" i="6"/>
  <c r="H19" i="6"/>
  <c r="F19" i="6"/>
  <c r="E14" i="5" l="1" a="1"/>
  <c r="E14" i="5" s="1"/>
  <c r="J7" i="5" l="1"/>
  <c r="I14" i="5"/>
  <c r="H14" i="5"/>
  <c r="G14" i="5"/>
  <c r="F14" i="5"/>
  <c r="D38" i="5" l="1"/>
  <c r="D37" i="5"/>
  <c r="D39" i="5"/>
  <c r="G35" i="1"/>
</calcChain>
</file>

<file path=xl/sharedStrings.xml><?xml version="1.0" encoding="utf-8"?>
<sst xmlns="http://schemas.openxmlformats.org/spreadsheetml/2006/main" count="353" uniqueCount="232">
  <si>
    <t>Name</t>
  </si>
  <si>
    <t>LookThroughPortfolioId</t>
  </si>
  <si>
    <t>Scope</t>
  </si>
  <si>
    <t>Feedback from Create</t>
  </si>
  <si>
    <t>Results</t>
  </si>
  <si>
    <t>Code</t>
  </si>
  <si>
    <t>Date Created</t>
  </si>
  <si>
    <t>Base Currency</t>
  </si>
  <si>
    <t>SecurityUid</t>
  </si>
  <si>
    <t>Upload new Securities to Lusid</t>
  </si>
  <si>
    <t>Property Name</t>
  </si>
  <si>
    <t>Domain</t>
  </si>
  <si>
    <t>ValueRequired</t>
  </si>
  <si>
    <t>DisplayName</t>
  </si>
  <si>
    <t>Sort</t>
  </si>
  <si>
    <t>LifeTime</t>
  </si>
  <si>
    <t>Result</t>
  </si>
  <si>
    <t>Created Portfolio Unique Identifiers</t>
  </si>
  <si>
    <t>Keys</t>
  </si>
  <si>
    <t>OK</t>
  </si>
  <si>
    <t>3) Create/Upload property definitions (in Blue) to Lusid</t>
  </si>
  <si>
    <r>
      <t xml:space="preserve">If you wanted to do this </t>
    </r>
    <r>
      <rPr>
        <u/>
        <sz val="11"/>
        <color theme="1"/>
        <rFont val="Calibri"/>
        <family val="2"/>
        <scheme val="minor"/>
      </rPr>
      <t>manually</t>
    </r>
    <r>
      <rPr>
        <sz val="11"/>
        <color theme="1"/>
        <rFont val="Calibri"/>
        <family val="2"/>
        <scheme val="minor"/>
      </rPr>
      <t xml:space="preserve">, instead of clicking button step 3 above, you can call this formula in excel: </t>
    </r>
    <r>
      <rPr>
        <b/>
        <sz val="11"/>
        <color theme="1"/>
        <rFont val="Calibri"/>
        <family val="2"/>
        <scheme val="minor"/>
      </rPr>
      <t>=fbnPropertiesAdd(BlueCells)</t>
    </r>
  </si>
  <si>
    <r>
      <rPr>
        <b/>
        <sz val="11"/>
        <color rgb="FF9C5700"/>
        <rFont val="Calibri"/>
        <family val="2"/>
        <scheme val="minor"/>
      </rPr>
      <t xml:space="preserve">4) </t>
    </r>
    <r>
      <rPr>
        <sz val="11"/>
        <color rgb="FF9C5700"/>
        <rFont val="Calibri"/>
        <family val="2"/>
        <scheme val="minor"/>
      </rPr>
      <t>Run Formula</t>
    </r>
  </si>
  <si>
    <r>
      <rPr>
        <b/>
        <sz val="11"/>
        <color rgb="FF9C5700"/>
        <rFont val="Calibri"/>
        <family val="2"/>
        <scheme val="minor"/>
      </rPr>
      <t>2)</t>
    </r>
    <r>
      <rPr>
        <sz val="11"/>
        <color rgb="FF9C5700"/>
        <rFont val="Calibri"/>
        <family val="2"/>
        <scheme val="minor"/>
      </rPr>
      <t xml:space="preserve"> Save these classifications in Lusid</t>
    </r>
  </si>
  <si>
    <t>A selection that will be sent to Lusid API</t>
  </si>
  <si>
    <t>Colour Legend</t>
  </si>
  <si>
    <t>Note to user</t>
  </si>
  <si>
    <t>Advice to user</t>
  </si>
  <si>
    <t>A automatically computed value</t>
  </si>
  <si>
    <r>
      <t xml:space="preserve">This template allows creating </t>
    </r>
    <r>
      <rPr>
        <u/>
        <sz val="11"/>
        <color theme="1"/>
        <rFont val="Calibri"/>
        <family val="2"/>
        <scheme val="minor"/>
      </rPr>
      <t>custom securities</t>
    </r>
    <r>
      <rPr>
        <sz val="11"/>
        <color theme="1"/>
        <rFont val="Calibri"/>
        <family val="2"/>
        <scheme val="minor"/>
      </rPr>
      <t xml:space="preserve">, creating </t>
    </r>
    <r>
      <rPr>
        <u/>
        <sz val="11"/>
        <color theme="1"/>
        <rFont val="Calibri"/>
        <family val="2"/>
        <scheme val="minor"/>
      </rPr>
      <t>classifications(properties)</t>
    </r>
    <r>
      <rPr>
        <sz val="11"/>
        <color theme="1"/>
        <rFont val="Calibri"/>
        <family val="2"/>
        <scheme val="minor"/>
      </rPr>
      <t xml:space="preserve"> and applying them to those securities.</t>
    </r>
  </si>
  <si>
    <t>1) Define your new property names</t>
  </si>
  <si>
    <t>RawSecuritiesRange</t>
  </si>
  <si>
    <t>1) Fetch current state of securities</t>
  </si>
  <si>
    <t>1) Create specified custom securities</t>
  </si>
  <si>
    <t>Scope:</t>
  </si>
  <si>
    <r>
      <rPr>
        <b/>
        <sz val="11"/>
        <color rgb="FF9C5700"/>
        <rFont val="Calibri"/>
        <family val="2"/>
        <scheme val="minor"/>
      </rPr>
      <t>1)</t>
    </r>
    <r>
      <rPr>
        <sz val="11"/>
        <color rgb="FF9C5700"/>
        <rFont val="Calibri"/>
        <family val="2"/>
        <scheme val="minor"/>
      </rPr>
      <t xml:space="preserve">  You can now set the properties you previously defined (in yellow columns below )and apply them to specific securities - to "classify" those securities with those classifications/properties</t>
    </r>
  </si>
  <si>
    <t>You can now query/view the current state all your securities and see which classifications are applied to each security.</t>
  </si>
  <si>
    <t>To create custom securities (aka OTC) to which you can have positions on in lusid, specify the name and ID of the new security and press create. This will show up in the Securities Master View</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</si>
  <si>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=fbnClassificationsAdd(BlueCells)</t>
    </r>
  </si>
  <si>
    <t>Security Uid</t>
  </si>
  <si>
    <t>Settlement Date</t>
  </si>
  <si>
    <t>Transaction Type</t>
  </si>
  <si>
    <t>Source</t>
  </si>
  <si>
    <t>Total Consideration</t>
  </si>
  <si>
    <t>Exchange Rate</t>
  </si>
  <si>
    <t>Counterparty ID</t>
  </si>
  <si>
    <t>Netting Set</t>
  </si>
  <si>
    <t>GBP</t>
  </si>
  <si>
    <t>You can create many 'Buy/Sell' trades against/for a specified security here.</t>
  </si>
  <si>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=fbnTradesAdd(BlueCells)</t>
    </r>
  </si>
  <si>
    <t>These are your current securities in LUSID</t>
  </si>
  <si>
    <r>
      <rPr>
        <b/>
        <sz val="11"/>
        <color rgb="FF9C5700"/>
        <rFont val="Calibri"/>
        <family val="2"/>
        <scheme val="minor"/>
      </rPr>
      <t>1)</t>
    </r>
    <r>
      <rPr>
        <sz val="11"/>
        <color rgb="FF9C5700"/>
        <rFont val="Calibri"/>
        <family val="2"/>
        <scheme val="minor"/>
      </rPr>
      <t xml:space="preserve"> Press Refresh to get all your portfolio trades</t>
    </r>
  </si>
  <si>
    <t>This spreadsheet supports up to 30 securities.</t>
  </si>
  <si>
    <t>Value</t>
  </si>
  <si>
    <t>AnalyticsStoreDate</t>
  </si>
  <si>
    <t>Date</t>
  </si>
  <si>
    <t>1) Define one or more Analytics Stores</t>
  </si>
  <si>
    <r>
      <rPr>
        <b/>
        <sz val="11"/>
        <color rgb="FF9C5700"/>
        <rFont val="Calibri"/>
        <family val="2"/>
        <scheme val="minor"/>
      </rPr>
      <t>1)</t>
    </r>
    <r>
      <rPr>
        <sz val="11"/>
        <color rgb="FF9C5700"/>
        <rFont val="Calibri"/>
        <family val="2"/>
        <scheme val="minor"/>
      </rPr>
      <t xml:space="preserve">  You can now apply analytics to your securities</t>
    </r>
  </si>
  <si>
    <t>2) Insert analytics</t>
  </si>
  <si>
    <t>RecipeScope</t>
  </si>
  <si>
    <t>RecipeKey</t>
  </si>
  <si>
    <t>Aggregation</t>
  </si>
  <si>
    <t>Holding/default/PV:Sum, Holding/default/Cost:Sum, Holding/default/PV:Proportion</t>
  </si>
  <si>
    <t>GroupBy</t>
  </si>
  <si>
    <t>Holding/default/PV</t>
  </si>
  <si>
    <t>EffectiveDate</t>
  </si>
  <si>
    <t>Buy</t>
  </si>
  <si>
    <t>First PortfolioName:</t>
  </si>
  <si>
    <t>First PortfolioCode:</t>
  </si>
  <si>
    <t>First PortfolioCreateDate:</t>
  </si>
  <si>
    <r>
      <rPr>
        <b/>
        <sz val="11"/>
        <color rgb="FF9C5700"/>
        <rFont val="Calibri"/>
        <family val="2"/>
        <scheme val="minor"/>
      </rPr>
      <t xml:space="preserve">2) </t>
    </r>
    <r>
      <rPr>
        <sz val="11"/>
        <color rgb="FF9C5700"/>
        <rFont val="Calibri"/>
        <family val="2"/>
        <scheme val="minor"/>
      </rPr>
      <t>View your aggregation by getting it.</t>
    </r>
  </si>
  <si>
    <r>
      <rPr>
        <b/>
        <sz val="11"/>
        <color rgb="FF9C5700"/>
        <rFont val="Calibri"/>
        <family val="2"/>
        <scheme val="minor"/>
      </rPr>
      <t>1)</t>
    </r>
    <r>
      <rPr>
        <sz val="11"/>
        <color rgb="FF9C5700"/>
        <rFont val="Calibri"/>
        <family val="2"/>
        <scheme val="minor"/>
      </rPr>
      <t xml:space="preserve"> Setup how you want to aggregate your portfolio</t>
    </r>
  </si>
  <si>
    <t>Get an aggregated view of your portfolio</t>
  </si>
  <si>
    <t>Aggregation Results:</t>
  </si>
  <si>
    <t>Default portfolio details:</t>
  </si>
  <si>
    <t>These are your current holdings in Lusid</t>
  </si>
  <si>
    <t xml:space="preserve">As Of: </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</si>
  <si>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=fbnPortfoliosAdd(BlueCells)</t>
    </r>
  </si>
  <si>
    <r>
      <t xml:space="preserve">If you wanted to do this </t>
    </r>
    <r>
      <rPr>
        <u/>
        <sz val="11"/>
        <color theme="1"/>
        <rFont val="Calibri"/>
        <family val="2"/>
        <scheme val="minor"/>
      </rPr>
      <t>manually</t>
    </r>
    <r>
      <rPr>
        <sz val="11"/>
        <color theme="1"/>
        <rFont val="Calibri"/>
        <family val="2"/>
        <scheme val="minor"/>
      </rPr>
      <t xml:space="preserve">, instead of clicking button step 1 above, you can call this formula in excel: </t>
    </r>
    <r>
      <rPr>
        <b/>
        <sz val="11"/>
        <color theme="1"/>
        <rFont val="Calibri"/>
        <family val="2"/>
        <scheme val="minor"/>
      </rPr>
      <t>=fbnSecuritiesLookup(BlueCells)</t>
    </r>
  </si>
  <si>
    <r>
      <t>If you wanted to do this manually, instead of clicking button , you can call this formula in excel: =</t>
    </r>
    <r>
      <rPr>
        <b/>
        <sz val="12"/>
        <color theme="1"/>
        <rFont val="Calibri"/>
        <family val="2"/>
        <scheme val="minor"/>
      </rPr>
      <t>fbnHoldingsGet</t>
    </r>
    <r>
      <rPr>
        <sz val="12"/>
        <color theme="1"/>
        <rFont val="Calibri"/>
        <family val="2"/>
        <scheme val="minor"/>
      </rPr>
      <t>(AsOfDate)</t>
    </r>
  </si>
  <si>
    <r>
      <t>If you wanted to do this manually, instead of clicking button , you can call this formula in excel: =</t>
    </r>
    <r>
      <rPr>
        <b/>
        <sz val="12"/>
        <color theme="1"/>
        <rFont val="Calibri"/>
        <family val="2"/>
        <scheme val="minor"/>
      </rPr>
      <t>fbnAnalyticsStoresAdd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</si>
  <si>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fbnAnalyticsAdd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</si>
  <si>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fbnAggregatePortfolio</t>
    </r>
    <r>
      <rPr>
        <sz val="12"/>
        <color theme="1"/>
        <rFont val="Calibri"/>
        <family val="2"/>
        <scheme val="minor"/>
      </rPr>
      <t>(Parameters)</t>
    </r>
  </si>
  <si>
    <r>
      <t>If you wanted to do this manually, instead of clicking button , you can call this formula in excel: =</t>
    </r>
    <r>
      <rPr>
        <b/>
        <sz val="12"/>
        <color theme="1"/>
        <rFont val="Calibri"/>
        <family val="2"/>
        <scheme val="minor"/>
      </rPr>
      <t>fbnSecuritiesAdd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</si>
  <si>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fbnTradesGet</t>
    </r>
    <r>
      <rPr>
        <sz val="12"/>
        <color theme="1"/>
        <rFont val="Calibri"/>
        <family val="2"/>
        <scheme val="minor"/>
      </rPr>
      <t>(BlueCells)</t>
    </r>
  </si>
  <si>
    <t>Copyright © 2018 FINBOURNE TECHNOLOGY LTD</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</si>
  <si>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</si>
  <si>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</si>
  <si>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</si>
  <si>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You can now query/view the current state of holdings in the portfolio</t>
  </si>
  <si>
    <t>You can now query/view the current state of all your trades in the portfolio</t>
  </si>
  <si>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=fbnHoldingsAdjust(BlueCells)</t>
    </r>
  </si>
  <si>
    <t>Cost</t>
  </si>
  <si>
    <t>Units</t>
  </si>
  <si>
    <t xml:space="preserve">As Of </t>
  </si>
  <si>
    <t>CCY_GBP</t>
  </si>
  <si>
    <t>CCY_USD</t>
  </si>
  <si>
    <t>CCY_EUR</t>
  </si>
  <si>
    <t>These rates should be based on USD</t>
  </si>
  <si>
    <r>
      <rPr>
        <b/>
        <sz val="11"/>
        <color rgb="FF9C5700"/>
        <rFont val="Calibri"/>
        <family val="2"/>
        <scheme val="minor"/>
      </rPr>
      <t>1)</t>
    </r>
    <r>
      <rPr>
        <sz val="11"/>
        <color rgb="FF9C5700"/>
        <rFont val="Calibri"/>
        <family val="2"/>
        <scheme val="minor"/>
      </rPr>
      <t xml:space="preserve">  You can now store these rates for the currencies below</t>
    </r>
  </si>
  <si>
    <t>USD</t>
  </si>
  <si>
    <t>CCY_ZAR</t>
  </si>
  <si>
    <t>Denomination</t>
  </si>
  <si>
    <t>2) Insert accurals</t>
  </si>
  <si>
    <t>These amounts don’t require a denomination</t>
  </si>
  <si>
    <r>
      <rPr>
        <b/>
        <sz val="11"/>
        <color rgb="FF9C5700"/>
        <rFont val="Calibri"/>
        <family val="2"/>
        <scheme val="minor"/>
      </rPr>
      <t>1)</t>
    </r>
    <r>
      <rPr>
        <sz val="11"/>
        <color rgb="FF9C5700"/>
        <rFont val="Calibri"/>
        <family val="2"/>
        <scheme val="minor"/>
      </rPr>
      <t xml:space="preserve">  You can now store these ramounts for the securities below</t>
    </r>
  </si>
  <si>
    <t>You can store accural amounts for fix deposit securities here. These will be used in aggregation calculations to determin accurate PV values for example for a portfolio of holdings(for the securities listed above)</t>
  </si>
  <si>
    <t>You can add FX rates for currencies at the date specified:</t>
  </si>
  <si>
    <t>You can Add analytiscs to your securities in your portfolio for the date specified</t>
  </si>
  <si>
    <t>Before you can add analytics(prices) against your securities, you need to define a store(place) to put these analytics into.</t>
  </si>
  <si>
    <t>These locations will be queried by the system when looking for security prices, accruals and fx rates.</t>
  </si>
  <si>
    <t>These analytics, effectively prices for each security, will be inserted into the following the analytics store you created when setting up the analytics</t>
  </si>
  <si>
    <t>These fx rates, for each currency, will be inserted into the following the analytics store you created</t>
  </si>
  <si>
    <t>These accrual amounts, for each security, will be inserted into the following the analytics store you created for accruals:</t>
  </si>
  <si>
    <t>You can store unit accrual amounts for your securities at the date specified:</t>
  </si>
  <si>
    <t>EffectiveFrom</t>
  </si>
  <si>
    <t>Portfolio Cost</t>
  </si>
  <si>
    <t>To create a new portfolio define it below and press "Create Portfolio" button.</t>
  </si>
  <si>
    <t>1) Define portfolios</t>
  </si>
  <si>
    <t>2) Create portfolios in LUSID</t>
  </si>
  <si>
    <t>To add custom properties to securities, you first need to define what those properties are.</t>
  </si>
  <si>
    <t xml:space="preserve">Your defined properties are now available to you to apply against any existing securities below. </t>
  </si>
  <si>
    <t>1) You can add trades against specific securities here</t>
  </si>
  <si>
    <t>You can change the position of your existing holdings here.</t>
  </si>
  <si>
    <t xml:space="preserve">1) Build/construct changes to your holdings below. </t>
  </si>
  <si>
    <t>2) Adjust your holdings</t>
  </si>
  <si>
    <t>2) Create analytics stores</t>
  </si>
  <si>
    <r>
      <rPr>
        <b/>
        <sz val="11"/>
        <color rgb="FF9C5700"/>
        <rFont val="Calibri"/>
        <family val="2"/>
        <scheme val="minor"/>
      </rPr>
      <t>1)</t>
    </r>
    <r>
      <rPr>
        <sz val="11"/>
        <color rgb="FF9C5700"/>
        <rFont val="Calibri"/>
        <family val="2"/>
        <scheme val="minor"/>
      </rPr>
      <t xml:space="preserve"> Get all your portfolio trades</t>
    </r>
  </si>
  <si>
    <t>Some colours appear in the template and have specific meanings to help you; please see the colour legend below</t>
  </si>
  <si>
    <t xml:space="preserve">2) Build/construct appropriate cell data create these Properties </t>
  </si>
  <si>
    <t>Corporate Action Source</t>
  </si>
  <si>
    <t>Accounting Method</t>
  </si>
  <si>
    <t>Sub-Holding Keys</t>
  </si>
  <si>
    <t>Display Name</t>
  </si>
  <si>
    <t>Description</t>
  </si>
  <si>
    <t>DataTypeId</t>
  </si>
  <si>
    <t>Type</t>
  </si>
  <si>
    <t>Transaction Id</t>
  </si>
  <si>
    <t>Instrument Uid</t>
  </si>
  <si>
    <t>Transaction Date</t>
  </si>
  <si>
    <t>Instrument Units Transacted</t>
  </si>
  <si>
    <t>Transaction Currency</t>
  </si>
  <si>
    <t>Transaction Price</t>
  </si>
  <si>
    <t>client</t>
  </si>
  <si>
    <t>Id</t>
  </si>
  <si>
    <t>default</t>
  </si>
  <si>
    <t>MyId1</t>
  </si>
  <si>
    <t>BBG00JVF3738</t>
  </si>
  <si>
    <t>Currency</t>
  </si>
  <si>
    <r>
      <rPr>
        <b/>
        <sz val="11"/>
        <color rgb="FF9C5700"/>
        <rFont val="Calibri"/>
        <family val="2"/>
        <scheme val="minor"/>
      </rPr>
      <t xml:space="preserve">2) </t>
    </r>
    <r>
      <rPr>
        <sz val="11"/>
        <color rgb="FF9C5700"/>
        <rFont val="Calibri"/>
        <family val="2"/>
        <scheme val="minor"/>
      </rPr>
      <t>Create these trades</t>
    </r>
  </si>
  <si>
    <t>Client supplied instrument Id</t>
  </si>
  <si>
    <t>Instrument name</t>
  </si>
  <si>
    <t>Instrument Id Type</t>
  </si>
  <si>
    <t>Instrument Id Value</t>
  </si>
  <si>
    <t>Instrument</t>
  </si>
  <si>
    <t>InstrumentFormat</t>
  </si>
  <si>
    <t>JSON</t>
  </si>
  <si>
    <t>{}</t>
  </si>
  <si>
    <t>BBG00DKL90B0</t>
  </si>
  <si>
    <t>BBG00DKL91M6</t>
  </si>
  <si>
    <t>BBG00FDG24R6</t>
  </si>
  <si>
    <t>BBG00DKL91L7</t>
  </si>
  <si>
    <t>BBG00FB2C3M5</t>
  </si>
  <si>
    <t>BBG00FJ5L0H2</t>
  </si>
  <si>
    <t>BBG00FJ5L0Q2</t>
  </si>
  <si>
    <t>BBG000C5GF49</t>
  </si>
  <si>
    <t>BBG000C45QW9</t>
  </si>
  <si>
    <t>BBG00GZY0K24</t>
  </si>
  <si>
    <t>BBG00GZXXVG1</t>
  </si>
  <si>
    <t>BBG007V3VDW5</t>
  </si>
  <si>
    <t>BBG000F8XRF3</t>
  </si>
  <si>
    <t>BBG000RH4VW4</t>
  </si>
  <si>
    <t>BBG000R173D9</t>
  </si>
  <si>
    <t>BBG001HQYT28</t>
  </si>
  <si>
    <t>BBG0037S1FD5</t>
  </si>
  <si>
    <t>BBG001B81KF5</t>
  </si>
  <si>
    <t>BBG0034YPJG8</t>
  </si>
  <si>
    <t>BBG0034YQ808</t>
  </si>
  <si>
    <t>BBG004733FZ2</t>
  </si>
  <si>
    <t>Figi</t>
  </si>
  <si>
    <t>Created Security : Invalid instrument specification. Either an instrument already uses one identifier, or an attempt is being made to modify an identifier.</t>
  </si>
  <si>
    <t>: Invalid instrument specification. Either an instrument already uses one identifier, or an attempt is being made to modify an identifier.</t>
  </si>
  <si>
    <t>Created Security LUID_1QFNMM7Q</t>
  </si>
  <si>
    <t>LUID_1QFNMM7Q</t>
  </si>
  <si>
    <t>Created Security LUID_BTD8TCBY</t>
  </si>
  <si>
    <t>LUID_BTD8TCBY</t>
  </si>
  <si>
    <t>Created Security LUID_2NHLJ63K</t>
  </si>
  <si>
    <t>LUID_2NHLJ63K</t>
  </si>
  <si>
    <t>Created Security LUID_NFUKQ78Y</t>
  </si>
  <si>
    <t>LUID_NFUKQ78Y</t>
  </si>
  <si>
    <t>Created Security LUID_19063M9U</t>
  </si>
  <si>
    <t>LUID_19063M9U</t>
  </si>
  <si>
    <t>Created Security LUID_01O5RKGZ</t>
  </si>
  <si>
    <t>LUID_01O5RKGZ</t>
  </si>
  <si>
    <t>Created Security LUID_J9339BN6</t>
  </si>
  <si>
    <t>LUID_J9339BN6</t>
  </si>
  <si>
    <t>Created Security LUID_0T4ENP6U</t>
  </si>
  <si>
    <t>LUID_0T4ENP6U</t>
  </si>
  <si>
    <t>Created Security LUID_ROYPD30O</t>
  </si>
  <si>
    <t>LUID_ROYPD30O</t>
  </si>
  <si>
    <t>Created Security LUID_TUHB7XTD</t>
  </si>
  <si>
    <t>LUID_TUHB7XTD</t>
  </si>
  <si>
    <t>Created Security LUID_RW0E62PU</t>
  </si>
  <si>
    <t>LUID_RW0E62PU</t>
  </si>
  <si>
    <t>Created Security LUID_NSEKU1OZ</t>
  </si>
  <si>
    <t>LUID_NSEKU1OZ</t>
  </si>
  <si>
    <t>Created Security LUID_SPXF639U</t>
  </si>
  <si>
    <t>LUID_SPXF639U</t>
  </si>
  <si>
    <t>Created Security LUID_AJGU6LO8</t>
  </si>
  <si>
    <t>LUID_AJGU6LO8</t>
  </si>
  <si>
    <t>Created Security LUID_7MHFLQ5W</t>
  </si>
  <si>
    <t>LUID_7MHFLQ5W</t>
  </si>
  <si>
    <t>Created Security LUID_IGLZ5M6K</t>
  </si>
  <si>
    <t>LUID_IGLZ5M6K</t>
  </si>
  <si>
    <t>Created Security LUID_OE63TA2K</t>
  </si>
  <si>
    <t>LUID_OE63TA2K</t>
  </si>
  <si>
    <t>Created Security LUID_NJGWCWRW</t>
  </si>
  <si>
    <t>LUID_NJGWCWRW</t>
  </si>
  <si>
    <t>Created Security LUID_SUMBZHU2</t>
  </si>
  <si>
    <t>LUID_SUMBZHU2</t>
  </si>
  <si>
    <t>Created Security LUID_YVVC055R</t>
  </si>
  <si>
    <t>LUID_YVVC055R</t>
  </si>
  <si>
    <t>Created Security LUID_SZBESFPL</t>
  </si>
  <si>
    <t>LUID_SZBESFPL</t>
  </si>
  <si>
    <t>h</t>
  </si>
  <si>
    <t>DemoScope4</t>
  </si>
  <si>
    <t>FirstPortfolio4</t>
  </si>
  <si>
    <t>PortfolioABCDEF4</t>
  </si>
  <si>
    <t>MySecurityClassification42462</t>
  </si>
  <si>
    <t>Instrument/DemoScope4/MySecurityClassification42462</t>
  </si>
  <si>
    <t>Trades added</t>
  </si>
  <si>
    <t>#ERROR: An unknown problem occurred on our side whilst attempting to execute request. This shouldn't happen and it will be flagged for attention by us, but if it persists please get in contact with our support team.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</si>
</sst>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sz val="11"/>
      <color theme="1"/>
      <name val="Calibri"/>
      <family val="2"/>
      <scheme val="minor"/>
    </font>
    <font>
      <sz val="11"/>
      <color rgb="FF9C5700"/>
      <name val="Calibri"/>
      <family val="2"/>
      <scheme val="minor"/>
    </font>
    <font>
      <sz val="11"/>
      <color rgb="FF000000"/>
      <name val="Calibri"/>
      <family val="2"/>
    </font>
    <font>
      <b/>
      <sz val="11"/>
      <color theme="1"/>
      <name val="Calibri"/>
      <family val="2"/>
      <scheme val="minor"/>
    </font>
    <font>
      <b/>
      <sz val="11"/>
      <color rgb="FF9C5700"/>
      <name val="Calibri"/>
      <family val="2"/>
      <scheme val="minor"/>
    </font>
    <font>
      <u/>
      <sz val="11"/>
      <color theme="1"/>
      <name val="Calibri"/>
      <family val="2"/>
      <scheme val="minor"/>
    </font>
    <font>
      <sz val="12"/>
      <color theme="1"/>
      <name val="Calibri"/>
      <family val="2"/>
      <scheme val="minor"/>
    </font>
    <font>
      <sz val="11"/>
      <color rgb="FF006100"/>
      <name val="Calibri"/>
      <family val="2"/>
      <scheme val="minor"/>
    </font>
    <font>
      <b/>
      <sz val="11"/>
      <color theme="3"/>
      <name val="Calibri"/>
      <family val="2"/>
      <scheme val="minor"/>
    </font>
    <font>
      <sz val="11"/>
      <color rgb="FF3F3F76"/>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
      <u/>
      <sz val="11"/>
      <color theme="10"/>
      <name val="Calibri"/>
      <family val="2"/>
      <scheme val="minor"/>
    </font>
  </fonts>
  <fills count="17">
    <fill>
      <patternFill patternType="none"/>
    </fill>
    <fill>
      <patternFill patternType="gray125"/>
    </fill>
    <fill>
      <patternFill patternType="solid">
        <fgColor rgb="FFFFEB9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8" tint="0.79998168889431442"/>
        <bgColor indexed="65"/>
      </patternFill>
    </fill>
    <fill>
      <patternFill patternType="solid">
        <fgColor theme="0" tint="-0.249977111117893"/>
        <bgColor indexed="64"/>
      </patternFill>
    </fill>
    <fill>
      <patternFill patternType="solid">
        <fgColor theme="6" tint="0.79998168889431442"/>
        <bgColor indexed="65"/>
      </patternFill>
    </fill>
    <fill>
      <patternFill patternType="solid">
        <fgColor theme="6" tint="0.59999389629810485"/>
        <bgColor indexed="65"/>
      </patternFill>
    </fill>
    <fill>
      <patternFill patternType="solid">
        <fgColor rgb="FFFFFFCC"/>
      </patternFill>
    </fill>
    <fill>
      <patternFill patternType="solid">
        <fgColor theme="4" tint="0.39997558519241921"/>
        <bgColor indexed="65"/>
      </patternFill>
    </fill>
    <fill>
      <patternFill patternType="solid">
        <fgColor theme="0"/>
        <bgColor indexed="64"/>
      </patternFill>
    </fill>
    <fill>
      <patternFill patternType="solid">
        <fgColor rgb="FFC6EFCE"/>
      </patternFill>
    </fill>
    <fill>
      <patternFill patternType="solid">
        <fgColor theme="0" tint="-0.14999847407452621"/>
        <bgColor indexed="64"/>
      </patternFill>
    </fill>
    <fill>
      <patternFill patternType="solid">
        <fgColor rgb="FFFFCC99"/>
      </patternFill>
    </fill>
    <fill>
      <patternFill patternType="solid">
        <fgColor rgb="FFB4C6E7"/>
        <bgColor indexed="64"/>
      </patternFill>
    </fill>
    <fill>
      <patternFill patternType="solid">
        <fgColor theme="6" tint="0.39997558519241921"/>
        <bgColor indexed="65"/>
      </patternFill>
    </fill>
  </fills>
  <borders count="41">
    <border>
      <left/>
      <right/>
      <top/>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top style="thin">
        <color rgb="FFB2B2B2"/>
      </top>
      <bottom/>
      <diagonal/>
    </border>
    <border>
      <left style="thin">
        <color rgb="FFB2B2B2"/>
      </left>
      <right/>
      <top style="thin">
        <color rgb="FFB2B2B2"/>
      </top>
      <bottom/>
      <diagonal/>
    </border>
    <border>
      <left/>
      <right style="thin">
        <color rgb="FFB2B2B2"/>
      </right>
      <top style="thin">
        <color rgb="FFB2B2B2"/>
      </top>
      <bottom/>
      <diagonal/>
    </border>
    <border>
      <left style="thin">
        <color rgb="FFB2B2B2"/>
      </left>
      <right/>
      <top/>
      <bottom style="thin">
        <color rgb="FFB2B2B2"/>
      </bottom>
      <diagonal/>
    </border>
    <border>
      <left/>
      <right/>
      <top/>
      <bottom style="thin">
        <color rgb="FFB2B2B2"/>
      </bottom>
      <diagonal/>
    </border>
    <border>
      <left/>
      <right style="thin">
        <color rgb="FFB2B2B2"/>
      </right>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double">
        <color theme="4"/>
      </bottom>
      <diagonal/>
    </border>
    <border>
      <left/>
      <right/>
      <top style="thin">
        <color indexed="64"/>
      </top>
      <bottom style="double">
        <color theme="4"/>
      </bottom>
      <diagonal/>
    </border>
    <border>
      <left/>
      <right style="thin">
        <color indexed="64"/>
      </right>
      <top style="thin">
        <color indexed="64"/>
      </top>
      <bottom style="double">
        <color theme="4"/>
      </bottom>
      <diagonal/>
    </border>
    <border>
      <left/>
      <right/>
      <top/>
      <bottom style="medium">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right/>
      <top/>
      <bottom style="thin">
        <color auto="1"/>
      </bottom>
      <diagonal/>
    </border>
    <border>
      <left style="thin">
        <color rgb="FFB2B2B2"/>
      </left>
      <right/>
      <top/>
      <bottom/>
      <diagonal/>
    </border>
    <border>
      <left/>
      <right style="thin">
        <color rgb="FFB2B2B2"/>
      </right>
      <top/>
      <bottom/>
      <diagonal/>
    </border>
    <border>
      <left style="thin">
        <color indexed="64"/>
      </left>
      <right style="thin">
        <color indexed="64"/>
      </right>
      <top style="thin">
        <color indexed="64"/>
      </top>
      <bottom style="double">
        <color theme="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thin">
        <color theme="4"/>
      </top>
      <bottom style="double">
        <color theme="4"/>
      </bottom>
      <diagonal/>
    </border>
    <border>
      <left/>
      <right style="thin">
        <color indexed="64"/>
      </right>
      <top style="thin">
        <color theme="4"/>
      </top>
      <bottom style="double">
        <color theme="4"/>
      </bottom>
      <diagonal/>
    </border>
    <border>
      <left style="thin">
        <color indexed="64"/>
      </left>
      <right/>
      <top style="thin">
        <color theme="4"/>
      </top>
      <bottom style="double">
        <color theme="4"/>
      </bottom>
      <diagonal/>
    </border>
    <border>
      <left style="thin">
        <color indexed="64"/>
      </left>
      <right style="thin">
        <color indexed="64"/>
      </right>
      <top style="double">
        <color theme="4"/>
      </top>
      <bottom/>
      <diagonal/>
    </border>
  </borders>
  <cellStyleXfs count="15">
    <xf numFmtId="0" fontId="0" fillId="0" borderId="0"/>
    <xf numFmtId="0" fontId="2"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4" fillId="0" borderId="1" applyNumberFormat="0" applyFill="0" applyAlignment="0" applyProtection="0"/>
    <xf numFmtId="0" fontId="1" fillId="9" borderId="8" applyNumberFormat="0" applyFont="0" applyAlignment="0" applyProtection="0"/>
    <xf numFmtId="0" fontId="1" fillId="10" borderId="0" applyNumberFormat="0" applyBorder="0" applyAlignment="0" applyProtection="0"/>
    <xf numFmtId="0" fontId="8" fillId="12" borderId="0" applyNumberFormat="0" applyBorder="0" applyAlignment="0" applyProtection="0"/>
    <xf numFmtId="0" fontId="9" fillId="0" borderId="24" applyNumberFormat="0" applyFill="0" applyAlignment="0" applyProtection="0"/>
    <xf numFmtId="0" fontId="10" fillId="14" borderId="28" applyNumberFormat="0" applyAlignment="0" applyProtection="0"/>
    <xf numFmtId="0" fontId="1" fillId="8" borderId="0" applyNumberFormat="0" applyBorder="0" applyAlignment="0" applyProtection="0"/>
    <xf numFmtId="0" fontId="1" fillId="16" borderId="0" applyNumberFormat="0" applyBorder="0" applyAlignment="0" applyProtection="0"/>
    <xf numFmtId="0" fontId="14" fillId="0" borderId="0" applyNumberFormat="0" applyFill="0" applyBorder="0" applyAlignment="0" applyProtection="0"/>
  </cellStyleXfs>
  <cellXfs count="358">
    <xf numFmtId="0" fontId="0" fillId="0" borderId="0" xfId="0"/>
    <xf numFmtId="0" fontId="2" fillId="0" borderId="0" xfId="1" applyFill="1"/>
    <xf numFmtId="0" fontId="0" fillId="0" borderId="0" xfId="0" applyAlignment="1">
      <alignment horizontal="center" vertical="center" textRotation="255"/>
    </xf>
    <xf numFmtId="0" fontId="0" fillId="0" borderId="0" xfId="0" applyAlignment="1">
      <alignment horizontal="center" vertical="center" textRotation="255" wrapText="1"/>
    </xf>
    <xf numFmtId="0" fontId="0" fillId="0" borderId="0" xfId="7" applyFont="1" applyFill="1" applyBorder="1" applyAlignment="1">
      <alignment vertical="center"/>
    </xf>
    <xf numFmtId="0" fontId="0" fillId="0" borderId="0" xfId="7" applyFont="1" applyFill="1" applyBorder="1" applyAlignment="1">
      <alignment horizontal="center" vertical="center"/>
    </xf>
    <xf numFmtId="0" fontId="4" fillId="8" borderId="21" xfId="6" applyFill="1" applyBorder="1" applyAlignment="1">
      <alignment vertical="center"/>
    </xf>
    <xf numFmtId="0" fontId="4" fillId="8" borderId="23" xfId="6" applyFill="1" applyBorder="1" applyAlignment="1">
      <alignment vertical="center"/>
    </xf>
    <xf numFmtId="0" fontId="1" fillId="7" borderId="4" xfId="5" applyBorder="1"/>
    <xf numFmtId="0" fontId="1" fillId="7" borderId="5" xfId="5" applyBorder="1"/>
    <xf numFmtId="0" fontId="1" fillId="7" borderId="6" xfId="5" applyBorder="1"/>
    <xf numFmtId="0" fontId="1" fillId="7" borderId="7" xfId="5" applyBorder="1"/>
    <xf numFmtId="0" fontId="8" fillId="0" borderId="0" xfId="9" applyFill="1"/>
    <xf numFmtId="0" fontId="0" fillId="0" borderId="0" xfId="0" applyAlignment="1">
      <alignment wrapText="1"/>
    </xf>
    <xf numFmtId="0" fontId="0" fillId="6" borderId="9" xfId="0" applyFill="1" applyBorder="1" applyAlignment="1">
      <alignment horizontal="center"/>
    </xf>
    <xf numFmtId="0" fontId="1" fillId="0" borderId="0" xfId="4" applyFill="1"/>
    <xf numFmtId="14" fontId="1" fillId="0" borderId="0" xfId="4" applyNumberFormat="1" applyFill="1"/>
    <xf numFmtId="0" fontId="1" fillId="0" borderId="0" xfId="4" applyFill="1" applyAlignment="1">
      <alignment horizontal="center"/>
    </xf>
    <xf numFmtId="0" fontId="1" fillId="0" borderId="0" xfId="5" applyFill="1"/>
    <xf numFmtId="0" fontId="1" fillId="10" borderId="0" xfId="8" applyAlignment="1">
      <alignment horizontal="center" vertical="center"/>
    </xf>
    <xf numFmtId="0" fontId="1" fillId="0" borderId="0" xfId="8" applyFill="1" applyAlignment="1">
      <alignment horizontal="center" vertical="center"/>
    </xf>
    <xf numFmtId="0" fontId="1" fillId="0" borderId="0" xfId="3" applyFill="1"/>
    <xf numFmtId="0" fontId="9" fillId="0" borderId="0" xfId="7" applyFont="1" applyFill="1" applyBorder="1"/>
    <xf numFmtId="0" fontId="1" fillId="0" borderId="0" xfId="2" applyFill="1" applyAlignment="1">
      <alignment horizontal="center"/>
    </xf>
    <xf numFmtId="0" fontId="1" fillId="0" borderId="0" xfId="2" applyFill="1"/>
    <xf numFmtId="0" fontId="1" fillId="7" borderId="21" xfId="5" applyBorder="1"/>
    <xf numFmtId="0" fontId="1" fillId="7" borderId="23" xfId="5" applyBorder="1"/>
    <xf numFmtId="0" fontId="0" fillId="6" borderId="9" xfId="0" applyFill="1" applyBorder="1"/>
    <xf numFmtId="0" fontId="0" fillId="4" borderId="4" xfId="3" applyFont="1" applyBorder="1"/>
    <xf numFmtId="0" fontId="1" fillId="4" borderId="0" xfId="3"/>
    <xf numFmtId="0" fontId="0" fillId="4" borderId="0" xfId="3" applyFont="1"/>
    <xf numFmtId="0" fontId="1" fillId="4" borderId="5" xfId="3" applyBorder="1"/>
    <xf numFmtId="0" fontId="1" fillId="4" borderId="11" xfId="3" applyBorder="1"/>
    <xf numFmtId="0" fontId="0" fillId="4" borderId="11" xfId="3" applyFont="1" applyBorder="1"/>
    <xf numFmtId="0" fontId="1" fillId="4" borderId="7" xfId="3" applyBorder="1"/>
    <xf numFmtId="0" fontId="0" fillId="7" borderId="19" xfId="5" applyFont="1" applyBorder="1" applyProtection="1">
      <protection locked="0"/>
    </xf>
    <xf numFmtId="0" fontId="0" fillId="7" borderId="20" xfId="5" applyFont="1" applyBorder="1" applyProtection="1">
      <protection locked="0"/>
    </xf>
    <xf numFmtId="0" fontId="1" fillId="7" borderId="4" xfId="5" applyBorder="1" applyProtection="1">
      <protection locked="0"/>
    </xf>
    <xf numFmtId="0" fontId="1" fillId="7" borderId="5" xfId="5" applyBorder="1" applyProtection="1">
      <protection locked="0"/>
    </xf>
    <xf numFmtId="0" fontId="0" fillId="7" borderId="4" xfId="5" applyFont="1" applyBorder="1" applyProtection="1">
      <protection locked="0"/>
    </xf>
    <xf numFmtId="0" fontId="1" fillId="7" borderId="6" xfId="5" applyBorder="1" applyProtection="1">
      <protection locked="0"/>
    </xf>
    <xf numFmtId="0" fontId="1" fillId="7" borderId="7" xfId="5" applyBorder="1" applyProtection="1">
      <protection locked="0"/>
    </xf>
    <xf numFmtId="0" fontId="1" fillId="5" borderId="0" xfId="4" applyAlignment="1" applyProtection="1">
      <alignment horizontal="center"/>
      <protection locked="0"/>
    </xf>
    <xf numFmtId="0" fontId="1" fillId="5" borderId="5" xfId="4" applyBorder="1" applyAlignment="1" applyProtection="1">
      <alignment horizontal="center"/>
      <protection locked="0"/>
    </xf>
    <xf numFmtId="0" fontId="1" fillId="5" borderId="7" xfId="4" applyBorder="1" applyAlignment="1" applyProtection="1">
      <alignment horizontal="center"/>
      <protection locked="0"/>
    </xf>
    <xf numFmtId="14" fontId="1" fillId="5" borderId="0" xfId="4" applyNumberFormat="1" applyAlignment="1" applyProtection="1">
      <alignment horizontal="center"/>
      <protection locked="0"/>
    </xf>
    <xf numFmtId="0" fontId="0" fillId="3" borderId="4" xfId="2" applyFont="1" applyBorder="1" applyProtection="1">
      <protection locked="0"/>
    </xf>
    <xf numFmtId="0" fontId="0" fillId="3" borderId="0" xfId="2" applyFont="1" applyProtection="1">
      <protection locked="0"/>
    </xf>
    <xf numFmtId="14" fontId="1" fillId="3" borderId="0" xfId="2" applyNumberFormat="1" applyProtection="1">
      <protection locked="0"/>
    </xf>
    <xf numFmtId="0" fontId="1" fillId="3" borderId="4" xfId="2" applyBorder="1" applyProtection="1">
      <protection locked="0"/>
    </xf>
    <xf numFmtId="0" fontId="1" fillId="3" borderId="0" xfId="2" applyProtection="1">
      <protection locked="0"/>
    </xf>
    <xf numFmtId="0" fontId="1" fillId="3" borderId="6" xfId="2" applyBorder="1" applyProtection="1">
      <protection locked="0"/>
    </xf>
    <xf numFmtId="0" fontId="7" fillId="0" borderId="0" xfId="7" applyFont="1" applyFill="1" applyBorder="1" applyAlignment="1">
      <alignment horizontal="center" vertical="center"/>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14" fontId="7" fillId="0" borderId="0" xfId="7" applyNumberFormat="1" applyFont="1" applyFill="1" applyBorder="1" applyAlignment="1">
      <alignment horizontal="center" vertical="center"/>
    </xf>
    <xf numFmtId="14" fontId="0" fillId="0" borderId="0" xfId="0" applyNumberFormat="1"/>
    <xf numFmtId="0" fontId="2" fillId="0" borderId="0" xfId="1" applyFill="1" applyAlignment="1">
      <alignment vertical="center" wrapText="1"/>
    </xf>
    <xf numFmtId="14" fontId="7" fillId="0" borderId="9" xfId="7" applyNumberFormat="1" applyFont="1" applyFill="1" applyBorder="1" applyAlignment="1">
      <alignment horizontal="center" vertical="center"/>
    </xf>
    <xf numFmtId="2" fontId="0" fillId="0" borderId="0" xfId="0" applyNumberFormat="1"/>
    <xf numFmtId="2" fontId="7" fillId="0" borderId="0" xfId="7" applyNumberFormat="1" applyFont="1" applyFill="1" applyBorder="1" applyAlignment="1">
      <alignment horizontal="center" vertical="center"/>
    </xf>
    <xf numFmtId="0" fontId="4" fillId="4" borderId="21" xfId="6" applyFill="1" applyBorder="1"/>
    <xf numFmtId="2" fontId="4" fillId="4" borderId="23" xfId="6" applyNumberFormat="1" applyFill="1" applyBorder="1"/>
    <xf numFmtId="2" fontId="1" fillId="5" borderId="5" xfId="4" applyNumberFormat="1" applyBorder="1" applyAlignment="1" applyProtection="1">
      <alignment horizontal="center"/>
      <protection locked="0"/>
    </xf>
    <xf numFmtId="0" fontId="1" fillId="4" borderId="19" xfId="3" applyBorder="1"/>
    <xf numFmtId="0" fontId="1" fillId="4" borderId="20" xfId="3" applyBorder="1"/>
    <xf numFmtId="0" fontId="1" fillId="4" borderId="21" xfId="3" applyBorder="1" applyAlignment="1">
      <alignment horizontal="center" vertical="center"/>
    </xf>
    <xf numFmtId="0" fontId="1" fillId="4" borderId="23" xfId="3" applyBorder="1" applyAlignment="1">
      <alignment horizontal="center" vertical="center"/>
    </xf>
    <xf numFmtId="14" fontId="1" fillId="4" borderId="7" xfId="3" applyNumberFormat="1" applyBorder="1" applyAlignment="1">
      <alignment horizontal="left" vertical="top"/>
    </xf>
    <xf numFmtId="0" fontId="7" fillId="0" borderId="0" xfId="7" applyFont="1" applyFill="1" applyBorder="1" applyAlignment="1">
      <alignment vertical="center" wrapText="1"/>
    </xf>
    <xf numFmtId="0" fontId="0" fillId="0" borderId="9" xfId="0" applyBorder="1"/>
    <xf numFmtId="14" fontId="0" fillId="0" borderId="9" xfId="0" applyNumberFormat="1" applyBorder="1"/>
    <xf numFmtId="0" fontId="0" fillId="15" borderId="6" xfId="0" applyFill="1" applyBorder="1"/>
    <xf numFmtId="14" fontId="1" fillId="4" borderId="32" xfId="3" applyNumberFormat="1" applyBorder="1"/>
    <xf numFmtId="0" fontId="0" fillId="4" borderId="32" xfId="3" applyFont="1" applyBorder="1"/>
    <xf numFmtId="0" fontId="0" fillId="0" borderId="0" xfId="0" applyAlignment="1">
      <alignment horizontal="center" vertical="center"/>
    </xf>
    <xf numFmtId="0" fontId="7" fillId="0" borderId="0" xfId="7" applyFont="1" applyFill="1" applyBorder="1" applyAlignment="1">
      <alignment vertical="center"/>
    </xf>
    <xf numFmtId="0" fontId="0" fillId="0" borderId="0" xfId="3" applyFont="1" applyFill="1"/>
    <xf numFmtId="0" fontId="9" fillId="0" borderId="26" xfId="10" applyBorder="1"/>
    <xf numFmtId="0" fontId="1" fillId="5" borderId="4" xfId="4" applyBorder="1"/>
    <xf numFmtId="0" fontId="1" fillId="5" borderId="0" xfId="4"/>
    <xf numFmtId="0" fontId="1" fillId="5" borderId="5" xfId="4" applyBorder="1"/>
    <xf numFmtId="0" fontId="1" fillId="5" borderId="6" xfId="4" applyBorder="1"/>
    <xf numFmtId="0" fontId="1" fillId="5" borderId="7" xfId="4" applyBorder="1"/>
    <xf numFmtId="0" fontId="0" fillId="5" borderId="0" xfId="4" applyFont="1" applyAlignment="1" applyProtection="1">
      <alignment horizontal="center"/>
      <protection locked="0"/>
    </xf>
    <xf numFmtId="14" fontId="1" fillId="4" borderId="0" xfId="3" applyNumberFormat="1"/>
    <xf numFmtId="0" fontId="1" fillId="4" borderId="32" xfId="3" applyBorder="1"/>
    <xf numFmtId="0" fontId="1" fillId="4" borderId="4" xfId="3" applyBorder="1" applyAlignment="1">
      <alignment horizontal="center"/>
    </xf>
    <xf numFmtId="0" fontId="1" fillId="4" borderId="0" xfId="3" applyAlignment="1">
      <alignment horizontal="center"/>
    </xf>
    <xf numFmtId="0" fontId="1" fillId="4" borderId="5" xfId="3" applyBorder="1" applyAlignment="1">
      <alignment horizontal="center"/>
    </xf>
    <xf numFmtId="0" fontId="1" fillId="4" borderId="6" xfId="3" applyBorder="1" applyAlignment="1">
      <alignment horizontal="center"/>
    </xf>
    <xf numFmtId="0" fontId="1" fillId="4" borderId="32" xfId="3" applyBorder="1" applyAlignment="1">
      <alignment horizontal="center"/>
    </xf>
    <xf numFmtId="0" fontId="9" fillId="9" borderId="9" xfId="10" applyFill="1" applyBorder="1"/>
    <xf numFmtId="0" fontId="0" fillId="4" borderId="4" xfId="3" applyFont="1" applyBorder="1" applyAlignment="1">
      <alignment horizontal="center"/>
    </xf>
    <xf numFmtId="0" fontId="0" fillId="4" borderId="0" xfId="3" applyFont="1" applyAlignment="1">
      <alignment horizontal="center"/>
    </xf>
    <xf numFmtId="0" fontId="0" fillId="7" borderId="5" xfId="5" applyFont="1" applyBorder="1" applyProtection="1">
      <protection locked="0"/>
    </xf>
    <xf numFmtId="0" fontId="9" fillId="0" borderId="25" xfId="10" applyBorder="1"/>
    <xf numFmtId="0" fontId="0" fillId="15" borderId="4" xfId="0" applyFill="1" applyBorder="1"/>
    <xf numFmtId="0" fontId="2" fillId="0" borderId="0" xfId="1" applyFill="1" applyAlignment="1">
      <alignment vertical="center"/>
    </xf>
    <xf numFmtId="0" fontId="9" fillId="0" borderId="0" xfId="10" applyBorder="1"/>
    <xf numFmtId="0" fontId="9" fillId="9" borderId="27" xfId="10" applyFill="1" applyBorder="1"/>
    <xf numFmtId="0" fontId="10" fillId="0" borderId="0" xfId="11" applyFill="1" applyBorder="1" applyAlignment="1">
      <alignment vertical="center"/>
    </xf>
    <xf numFmtId="0" fontId="9" fillId="9" borderId="26" xfId="10" applyFill="1" applyBorder="1"/>
    <xf numFmtId="49" fontId="1" fillId="4" borderId="0" xfId="3" applyNumberFormat="1" applyAlignment="1">
      <alignment horizontal="center"/>
    </xf>
    <xf numFmtId="49" fontId="1" fillId="4" borderId="0" xfId="3" applyNumberFormat="1"/>
    <xf numFmtId="49" fontId="1" fillId="4" borderId="32" xfId="3" applyNumberFormat="1" applyBorder="1"/>
    <xf numFmtId="49" fontId="0" fillId="4" borderId="0" xfId="3" applyNumberFormat="1" applyFont="1" applyAlignment="1">
      <alignment horizontal="center"/>
    </xf>
    <xf numFmtId="2" fontId="1" fillId="5" borderId="7" xfId="4" applyNumberFormat="1" applyBorder="1" applyAlignment="1" applyProtection="1">
      <alignment horizontal="center"/>
      <protection locked="0"/>
    </xf>
    <xf numFmtId="0" fontId="4" fillId="4" borderId="22" xfId="6" applyFill="1" applyBorder="1"/>
    <xf numFmtId="0" fontId="4" fillId="9" borderId="22" xfId="6" applyFill="1" applyBorder="1"/>
    <xf numFmtId="0" fontId="4" fillId="9" borderId="23" xfId="6" applyFill="1" applyBorder="1"/>
    <xf numFmtId="0" fontId="0" fillId="5" borderId="5" xfId="4" applyFont="1" applyBorder="1" applyAlignment="1" applyProtection="1">
      <alignment horizontal="center"/>
      <protection locked="0"/>
    </xf>
    <xf numFmtId="14" fontId="1" fillId="5" borderId="32" xfId="4" applyNumberFormat="1" applyBorder="1" applyAlignment="1" applyProtection="1">
      <alignment horizontal="center"/>
      <protection locked="0"/>
    </xf>
    <xf numFmtId="0" fontId="0" fillId="5" borderId="32" xfId="4" applyFont="1" applyBorder="1" applyAlignment="1" applyProtection="1">
      <alignment horizontal="center"/>
      <protection locked="0"/>
    </xf>
    <xf numFmtId="0" fontId="1" fillId="5" borderId="32" xfId="4" applyBorder="1" applyAlignment="1" applyProtection="1">
      <alignment horizontal="center"/>
      <protection locked="0"/>
    </xf>
    <xf numFmtId="0" fontId="12" fillId="0" borderId="0" xfId="0" applyFont="1" applyAlignment="1">
      <alignment wrapText="1"/>
    </xf>
    <xf numFmtId="0" fontId="13" fillId="0" borderId="0" xfId="0" applyFont="1" applyAlignment="1">
      <alignment wrapText="1"/>
    </xf>
    <xf numFmtId="2" fontId="1" fillId="4" borderId="0" xfId="3" applyNumberFormat="1"/>
    <xf numFmtId="0" fontId="2" fillId="0" borderId="0" xfId="1" applyFill="1" applyAlignment="1">
      <alignment horizontal="center" vertical="center"/>
    </xf>
    <xf numFmtId="0" fontId="2" fillId="0" borderId="0" xfId="1" applyFill="1" applyAlignment="1">
      <alignment horizontal="left" vertical="center"/>
    </xf>
    <xf numFmtId="0" fontId="7" fillId="9" borderId="2" xfId="7" applyFont="1" applyBorder="1" applyAlignment="1">
      <alignment vertical="center"/>
    </xf>
    <xf numFmtId="0" fontId="7" fillId="9" borderId="10" xfId="7" applyFont="1" applyBorder="1" applyAlignment="1">
      <alignment vertical="center"/>
    </xf>
    <xf numFmtId="0" fontId="7" fillId="9" borderId="3" xfId="7" applyFont="1" applyBorder="1" applyAlignment="1">
      <alignment vertical="center"/>
    </xf>
    <xf numFmtId="0" fontId="7" fillId="9" borderId="4" xfId="7" applyFont="1" applyBorder="1" applyAlignment="1">
      <alignment vertical="center"/>
    </xf>
    <xf numFmtId="0" fontId="7" fillId="9" borderId="0" xfId="7" applyFont="1" applyBorder="1" applyAlignment="1">
      <alignment vertical="center"/>
    </xf>
    <xf numFmtId="0" fontId="7" fillId="9" borderId="5" xfId="7" applyFont="1" applyBorder="1" applyAlignment="1">
      <alignment vertical="center"/>
    </xf>
    <xf numFmtId="0" fontId="7" fillId="9" borderId="6" xfId="7" applyFont="1" applyBorder="1" applyAlignment="1">
      <alignment vertical="center"/>
    </xf>
    <xf numFmtId="0" fontId="7" fillId="9" borderId="32" xfId="7" applyFont="1" applyBorder="1" applyAlignment="1">
      <alignment vertical="center"/>
    </xf>
    <xf numFmtId="0" fontId="7" fillId="9" borderId="7" xfId="7" applyFont="1" applyBorder="1" applyAlignment="1">
      <alignment vertical="center"/>
    </xf>
    <xf numFmtId="2" fontId="1" fillId="0" borderId="0" xfId="4" applyNumberFormat="1" applyFill="1" applyAlignment="1" applyProtection="1">
      <alignment horizontal="center"/>
      <protection locked="0"/>
    </xf>
    <xf numFmtId="2" fontId="1" fillId="9" borderId="0" xfId="7" applyNumberFormat="1" applyBorder="1" applyAlignment="1" applyProtection="1">
      <alignment horizontal="center"/>
      <protection locked="0"/>
    </xf>
    <xf numFmtId="2" fontId="1" fillId="9" borderId="10" xfId="7" applyNumberFormat="1" applyBorder="1" applyAlignment="1" applyProtection="1">
      <alignment horizontal="center"/>
      <protection locked="0"/>
    </xf>
    <xf numFmtId="2" fontId="1" fillId="9" borderId="32" xfId="7" applyNumberFormat="1" applyBorder="1" applyAlignment="1" applyProtection="1">
      <alignment horizontal="center"/>
      <protection locked="0"/>
    </xf>
    <xf numFmtId="2" fontId="0" fillId="5" borderId="5" xfId="4" applyNumberFormat="1" applyFont="1" applyBorder="1" applyAlignment="1" applyProtection="1">
      <alignment horizontal="center"/>
      <protection locked="0"/>
    </xf>
    <xf numFmtId="0" fontId="0" fillId="0" borderId="0" xfId="4" applyFont="1" applyFill="1"/>
    <xf numFmtId="0" fontId="0" fillId="9" borderId="9" xfId="7" applyFont="1" applyBorder="1"/>
    <xf numFmtId="0" fontId="4" fillId="4" borderId="35" xfId="6" applyFill="1" applyBorder="1"/>
    <xf numFmtId="2" fontId="4" fillId="4" borderId="35" xfId="6" applyNumberFormat="1" applyFill="1" applyBorder="1"/>
    <xf numFmtId="0" fontId="7" fillId="0" borderId="32" xfId="7" applyFont="1" applyFill="1" applyBorder="1" applyAlignment="1">
      <alignment vertical="center" wrapText="1"/>
    </xf>
    <xf numFmtId="0" fontId="0" fillId="0" borderId="0" xfId="0" applyAlignment="1">
      <alignment horizontal="right"/>
    </xf>
    <xf numFmtId="0" fontId="4" fillId="0" borderId="36" xfId="0" applyFont="1" applyBorder="1"/>
    <xf numFmtId="0" fontId="4" fillId="8" borderId="36" xfId="6" applyFill="1" applyBorder="1"/>
    <xf numFmtId="0" fontId="4" fillId="8" borderId="9" xfId="12" applyFont="1" applyBorder="1"/>
    <xf numFmtId="0" fontId="1" fillId="8" borderId="19" xfId="12" applyBorder="1"/>
    <xf numFmtId="0" fontId="1" fillId="8" borderId="20" xfId="12" applyBorder="1"/>
    <xf numFmtId="0" fontId="4" fillId="4" borderId="21" xfId="3" applyFont="1" applyBorder="1"/>
    <xf numFmtId="0" fontId="4" fillId="4" borderId="22" xfId="3" applyFont="1" applyBorder="1"/>
    <xf numFmtId="2" fontId="4" fillId="4" borderId="22" xfId="3" applyNumberFormat="1" applyFont="1" applyBorder="1"/>
    <xf numFmtId="2" fontId="1" fillId="4" borderId="32" xfId="3" applyNumberFormat="1" applyBorder="1"/>
    <xf numFmtId="0" fontId="4" fillId="13" borderId="19" xfId="0" applyFont="1" applyFill="1" applyBorder="1"/>
    <xf numFmtId="0" fontId="0" fillId="13" borderId="19" xfId="0" applyFill="1" applyBorder="1"/>
    <xf numFmtId="0" fontId="0" fillId="13" borderId="20" xfId="0" applyFill="1" applyBorder="1"/>
    <xf numFmtId="0" fontId="5" fillId="2" borderId="0" xfId="1" applyFont="1" applyAlignment="1">
      <alignment horizontal="left" wrapText="1"/>
    </xf>
    <xf numFmtId="0" fontId="4" fillId="3" borderId="1" xfId="6" applyFill="1" applyProtection="1">
      <protection locked="0"/>
    </xf>
    <xf numFmtId="14" fontId="4" fillId="3" borderId="1" xfId="6" applyNumberFormat="1" applyFill="1" applyProtection="1">
      <protection locked="0"/>
    </xf>
    <xf numFmtId="0" fontId="4" fillId="3" borderId="1" xfId="6" applyFill="1"/>
    <xf numFmtId="0" fontId="1" fillId="3" borderId="0" xfId="2"/>
    <xf numFmtId="0" fontId="1" fillId="3" borderId="5" xfId="2" applyBorder="1"/>
    <xf numFmtId="0" fontId="1" fillId="3" borderId="32" xfId="2" applyBorder="1" applyProtection="1">
      <protection locked="0"/>
    </xf>
    <xf numFmtId="0" fontId="1" fillId="3" borderId="32" xfId="2" applyBorder="1"/>
    <xf numFmtId="0" fontId="1" fillId="3" borderId="7" xfId="2" applyBorder="1"/>
    <xf numFmtId="0" fontId="0" fillId="0" borderId="0" xfId="0" quotePrefix="1"/>
    <xf numFmtId="0" fontId="4" fillId="8" borderId="35" xfId="6" applyFill="1" applyBorder="1"/>
    <xf numFmtId="0" fontId="1" fillId="7" borderId="19" xfId="5" quotePrefix="1" applyBorder="1" applyProtection="1">
      <protection locked="0"/>
    </xf>
    <xf numFmtId="0" fontId="1" fillId="7" borderId="19" xfId="5" applyBorder="1" applyProtection="1">
      <protection locked="0"/>
    </xf>
    <xf numFmtId="0" fontId="1" fillId="7" borderId="20" xfId="5" applyBorder="1" applyProtection="1">
      <protection locked="0"/>
    </xf>
    <xf numFmtId="0" fontId="4" fillId="4" borderId="1" xfId="6" applyFill="1"/>
    <xf numFmtId="14" fontId="4" fillId="4" borderId="1" xfId="6" applyNumberFormat="1" applyFill="1"/>
    <xf numFmtId="0" fontId="4" fillId="8" borderId="37" xfId="6" applyFill="1" applyBorder="1"/>
    <xf numFmtId="0" fontId="4" fillId="3" borderId="38" xfId="6" applyFill="1" applyBorder="1"/>
    <xf numFmtId="0" fontId="5" fillId="2" borderId="9" xfId="1" applyFont="1" applyBorder="1" applyAlignment="1">
      <alignment horizontal="center"/>
    </xf>
    <xf numFmtId="0" fontId="4" fillId="4" borderId="38" xfId="6" applyFill="1" applyBorder="1"/>
    <xf numFmtId="0" fontId="5" fillId="2" borderId="26" xfId="1" applyFont="1" applyBorder="1" applyAlignment="1">
      <alignment horizontal="center"/>
    </xf>
    <xf numFmtId="0" fontId="5" fillId="2" borderId="27" xfId="1" applyFont="1" applyBorder="1" applyAlignment="1">
      <alignment horizontal="center"/>
    </xf>
    <xf numFmtId="0" fontId="2" fillId="2" borderId="10" xfId="1" applyBorder="1" applyAlignment="1">
      <alignment horizontal="center" vertical="top"/>
    </xf>
    <xf numFmtId="0" fontId="2" fillId="2" borderId="3" xfId="1" applyBorder="1" applyAlignment="1">
      <alignment horizontal="center" vertical="top"/>
    </xf>
    <xf numFmtId="0" fontId="2" fillId="2" borderId="4" xfId="1" applyBorder="1" applyAlignment="1">
      <alignment horizontal="center" vertical="top"/>
    </xf>
    <xf numFmtId="0" fontId="2" fillId="2" borderId="0" xfId="1" applyAlignment="1">
      <alignment horizontal="center" vertical="top"/>
    </xf>
    <xf numFmtId="0" fontId="2" fillId="2" borderId="5" xfId="1" applyBorder="1" applyAlignment="1">
      <alignment horizontal="center" vertical="top"/>
    </xf>
    <xf numFmtId="0" fontId="2" fillId="2" borderId="6" xfId="1" applyBorder="1" applyAlignment="1">
      <alignment horizontal="center" vertical="top"/>
    </xf>
    <xf numFmtId="0" fontId="2" fillId="2" borderId="32" xfId="1" applyBorder="1" applyAlignment="1">
      <alignment horizontal="center" vertical="top"/>
    </xf>
    <xf numFmtId="0" fontId="2" fillId="2" borderId="7" xfId="1" applyBorder="1" applyAlignment="1">
      <alignment horizontal="center" vertical="top"/>
    </xf>
    <xf numFmtId="0" fontId="2" fillId="2" borderId="2" xfId="1" applyBorder="1" applyAlignment="1">
      <alignment horizontal="left" vertical="top"/>
    </xf>
    <xf numFmtId="2" fontId="0" fillId="4" borderId="0" xfId="3" applyNumberFormat="1" applyFont="1"/>
    <xf numFmtId="0" fontId="4" fillId="13" borderId="36" xfId="0" applyFont="1" applyFill="1" applyBorder="1"/>
    <xf numFmtId="0" fontId="1" fillId="4" borderId="25" xfId="3" applyBorder="1"/>
    <xf numFmtId="0" fontId="1" fillId="4" borderId="26" xfId="3" applyBorder="1"/>
    <xf numFmtId="0" fontId="1" fillId="4" borderId="4" xfId="3" applyBorder="1"/>
    <xf numFmtId="14" fontId="1" fillId="4" borderId="0" xfId="3" applyNumberFormat="1" applyAlignment="1">
      <alignment horizontal="center"/>
    </xf>
    <xf numFmtId="0" fontId="1" fillId="4" borderId="6" xfId="3" applyBorder="1"/>
    <xf numFmtId="0" fontId="1" fillId="4" borderId="11" xfId="3" applyBorder="1" applyAlignment="1">
      <alignment horizontal="center"/>
    </xf>
    <xf numFmtId="0" fontId="5" fillId="2" borderId="25" xfId="1" applyFont="1" applyBorder="1" applyAlignment="1">
      <alignment horizontal="left"/>
    </xf>
    <xf numFmtId="0" fontId="4" fillId="13" borderId="35" xfId="6" applyFill="1" applyBorder="1"/>
    <xf numFmtId="0" fontId="4" fillId="15" borderId="39" xfId="6" applyFill="1" applyBorder="1"/>
    <xf numFmtId="2" fontId="1" fillId="4" borderId="5" xfId="3" applyNumberFormat="1" applyBorder="1" applyAlignment="1" applyProtection="1">
      <alignment horizontal="center"/>
      <protection locked="0"/>
    </xf>
    <xf numFmtId="2" fontId="1" fillId="4" borderId="7" xfId="3" applyNumberFormat="1" applyBorder="1" applyAlignment="1" applyProtection="1">
      <alignment horizontal="center"/>
      <protection locked="0"/>
    </xf>
    <xf numFmtId="2" fontId="1" fillId="4" borderId="19" xfId="3" applyNumberFormat="1" applyBorder="1" applyAlignment="1" applyProtection="1">
      <alignment horizontal="center"/>
      <protection locked="0"/>
    </xf>
    <xf numFmtId="2" fontId="1" fillId="4" borderId="20" xfId="3" applyNumberFormat="1" applyBorder="1" applyAlignment="1" applyProtection="1">
      <alignment horizontal="center"/>
      <protection locked="0"/>
    </xf>
    <xf numFmtId="0" fontId="1" fillId="4" borderId="40" xfId="3" applyBorder="1"/>
    <xf numFmtId="0" fontId="0" fillId="4" borderId="19" xfId="3" applyFont="1" applyBorder="1"/>
    <xf numFmtId="0" fontId="0" fillId="4" borderId="19" xfId="3" quotePrefix="1" applyFont="1" applyBorder="1"/>
    <xf numFmtId="0" fontId="2" fillId="2" borderId="25" xfId="1" applyBorder="1" applyAlignment="1">
      <alignment horizontal="center" wrapText="1"/>
    </xf>
    <xf numFmtId="0" fontId="2" fillId="2" borderId="27" xfId="1" applyBorder="1" applyAlignment="1">
      <alignment horizontal="center" wrapText="1"/>
    </xf>
    <xf numFmtId="0" fontId="4" fillId="4" borderId="3" xfId="6" applyFill="1" applyBorder="1"/>
    <xf numFmtId="0" fontId="1" fillId="5" borderId="32" xfId="4" applyBorder="1"/>
    <xf numFmtId="0" fontId="4" fillId="4" borderId="2" xfId="6" applyFill="1" applyBorder="1"/>
    <xf numFmtId="0" fontId="4" fillId="4" borderId="10" xfId="6" applyFill="1" applyBorder="1"/>
    <xf numFmtId="0" fontId="14" fillId="0" borderId="0" xfId="14"/>
    <xf numFmtId="0" fontId="0" fillId="7" borderId="5" xfId="5" applyFont="1" applyBorder="1"/>
    <xf numFmtId="0" fontId="1" fillId="16" borderId="9" xfId="13" applyBorder="1"/>
    <xf numFmtId="0" fontId="0" fillId="0" borderId="19" xfId="0" applyBorder="1"/>
    <xf numFmtId="0" fontId="0" fillId="0" borderId="20" xfId="0" applyBorder="1"/>
    <xf numFmtId="0" fontId="14" fillId="0" borderId="19" xfId="14" applyBorder="1" applyAlignment="1">
      <alignment vertical="center"/>
    </xf>
    <xf numFmtId="0" fontId="0" fillId="0" borderId="0" xfId="0" applyAlignment="1">
      <alignment vertical="center"/>
    </xf>
    <xf numFmtId="0" fontId="0" fillId="7" borderId="5" xfId="5" applyFont="1" applyBorder="1" applyAlignment="1" applyProtection="1">
      <alignment wrapText="1"/>
      <protection locked="0"/>
    </xf>
    <xf numFmtId="0" fontId="1" fillId="7" borderId="5" xfId="5" applyBorder="1" applyAlignment="1" applyProtection="1">
      <alignment wrapText="1"/>
      <protection locked="0"/>
    </xf>
    <xf numFmtId="0" fontId="0" fillId="4" borderId="5" xfId="3" applyFont="1" applyBorder="1"/>
    <xf numFmtId="0" fontId="1" fillId="7" borderId="9" xfId="5" applyBorder="1" applyAlignment="1">
      <alignment horizontal="center"/>
    </xf>
    <xf numFmtId="0" fontId="4" fillId="11" borderId="9" xfId="0" applyFont="1" applyFill="1" applyBorder="1" applyAlignment="1">
      <alignment horizontal="center"/>
    </xf>
    <xf numFmtId="0" fontId="0" fillId="9" borderId="2" xfId="7" applyFont="1" applyBorder="1" applyAlignment="1">
      <alignment horizontal="center" vertical="center" wrapText="1"/>
    </xf>
    <xf numFmtId="0" fontId="0" fillId="9" borderId="10" xfId="7" applyFont="1" applyBorder="1" applyAlignment="1">
      <alignment horizontal="center" vertical="center" wrapText="1"/>
    </xf>
    <xf numFmtId="0" fontId="0" fillId="9" borderId="3" xfId="7" applyFont="1" applyBorder="1" applyAlignment="1">
      <alignment horizontal="center" vertical="center" wrapText="1"/>
    </xf>
    <xf numFmtId="0" fontId="0" fillId="9" borderId="6" xfId="7" applyFont="1" applyBorder="1" applyAlignment="1">
      <alignment horizontal="center" vertical="center" wrapText="1"/>
    </xf>
    <xf numFmtId="0" fontId="0" fillId="9" borderId="11" xfId="7" applyFont="1" applyBorder="1" applyAlignment="1">
      <alignment horizontal="center" vertical="center" wrapText="1"/>
    </xf>
    <xf numFmtId="0" fontId="0" fillId="9" borderId="7" xfId="7" applyFont="1" applyBorder="1" applyAlignment="1">
      <alignment horizontal="center" vertical="center" wrapText="1"/>
    </xf>
    <xf numFmtId="0" fontId="0" fillId="9" borderId="29" xfId="7" applyFont="1" applyBorder="1" applyAlignment="1">
      <alignment horizontal="center"/>
    </xf>
    <xf numFmtId="0" fontId="0" fillId="9" borderId="30" xfId="7" applyFont="1" applyBorder="1" applyAlignment="1">
      <alignment horizontal="center"/>
    </xf>
    <xf numFmtId="0" fontId="0" fillId="9" borderId="31" xfId="7" applyFont="1" applyBorder="1" applyAlignment="1">
      <alignment horizontal="center"/>
    </xf>
    <xf numFmtId="0" fontId="0" fillId="9" borderId="4" xfId="7" applyFont="1" applyBorder="1" applyAlignment="1">
      <alignment horizontal="center" vertical="center" wrapText="1"/>
    </xf>
    <xf numFmtId="0" fontId="0" fillId="9" borderId="0" xfId="7" applyFont="1" applyBorder="1" applyAlignment="1">
      <alignment horizontal="center" vertical="center" wrapText="1"/>
    </xf>
    <xf numFmtId="0" fontId="0" fillId="9" borderId="5" xfId="7" applyFont="1" applyBorder="1" applyAlignment="1">
      <alignment horizontal="center" vertical="center" wrapText="1"/>
    </xf>
    <xf numFmtId="0" fontId="2" fillId="2" borderId="9" xfId="1" applyBorder="1" applyAlignment="1">
      <alignment horizontal="center"/>
    </xf>
    <xf numFmtId="0" fontId="0" fillId="9" borderId="9" xfId="7" applyFont="1" applyBorder="1" applyAlignment="1">
      <alignment horizontal="center" wrapText="1"/>
    </xf>
    <xf numFmtId="0" fontId="1" fillId="3" borderId="9" xfId="2" applyBorder="1" applyAlignment="1">
      <alignment horizontal="center"/>
    </xf>
    <xf numFmtId="0" fontId="2" fillId="2" borderId="25" xfId="1" applyBorder="1" applyAlignment="1">
      <alignment horizontal="center" wrapText="1"/>
    </xf>
    <xf numFmtId="0" fontId="2" fillId="2" borderId="26" xfId="1" applyBorder="1" applyAlignment="1">
      <alignment horizontal="center" wrapText="1"/>
    </xf>
    <xf numFmtId="0" fontId="2" fillId="2" borderId="27" xfId="1" applyBorder="1" applyAlignment="1">
      <alignment horizontal="center" wrapText="1"/>
    </xf>
    <xf numFmtId="0" fontId="2" fillId="2" borderId="0" xfId="1" applyAlignment="1">
      <alignment horizontal="center" vertical="top"/>
    </xf>
    <xf numFmtId="0" fontId="0" fillId="9" borderId="2" xfId="7" applyFont="1" applyBorder="1" applyAlignment="1">
      <alignment horizontal="center" wrapText="1"/>
    </xf>
    <xf numFmtId="0" fontId="0" fillId="9" borderId="10" xfId="7" applyFont="1" applyBorder="1" applyAlignment="1">
      <alignment horizontal="center" wrapText="1"/>
    </xf>
    <xf numFmtId="0" fontId="0" fillId="9" borderId="3" xfId="7" applyFont="1" applyBorder="1" applyAlignment="1">
      <alignment horizontal="center" wrapText="1"/>
    </xf>
    <xf numFmtId="0" fontId="0" fillId="9" borderId="4" xfId="7" applyFont="1" applyBorder="1" applyAlignment="1">
      <alignment horizontal="center" wrapText="1"/>
    </xf>
    <xf numFmtId="0" fontId="0" fillId="9" borderId="0" xfId="7" applyFont="1" applyBorder="1" applyAlignment="1">
      <alignment horizontal="center" wrapText="1"/>
    </xf>
    <xf numFmtId="0" fontId="0" fillId="9" borderId="5" xfId="7" applyFont="1" applyBorder="1" applyAlignment="1">
      <alignment horizontal="center" wrapText="1"/>
    </xf>
    <xf numFmtId="0" fontId="0" fillId="9" borderId="6" xfId="7" applyFont="1" applyBorder="1" applyAlignment="1">
      <alignment horizontal="center" wrapText="1"/>
    </xf>
    <xf numFmtId="0" fontId="0" fillId="9" borderId="11" xfId="7" applyFont="1" applyBorder="1" applyAlignment="1">
      <alignment horizontal="center" wrapText="1"/>
    </xf>
    <xf numFmtId="0" fontId="0" fillId="9" borderId="7" xfId="7" applyFont="1" applyBorder="1" applyAlignment="1">
      <alignment horizontal="center" wrapText="1"/>
    </xf>
    <xf numFmtId="0" fontId="7" fillId="9" borderId="2" xfId="7" applyFont="1" applyBorder="1" applyAlignment="1">
      <alignment horizontal="center" vertical="center" wrapText="1"/>
    </xf>
    <xf numFmtId="0" fontId="7" fillId="9" borderId="10" xfId="7" applyFont="1" applyBorder="1" applyAlignment="1">
      <alignment horizontal="center" vertical="center" wrapText="1"/>
    </xf>
    <xf numFmtId="0" fontId="7" fillId="9" borderId="3" xfId="7" applyFont="1" applyBorder="1" applyAlignment="1">
      <alignment horizontal="center" vertical="center" wrapText="1"/>
    </xf>
    <xf numFmtId="0" fontId="7" fillId="9" borderId="4" xfId="7" applyFont="1" applyBorder="1" applyAlignment="1">
      <alignment horizontal="center" vertical="center" wrapText="1"/>
    </xf>
    <xf numFmtId="0" fontId="7" fillId="9" borderId="0" xfId="7" applyFont="1" applyBorder="1" applyAlignment="1">
      <alignment horizontal="center" vertical="center" wrapText="1"/>
    </xf>
    <xf numFmtId="0" fontId="7" fillId="9" borderId="5" xfId="7" applyFont="1" applyBorder="1" applyAlignment="1">
      <alignment horizontal="center" vertical="center" wrapText="1"/>
    </xf>
    <xf numFmtId="0" fontId="7" fillId="9" borderId="6" xfId="7" applyFont="1" applyBorder="1" applyAlignment="1">
      <alignment horizontal="center" vertical="center" wrapText="1"/>
    </xf>
    <xf numFmtId="0" fontId="7" fillId="9" borderId="32" xfId="7" applyFont="1" applyBorder="1" applyAlignment="1">
      <alignment horizontal="center" vertical="center" wrapText="1"/>
    </xf>
    <xf numFmtId="0" fontId="7" fillId="9" borderId="7" xfId="7" applyFont="1" applyBorder="1" applyAlignment="1">
      <alignment horizontal="center" vertical="center" wrapText="1"/>
    </xf>
    <xf numFmtId="0" fontId="7" fillId="9" borderId="2" xfId="7" applyFont="1" applyBorder="1" applyAlignment="1">
      <alignment horizontal="center" vertical="center"/>
    </xf>
    <xf numFmtId="0" fontId="7" fillId="9" borderId="10" xfId="7" applyFont="1" applyBorder="1" applyAlignment="1">
      <alignment horizontal="center" vertical="center"/>
    </xf>
    <xf numFmtId="0" fontId="7" fillId="9" borderId="3" xfId="7" applyFont="1" applyBorder="1" applyAlignment="1">
      <alignment horizontal="center" vertical="center"/>
    </xf>
    <xf numFmtId="0" fontId="7" fillId="9" borderId="6" xfId="7" applyFont="1" applyBorder="1" applyAlignment="1">
      <alignment horizontal="center" vertical="center"/>
    </xf>
    <xf numFmtId="0" fontId="7" fillId="9" borderId="32" xfId="7" applyFont="1" applyBorder="1" applyAlignment="1">
      <alignment horizontal="center" vertical="center"/>
    </xf>
    <xf numFmtId="0" fontId="7" fillId="9" borderId="7" xfId="7" applyFont="1" applyBorder="1" applyAlignment="1">
      <alignment horizontal="center" vertical="center"/>
    </xf>
    <xf numFmtId="0" fontId="5" fillId="2" borderId="0" xfId="1" applyFont="1" applyAlignment="1">
      <alignment horizontal="center" vertical="top" wrapText="1"/>
    </xf>
    <xf numFmtId="0" fontId="2" fillId="2" borderId="0" xfId="1" applyAlignment="1">
      <alignment horizontal="center" vertical="top" wrapText="1"/>
    </xf>
    <xf numFmtId="0" fontId="0" fillId="9" borderId="32" xfId="7" applyFont="1" applyBorder="1" applyAlignment="1">
      <alignment horizontal="center" vertical="center" wrapText="1"/>
    </xf>
    <xf numFmtId="0" fontId="5" fillId="2" borderId="0" xfId="1" applyFont="1" applyAlignment="1">
      <alignment horizontal="left"/>
    </xf>
    <xf numFmtId="0" fontId="5" fillId="2" borderId="0" xfId="1" applyFont="1" applyAlignment="1">
      <alignment horizontal="left" vertical="center" wrapText="1"/>
    </xf>
    <xf numFmtId="0" fontId="7" fillId="9" borderId="11" xfId="7" applyFont="1" applyBorder="1" applyAlignment="1">
      <alignment horizontal="center" vertical="center"/>
    </xf>
    <xf numFmtId="0" fontId="7" fillId="9" borderId="13" xfId="7" applyFont="1" applyBorder="1" applyAlignment="1">
      <alignment horizontal="center" vertical="center"/>
    </xf>
    <xf numFmtId="0" fontId="7" fillId="9" borderId="12" xfId="7" applyFont="1" applyBorder="1" applyAlignment="1">
      <alignment horizontal="center" vertical="center"/>
    </xf>
    <xf numFmtId="0" fontId="7" fillId="9" borderId="14" xfId="7" applyFont="1" applyBorder="1" applyAlignment="1">
      <alignment horizontal="center" vertical="center"/>
    </xf>
    <xf numFmtId="0" fontId="7" fillId="9" borderId="15" xfId="7" applyFont="1" applyBorder="1" applyAlignment="1">
      <alignment horizontal="center" vertical="center"/>
    </xf>
    <xf numFmtId="0" fontId="7" fillId="9" borderId="16" xfId="7" applyFont="1" applyBorder="1" applyAlignment="1">
      <alignment horizontal="center" vertical="center"/>
    </xf>
    <xf numFmtId="0" fontId="7" fillId="9" borderId="17" xfId="7" applyFont="1" applyBorder="1" applyAlignment="1">
      <alignment horizontal="center" vertical="center"/>
    </xf>
    <xf numFmtId="0" fontId="2" fillId="2" borderId="25" xfId="1" applyBorder="1" applyAlignment="1">
      <alignment horizontal="center" vertical="center"/>
    </xf>
    <xf numFmtId="0" fontId="2" fillId="2" borderId="26" xfId="1" applyBorder="1" applyAlignment="1">
      <alignment horizontal="center" vertical="center"/>
    </xf>
    <xf numFmtId="0" fontId="2" fillId="2" borderId="27" xfId="1" applyBorder="1" applyAlignment="1">
      <alignment horizontal="center" vertical="center"/>
    </xf>
    <xf numFmtId="0" fontId="2" fillId="2" borderId="18" xfId="1" applyBorder="1" applyAlignment="1">
      <alignment horizontal="center" vertical="top" wrapText="1"/>
    </xf>
    <xf numFmtId="0" fontId="2" fillId="2" borderId="19" xfId="1" applyBorder="1" applyAlignment="1">
      <alignment horizontal="center" vertical="top" wrapText="1"/>
    </xf>
    <xf numFmtId="0" fontId="2" fillId="2" borderId="20" xfId="1" applyBorder="1" applyAlignment="1">
      <alignment horizontal="center" vertical="top" wrapText="1"/>
    </xf>
    <xf numFmtId="0" fontId="2" fillId="2" borderId="28" xfId="1" applyBorder="1" applyAlignment="1">
      <alignment horizontal="center" vertical="center"/>
    </xf>
    <xf numFmtId="0" fontId="2" fillId="2" borderId="2" xfId="1" applyBorder="1" applyAlignment="1">
      <alignment horizontal="left" vertical="top"/>
    </xf>
    <xf numFmtId="0" fontId="2" fillId="2" borderId="10" xfId="1" applyBorder="1" applyAlignment="1">
      <alignment horizontal="left" vertical="top"/>
    </xf>
    <xf numFmtId="0" fontId="2" fillId="2" borderId="3" xfId="1" applyBorder="1" applyAlignment="1">
      <alignment horizontal="left" vertical="top"/>
    </xf>
    <xf numFmtId="0" fontId="2" fillId="2" borderId="4" xfId="1" applyBorder="1" applyAlignment="1">
      <alignment horizontal="left" vertical="top"/>
    </xf>
    <xf numFmtId="0" fontId="2" fillId="2" borderId="0" xfId="1" applyAlignment="1">
      <alignment horizontal="left" vertical="top"/>
    </xf>
    <xf numFmtId="0" fontId="2" fillId="2" borderId="5" xfId="1" applyBorder="1" applyAlignment="1">
      <alignment horizontal="left" vertical="top"/>
    </xf>
    <xf numFmtId="0" fontId="2" fillId="2" borderId="6" xfId="1" applyBorder="1" applyAlignment="1">
      <alignment horizontal="left" vertical="top"/>
    </xf>
    <xf numFmtId="0" fontId="2" fillId="2" borderId="32" xfId="1" applyBorder="1" applyAlignment="1">
      <alignment horizontal="left" vertical="top"/>
    </xf>
    <xf numFmtId="0" fontId="2" fillId="2" borderId="7" xfId="1" applyBorder="1" applyAlignment="1">
      <alignment horizontal="left" vertical="top"/>
    </xf>
    <xf numFmtId="0" fontId="5" fillId="2" borderId="2" xfId="1" applyFont="1" applyBorder="1" applyAlignment="1">
      <alignment horizontal="left" vertical="center"/>
    </xf>
    <xf numFmtId="0" fontId="5" fillId="2" borderId="10" xfId="1" applyFont="1" applyBorder="1" applyAlignment="1">
      <alignment horizontal="left" vertical="center"/>
    </xf>
    <xf numFmtId="0" fontId="5" fillId="2" borderId="3" xfId="1" applyFont="1" applyBorder="1" applyAlignment="1">
      <alignment horizontal="left" vertical="center"/>
    </xf>
    <xf numFmtId="0" fontId="0" fillId="0" borderId="6" xfId="0" applyBorder="1" applyAlignment="1">
      <alignment horizontal="left" vertical="center"/>
    </xf>
    <xf numFmtId="0" fontId="0" fillId="0" borderId="32" xfId="0" applyBorder="1" applyAlignment="1">
      <alignment horizontal="left" vertical="center"/>
    </xf>
    <xf numFmtId="0" fontId="0" fillId="0" borderId="7" xfId="0" applyBorder="1" applyAlignment="1">
      <alignment horizontal="left" vertical="center"/>
    </xf>
    <xf numFmtId="0" fontId="0" fillId="0" borderId="4" xfId="0" applyBorder="1" applyAlignment="1">
      <alignment horizontal="center" vertical="center"/>
    </xf>
    <xf numFmtId="0" fontId="5" fillId="2" borderId="25" xfId="1" applyFont="1" applyBorder="1" applyAlignment="1">
      <alignment horizontal="left" vertical="center"/>
    </xf>
    <xf numFmtId="0" fontId="5" fillId="2" borderId="27" xfId="1" applyFont="1" applyBorder="1" applyAlignment="1">
      <alignment horizontal="left" vertical="center"/>
    </xf>
    <xf numFmtId="0" fontId="0" fillId="0" borderId="0" xfId="0" applyAlignment="1">
      <alignment horizontal="center" vertical="center"/>
    </xf>
    <xf numFmtId="0" fontId="7" fillId="9" borderId="25" xfId="7" applyFont="1" applyBorder="1" applyAlignment="1">
      <alignment horizontal="center" vertical="center"/>
    </xf>
    <xf numFmtId="0" fontId="7" fillId="9" borderId="26" xfId="7" applyFont="1" applyBorder="1" applyAlignment="1">
      <alignment horizontal="center" vertical="center"/>
    </xf>
    <xf numFmtId="0" fontId="7" fillId="9" borderId="27" xfId="7" applyFont="1" applyBorder="1" applyAlignment="1">
      <alignment horizontal="center" vertical="center"/>
    </xf>
    <xf numFmtId="0" fontId="2" fillId="2" borderId="2" xfId="1" applyBorder="1" applyAlignment="1">
      <alignment horizontal="left" vertical="center"/>
    </xf>
    <xf numFmtId="0" fontId="2" fillId="2" borderId="10" xfId="1" applyBorder="1" applyAlignment="1">
      <alignment horizontal="left" vertical="center"/>
    </xf>
    <xf numFmtId="0" fontId="2" fillId="2" borderId="3" xfId="1" applyBorder="1" applyAlignment="1">
      <alignment horizontal="left" vertical="center"/>
    </xf>
    <xf numFmtId="0" fontId="2" fillId="2" borderId="4" xfId="1" applyBorder="1" applyAlignment="1">
      <alignment horizontal="left" vertical="center"/>
    </xf>
    <xf numFmtId="0" fontId="2" fillId="2" borderId="0" xfId="1" applyAlignment="1">
      <alignment horizontal="left" vertical="center"/>
    </xf>
    <xf numFmtId="0" fontId="2" fillId="2" borderId="5" xfId="1" applyBorder="1" applyAlignment="1">
      <alignment horizontal="left" vertical="center"/>
    </xf>
    <xf numFmtId="0" fontId="2" fillId="2" borderId="6" xfId="1" applyBorder="1" applyAlignment="1">
      <alignment horizontal="left" vertical="center"/>
    </xf>
    <xf numFmtId="0" fontId="2" fillId="2" borderId="32" xfId="1" applyBorder="1" applyAlignment="1">
      <alignment horizontal="left" vertical="center"/>
    </xf>
    <xf numFmtId="0" fontId="2" fillId="2" borderId="7" xfId="1" applyBorder="1" applyAlignment="1">
      <alignment horizontal="left" vertical="center"/>
    </xf>
    <xf numFmtId="0" fontId="7" fillId="9" borderId="13" xfId="7" applyFont="1" applyBorder="1" applyAlignment="1">
      <alignment horizontal="center" vertical="center" wrapText="1"/>
    </xf>
    <xf numFmtId="0" fontId="7" fillId="9" borderId="12" xfId="7" applyFont="1" applyBorder="1" applyAlignment="1">
      <alignment horizontal="center" vertical="center" wrapText="1"/>
    </xf>
    <xf numFmtId="0" fontId="7" fillId="9" borderId="14" xfId="7" applyFont="1" applyBorder="1" applyAlignment="1">
      <alignment horizontal="center" vertical="center" wrapText="1"/>
    </xf>
    <xf numFmtId="0" fontId="7" fillId="9" borderId="33" xfId="7" applyFont="1" applyBorder="1" applyAlignment="1">
      <alignment horizontal="center" vertical="center" wrapText="1"/>
    </xf>
    <xf numFmtId="0" fontId="7" fillId="9" borderId="34" xfId="7" applyFont="1" applyBorder="1" applyAlignment="1">
      <alignment horizontal="center" vertical="center" wrapText="1"/>
    </xf>
    <xf numFmtId="0" fontId="7" fillId="9" borderId="15" xfId="7" applyFont="1" applyBorder="1" applyAlignment="1">
      <alignment horizontal="center" vertical="center" wrapText="1"/>
    </xf>
    <xf numFmtId="0" fontId="7" fillId="9" borderId="16" xfId="7" applyFont="1" applyBorder="1" applyAlignment="1">
      <alignment horizontal="center" vertical="center" wrapText="1"/>
    </xf>
    <xf numFmtId="0" fontId="7" fillId="9" borderId="17" xfId="7" applyFont="1" applyBorder="1" applyAlignment="1">
      <alignment horizontal="center" vertical="center" wrapText="1"/>
    </xf>
    <xf numFmtId="0" fontId="0" fillId="0" borderId="19" xfId="0" applyBorder="1" applyAlignment="1">
      <alignment horizontal="center" vertical="center"/>
    </xf>
    <xf numFmtId="0" fontId="2" fillId="2" borderId="18" xfId="1" applyBorder="1" applyAlignment="1">
      <alignment horizontal="center" vertical="center" wrapText="1"/>
    </xf>
    <xf numFmtId="0" fontId="2" fillId="2" borderId="20" xfId="1" applyBorder="1" applyAlignment="1">
      <alignment horizontal="center" vertical="center" wrapText="1"/>
    </xf>
    <xf numFmtId="0" fontId="7" fillId="9" borderId="25" xfId="7" applyFont="1" applyBorder="1" applyAlignment="1">
      <alignment horizontal="center" vertical="center" wrapText="1"/>
    </xf>
    <xf numFmtId="0" fontId="7" fillId="9" borderId="26" xfId="7" applyFont="1" applyBorder="1" applyAlignment="1">
      <alignment horizontal="center" vertical="center" wrapText="1"/>
    </xf>
    <xf numFmtId="0" fontId="7" fillId="9" borderId="27" xfId="7" applyFont="1" applyBorder="1" applyAlignment="1">
      <alignment horizontal="center" vertical="center" wrapText="1"/>
    </xf>
    <xf numFmtId="0" fontId="2" fillId="2" borderId="2" xfId="1" applyBorder="1" applyAlignment="1">
      <alignment horizontal="center" vertical="top" wrapText="1"/>
    </xf>
    <xf numFmtId="0" fontId="2" fillId="2" borderId="10" xfId="1" applyBorder="1" applyAlignment="1">
      <alignment horizontal="center" vertical="top" wrapText="1"/>
    </xf>
    <xf numFmtId="0" fontId="2" fillId="2" borderId="3" xfId="1" applyBorder="1" applyAlignment="1">
      <alignment horizontal="center" vertical="top" wrapText="1"/>
    </xf>
    <xf numFmtId="0" fontId="2" fillId="2" borderId="4" xfId="1" applyBorder="1" applyAlignment="1">
      <alignment horizontal="center" vertical="top" wrapText="1"/>
    </xf>
    <xf numFmtId="0" fontId="2" fillId="2" borderId="5" xfId="1" applyBorder="1" applyAlignment="1">
      <alignment horizontal="center" vertical="top" wrapText="1"/>
    </xf>
    <xf numFmtId="0" fontId="2" fillId="2" borderId="6" xfId="1" applyBorder="1" applyAlignment="1">
      <alignment horizontal="center" vertical="top" wrapText="1"/>
    </xf>
    <xf numFmtId="0" fontId="2" fillId="2" borderId="32" xfId="1" applyBorder="1" applyAlignment="1">
      <alignment horizontal="center" vertical="top" wrapText="1"/>
    </xf>
    <xf numFmtId="0" fontId="2" fillId="2" borderId="7" xfId="1" applyBorder="1" applyAlignment="1">
      <alignment horizontal="center" vertical="top" wrapText="1"/>
    </xf>
    <xf numFmtId="0" fontId="2" fillId="2" borderId="2" xfId="1" applyBorder="1" applyAlignment="1">
      <alignment horizontal="center" vertical="center" wrapText="1"/>
    </xf>
    <xf numFmtId="0" fontId="2" fillId="2" borderId="10" xfId="1" applyBorder="1" applyAlignment="1">
      <alignment horizontal="center" vertical="center" wrapText="1"/>
    </xf>
    <xf numFmtId="0" fontId="2" fillId="2" borderId="3" xfId="1" applyBorder="1" applyAlignment="1">
      <alignment horizontal="center" vertical="center" wrapText="1"/>
    </xf>
    <xf numFmtId="0" fontId="2" fillId="2" borderId="6" xfId="1" applyBorder="1" applyAlignment="1">
      <alignment horizontal="center" vertical="center" wrapText="1"/>
    </xf>
    <xf numFmtId="0" fontId="2" fillId="2" borderId="11" xfId="1" applyBorder="1" applyAlignment="1">
      <alignment horizontal="center" vertical="center" wrapText="1"/>
    </xf>
    <xf numFmtId="0" fontId="2" fillId="2" borderId="7" xfId="1" applyBorder="1" applyAlignment="1">
      <alignment horizontal="center" vertical="center" wrapText="1"/>
    </xf>
    <xf numFmtId="14" fontId="10" fillId="14" borderId="28" xfId="11" applyNumberFormat="1" applyAlignment="1">
      <alignment horizontal="center" vertical="center" wrapText="1"/>
    </xf>
    <xf numFmtId="0" fontId="10" fillId="14" borderId="28" xfId="11" applyAlignment="1">
      <alignment horizontal="center" vertical="center" wrapText="1"/>
    </xf>
    <xf numFmtId="0" fontId="2" fillId="9" borderId="2" xfId="7" applyFont="1" applyBorder="1" applyAlignment="1">
      <alignment horizontal="center" vertical="center" wrapText="1"/>
    </xf>
    <xf numFmtId="0" fontId="2" fillId="9" borderId="10" xfId="7" applyFont="1" applyBorder="1" applyAlignment="1">
      <alignment horizontal="center" vertical="center" wrapText="1"/>
    </xf>
    <xf numFmtId="0" fontId="2" fillId="9" borderId="3" xfId="7" applyFont="1" applyBorder="1" applyAlignment="1">
      <alignment horizontal="center" vertical="center" wrapText="1"/>
    </xf>
    <xf numFmtId="0" fontId="2" fillId="9" borderId="6" xfId="7" applyFont="1" applyBorder="1" applyAlignment="1">
      <alignment horizontal="center" vertical="center" wrapText="1"/>
    </xf>
    <xf numFmtId="0" fontId="2" fillId="9" borderId="32" xfId="7" applyFont="1" applyBorder="1" applyAlignment="1">
      <alignment horizontal="center" vertical="center" wrapText="1"/>
    </xf>
    <xf numFmtId="0" fontId="2" fillId="9" borderId="7" xfId="7" applyFont="1" applyBorder="1" applyAlignment="1">
      <alignment horizontal="center" vertical="center" wrapText="1"/>
    </xf>
    <xf numFmtId="0" fontId="2" fillId="2" borderId="25" xfId="1" applyBorder="1" applyAlignment="1">
      <alignment horizontal="center" vertical="center" wrapText="1"/>
    </xf>
    <xf numFmtId="0" fontId="2" fillId="2" borderId="26" xfId="1" applyBorder="1" applyAlignment="1">
      <alignment horizontal="center" vertical="center" wrapText="1"/>
    </xf>
    <xf numFmtId="0" fontId="2" fillId="2" borderId="27" xfId="1" applyBorder="1" applyAlignment="1">
      <alignment horizontal="center" vertical="center" wrapText="1"/>
    </xf>
    <xf numFmtId="0" fontId="2" fillId="2" borderId="2" xfId="1" applyBorder="1" applyAlignment="1">
      <alignment horizontal="left" vertical="center" wrapText="1"/>
    </xf>
    <xf numFmtId="0" fontId="2" fillId="2" borderId="10" xfId="1" applyBorder="1" applyAlignment="1">
      <alignment horizontal="left" vertical="center" wrapText="1"/>
    </xf>
    <xf numFmtId="0" fontId="2" fillId="2" borderId="3" xfId="1" applyBorder="1" applyAlignment="1">
      <alignment horizontal="left" vertical="center" wrapText="1"/>
    </xf>
    <xf numFmtId="0" fontId="2" fillId="2" borderId="6" xfId="1" applyBorder="1" applyAlignment="1">
      <alignment horizontal="left" vertical="center" wrapText="1"/>
    </xf>
    <xf numFmtId="0" fontId="2" fillId="2" borderId="32" xfId="1" applyBorder="1" applyAlignment="1">
      <alignment horizontal="left" vertical="center" wrapText="1"/>
    </xf>
    <xf numFmtId="0" fontId="2" fillId="2" borderId="7" xfId="1" applyBorder="1" applyAlignment="1">
      <alignment horizontal="left" vertical="center" wrapText="1"/>
    </xf>
  </cellXfs>
  <cellStyles count="15">
    <cellStyle name="20% - Accent1" xfId="2" builtinId="30"/>
    <cellStyle name="20% - Accent3" xfId="5" builtinId="38"/>
    <cellStyle name="20% - Accent5" xfId="4" builtinId="46"/>
    <cellStyle name="40% - Accent1" xfId="3" builtinId="31"/>
    <cellStyle name="40% - Accent3" xfId="12" builtinId="39"/>
    <cellStyle name="60% - Accent1" xfId="8" builtinId="32"/>
    <cellStyle name="60% - Accent3" xfId="13" builtinId="40"/>
    <cellStyle name="Good" xfId="9" builtinId="26"/>
    <cellStyle name="Heading 3" xfId="10" builtinId="18"/>
    <cellStyle name="Hyperlink" xfId="14" builtinId="8"/>
    <cellStyle name="Input" xfId="11" builtinId="20"/>
    <cellStyle name="Neutral" xfId="1" builtinId="28"/>
    <cellStyle name="Normal" xfId="0" builtinId="0"/>
    <cellStyle name="Note" xfId="7" builtinId="10"/>
    <cellStyle name="Total" xfId="6" builtinId="2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9453f461fe06474c948f1d27d96db3ea">
      <tp>
        <v>-1</v>
        <stp/>
        <stp>746da098-fe91-4904-80d0-cbf601ba14b3</stp>
        <tr r="D25" s="1"/>
      </tp>
      <tp>
        <v>-1</v>
        <stp/>
        <stp>ef6c7660-a2ea-4051-ab6f-dcbe8440d434</stp>
        <tr r="D16" s="1"/>
      </tp>
      <tp>
        <v>-1</v>
        <stp/>
        <stp>d66c742b-083e-455e-8461-75fc64ce76b4</stp>
        <tr r="D21" s="1"/>
      </tp>
    </main>
    <main first="rtdsrv.9453f461fe06474c948f1d27d96db3ea">
      <tp>
        <v>-1</v>
        <stp/>
        <stp>59540c48-fa73-4c57-a977-95003fad89b2</stp>
        <tr r="D33" s="1"/>
      </tp>
      <tp>
        <v>-1</v>
        <stp/>
        <stp>c53048ea-d5ad-4fd4-986c-e369265ed889</stp>
        <tr r="D26" s="1"/>
      </tp>
    </main>
    <main first="rtdsrv.9453f461fe06474c948f1d27d96db3ea">
      <tp>
        <v>-1</v>
        <stp/>
        <stp>2d6a1912-6abe-454f-99ae-d96a6595a0ef</stp>
        <tr r="D14" s="1"/>
      </tp>
    </main>
    <main first="rtdsrv.9453f461fe06474c948f1d27d96db3ea">
      <tp>
        <v>-1</v>
        <stp/>
        <stp>6a05cc26-2181-43e6-9511-da6da6d3f28e</stp>
        <tr r="D32" s="1"/>
      </tp>
    </main>
    <main first="rtdsrv.9453f461fe06474c948f1d27d96db3ea">
      <tp>
        <v>-1</v>
        <stp/>
        <stp>8d9d878b-ac8f-4ef6-b5cb-c3a38cf35dbe</stp>
        <tr r="D22" s="1"/>
      </tp>
      <tp>
        <v>-1</v>
        <stp/>
        <stp>cedaab17-a7da-4426-8ef5-cbc550ea6739</stp>
        <tr r="D23" s="1"/>
      </tp>
      <tp>
        <v>-1</v>
        <stp/>
        <stp>442b649a-aa5a-4d6c-ac93-f13f0b89d549</stp>
        <tr r="D17" s="1"/>
      </tp>
      <tp>
        <v>-1</v>
        <stp/>
        <stp>be6f4312-a3d4-4f22-9d02-9e22864ad802</stp>
        <tr r="D20" s="1"/>
      </tp>
      <tp>
        <v>-1</v>
        <stp/>
        <stp>75b7dd7f-0a52-4c5c-963a-a4742cfea910</stp>
        <tr r="D27" s="1"/>
      </tp>
      <tp>
        <v>-1</v>
        <stp/>
        <stp>0ef31dca-152f-4ac8-aee0-b32f57611129</stp>
        <tr r="D30" s="1"/>
      </tp>
      <tp>
        <v>-1</v>
        <stp/>
        <stp>6ee90959-6fe2-4a74-8257-5770214427e2</stp>
        <tr r="D34" s="1"/>
      </tp>
      <tp>
        <v>-1</v>
        <stp/>
        <stp>a9ab7314-a6e9-4662-b827-bcb464fd1ff9</stp>
        <tr r="D18" s="1"/>
      </tp>
      <tp>
        <v>-1</v>
        <stp/>
        <stp>731e6315-8566-4f5b-9848-13c202ff0400</stp>
        <tr r="D28" s="1"/>
      </tp>
    </main>
    <main first="rtdsrv.9453f461fe06474c948f1d27d96db3ea">
      <tp>
        <v>-1</v>
        <stp/>
        <stp>91dc4071-a7b5-4b7d-85b7-52099b128397</stp>
        <tr r="D35" s="1"/>
      </tp>
    </main>
    <main first="rtdsrv.9453f461fe06474c948f1d27d96db3ea">
      <tp>
        <v>-1</v>
        <stp/>
        <stp>67501554-4fc1-42c7-a0da-1e4ab039268f</stp>
        <tr r="D29" s="1"/>
      </tp>
    </main>
    <main first="rtdsrv.9453f461fe06474c948f1d27d96db3ea">
      <tp>
        <v>-1</v>
        <stp/>
        <stp>8daeba9d-f1e2-4142-9036-0ac2f4bde67d</stp>
        <tr r="D19" s="1"/>
      </tp>
      <tp>
        <v>-1</v>
        <stp/>
        <stp>47a8c0ae-f89b-4980-be2b-822816796fb2</stp>
        <tr r="D31" s="1"/>
      </tp>
    </main>
    <main first="rtdsrv.9453f461fe06474c948f1d27d96db3ea">
      <tp>
        <v>-1</v>
        <stp/>
        <stp>80ddbe44-b5e7-4cb4-997c-36fbe8912407</stp>
        <tr r="D15" s="1"/>
      </tp>
    </main>
    <main first="rtdsrv.9453f461fe06474c948f1d27d96db3ea">
      <tp>
        <v>-1</v>
        <stp/>
        <stp>db71d8e2-f3b5-466b-aa69-b55c5f9f02cc</stp>
        <tr r="D24" s="1"/>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volatileDependencies" Target="volatileDependenci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1</xdr:col>
      <xdr:colOff>11906</xdr:colOff>
      <xdr:row>1</xdr:row>
      <xdr:rowOff>42863</xdr:rowOff>
    </xdr:from>
    <xdr:to>
      <xdr:col>4</xdr:col>
      <xdr:colOff>600075</xdr:colOff>
      <xdr:row>8</xdr:row>
      <xdr:rowOff>157163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9125" y="233363"/>
          <a:ext cx="4874419" cy="1447800"/>
        </a:xfrm>
        <a:prstGeom prst="rect">
          <a:avLst/>
        </a:prstGeom>
        <a:ln w="3175"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200025</xdr:colOff>
          <xdr:row>39</xdr:row>
          <xdr:rowOff>19050</xdr:rowOff>
        </xdr:from>
        <xdr:to>
          <xdr:col>9</xdr:col>
          <xdr:colOff>504825</xdr:colOff>
          <xdr:row>40</xdr:row>
          <xdr:rowOff>171450</xdr:rowOff>
        </xdr:to>
        <xdr:sp macro="" textlink="">
          <xdr:nvSpPr>
            <xdr:cNvPr id="2049" name="Button 1" descr="Create Securities"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Custom Securities</a:t>
              </a:r>
            </a:p>
            <a:p>
              <a:pPr algn="ctr" rtl="0">
                <a:defRPr sz="1000"/>
              </a:pPr>
              <a:endParaRPr lang="en-GB" sz="1100" b="0" i="0" u="none" strike="noStrike" baseline="0">
                <a:solidFill>
                  <a:srgbClr val="000000"/>
                </a:solidFill>
                <a:latin typeface="Calibri"/>
                <a:cs typeface="Calibri"/>
              </a:endParaRPr>
            </a:p>
          </xdr:txBody>
        </xdr:sp>
        <xdr:clientData fPrintsWithSheet="0"/>
      </xdr:twoCellAnchor>
    </mc:Choice>
    <mc:Fallback/>
  </mc:AlternateContent>
  <xdr:twoCellAnchor editAs="oneCell">
    <xdr:from>
      <xdr:col>2</xdr:col>
      <xdr:colOff>133350</xdr:colOff>
      <xdr:row>1</xdr:row>
      <xdr:rowOff>19050</xdr:rowOff>
    </xdr:from>
    <xdr:to>
      <xdr:col>3</xdr:col>
      <xdr:colOff>1200149</xdr:colOff>
      <xdr:row>5</xdr:row>
      <xdr:rowOff>9227</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57425" y="209550"/>
          <a:ext cx="2533650" cy="7521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371475</xdr:colOff>
          <xdr:row>22</xdr:row>
          <xdr:rowOff>9525</xdr:rowOff>
        </xdr:from>
        <xdr:to>
          <xdr:col>16</xdr:col>
          <xdr:colOff>180975</xdr:colOff>
          <xdr:row>23</xdr:row>
          <xdr:rowOff>57150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Portfolio</a:t>
              </a:r>
            </a:p>
          </xdr:txBody>
        </xdr:sp>
        <xdr:clientData fPrintsWithSheet="0"/>
      </xdr:twoCellAnchor>
    </mc:Choice>
    <mc:Fallback/>
  </mc:AlternateContent>
  <xdr:twoCellAnchor editAs="oneCell">
    <xdr:from>
      <xdr:col>2</xdr:col>
      <xdr:colOff>23813</xdr:colOff>
      <xdr:row>1</xdr:row>
      <xdr:rowOff>47625</xdr:rowOff>
    </xdr:from>
    <xdr:to>
      <xdr:col>3</xdr:col>
      <xdr:colOff>1569245</xdr:colOff>
      <xdr:row>5</xdr:row>
      <xdr:rowOff>37802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7719" y="2714625"/>
          <a:ext cx="2533650" cy="75217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76200</xdr:colOff>
          <xdr:row>26</xdr:row>
          <xdr:rowOff>123825</xdr:rowOff>
        </xdr:from>
        <xdr:to>
          <xdr:col>17</xdr:col>
          <xdr:colOff>676275</xdr:colOff>
          <xdr:row>28</xdr:row>
          <xdr:rowOff>95250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properties</a:t>
              </a:r>
            </a:p>
          </xdr:txBody>
        </xdr:sp>
        <xdr:clientData fPrintsWithSheet="0"/>
      </xdr:twoCellAnchor>
    </mc:Choice>
    <mc:Fallback/>
  </mc:AlternateContent>
  <xdr:twoCellAnchor editAs="oneCell">
    <xdr:from>
      <xdr:col>2</xdr:col>
      <xdr:colOff>171451</xdr:colOff>
      <xdr:row>2</xdr:row>
      <xdr:rowOff>104775</xdr:rowOff>
    </xdr:from>
    <xdr:to>
      <xdr:col>2</xdr:col>
      <xdr:colOff>2705101</xdr:colOff>
      <xdr:row>6</xdr:row>
      <xdr:rowOff>94952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0651" y="485775"/>
          <a:ext cx="2533650" cy="75217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285750</xdr:colOff>
          <xdr:row>29</xdr:row>
          <xdr:rowOff>28575</xdr:rowOff>
        </xdr:from>
        <xdr:to>
          <xdr:col>12</xdr:col>
          <xdr:colOff>342900</xdr:colOff>
          <xdr:row>30</xdr:row>
          <xdr:rowOff>104775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Apply</a:t>
              </a:r>
            </a:p>
          </xdr:txBody>
        </xdr:sp>
        <xdr:clientData fPrintsWithSheet="0"/>
      </xdr:twoCellAnchor>
    </mc:Choice>
    <mc:Fallback/>
  </mc:AlternateContent>
  <xdr:twoCellAnchor editAs="oneCell">
    <xdr:from>
      <xdr:col>2</xdr:col>
      <xdr:colOff>76200</xdr:colOff>
      <xdr:row>2</xdr:row>
      <xdr:rowOff>114300</xdr:rowOff>
    </xdr:from>
    <xdr:to>
      <xdr:col>3</xdr:col>
      <xdr:colOff>495300</xdr:colOff>
      <xdr:row>6</xdr:row>
      <xdr:rowOff>104477</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5400" y="495300"/>
          <a:ext cx="2533650" cy="7521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638175</xdr:colOff>
          <xdr:row>26</xdr:row>
          <xdr:rowOff>85725</xdr:rowOff>
        </xdr:from>
        <xdr:to>
          <xdr:col>10</xdr:col>
          <xdr:colOff>1228725</xdr:colOff>
          <xdr:row>27</xdr:row>
          <xdr:rowOff>104775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171450</xdr:colOff>
      <xdr:row>1</xdr:row>
      <xdr:rowOff>76200</xdr:rowOff>
    </xdr:from>
    <xdr:to>
      <xdr:col>3</xdr:col>
      <xdr:colOff>847725</xdr:colOff>
      <xdr:row>5</xdr:row>
      <xdr:rowOff>66377</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050" y="266700"/>
          <a:ext cx="2533650" cy="7521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1143000</xdr:colOff>
          <xdr:row>5</xdr:row>
          <xdr:rowOff>171450</xdr:rowOff>
        </xdr:from>
        <xdr:to>
          <xdr:col>13</xdr:col>
          <xdr:colOff>47625</xdr:colOff>
          <xdr:row>7</xdr:row>
          <xdr:rowOff>114300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Trades</a:t>
              </a:r>
            </a:p>
          </xdr:txBody>
        </xdr:sp>
        <xdr:clientData fPrintsWithSheet="0"/>
      </xdr:twoCellAnchor>
    </mc:Choice>
    <mc:Fallback/>
  </mc:AlternateContent>
  <xdr:twoCellAnchor editAs="oneCell">
    <xdr:from>
      <xdr:col>2</xdr:col>
      <xdr:colOff>25775</xdr:colOff>
      <xdr:row>0</xdr:row>
      <xdr:rowOff>183217</xdr:rowOff>
    </xdr:from>
    <xdr:to>
      <xdr:col>3</xdr:col>
      <xdr:colOff>1480379</xdr:colOff>
      <xdr:row>4</xdr:row>
      <xdr:rowOff>173394</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6010" y="183217"/>
          <a:ext cx="2531969" cy="75217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2</xdr:col>
      <xdr:colOff>74839</xdr:colOff>
      <xdr:row>1</xdr:row>
      <xdr:rowOff>142875</xdr:rowOff>
    </xdr:from>
    <xdr:ext cx="2465534" cy="744098"/>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4039" y="333375"/>
          <a:ext cx="2465534" cy="744098"/>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9</xdr:col>
          <xdr:colOff>523875</xdr:colOff>
          <xdr:row>10</xdr:row>
          <xdr:rowOff>47625</xdr:rowOff>
        </xdr:from>
        <xdr:to>
          <xdr:col>12</xdr:col>
          <xdr:colOff>219075</xdr:colOff>
          <xdr:row>12</xdr:row>
          <xdr:rowOff>57150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A00-000001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Adjust these holdings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85725</xdr:colOff>
          <xdr:row>11</xdr:row>
          <xdr:rowOff>95250</xdr:rowOff>
        </xdr:from>
        <xdr:to>
          <xdr:col>5</xdr:col>
          <xdr:colOff>857250</xdr:colOff>
          <xdr:row>13</xdr:row>
          <xdr:rowOff>76200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B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326571</xdr:colOff>
      <xdr:row>1</xdr:row>
      <xdr:rowOff>118537</xdr:rowOff>
    </xdr:from>
    <xdr:to>
      <xdr:col>4</xdr:col>
      <xdr:colOff>689801</xdr:colOff>
      <xdr:row>5</xdr:row>
      <xdr:rowOff>100635</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51214" y="309037"/>
          <a:ext cx="2506355" cy="74409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200025</xdr:colOff>
          <xdr:row>12</xdr:row>
          <xdr:rowOff>76200</xdr:rowOff>
        </xdr:from>
        <xdr:to>
          <xdr:col>6</xdr:col>
          <xdr:colOff>990600</xdr:colOff>
          <xdr:row>13</xdr:row>
          <xdr:rowOff>152400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1</xdr:col>
      <xdr:colOff>217714</xdr:colOff>
      <xdr:row>1</xdr:row>
      <xdr:rowOff>64108</xdr:rowOff>
    </xdr:from>
    <xdr:to>
      <xdr:col>4</xdr:col>
      <xdr:colOff>237704</xdr:colOff>
      <xdr:row>5</xdr:row>
      <xdr:rowOff>46206</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6914" y="254608"/>
          <a:ext cx="2494109" cy="744098"/>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326571</xdr:colOff>
      <xdr:row>1</xdr:row>
      <xdr:rowOff>118537</xdr:rowOff>
    </xdr:from>
    <xdr:to>
      <xdr:col>3</xdr:col>
      <xdr:colOff>1077604</xdr:colOff>
      <xdr:row>5</xdr:row>
      <xdr:rowOff>100635</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0971" y="499537"/>
          <a:ext cx="2486965"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66675</xdr:colOff>
          <xdr:row>24</xdr:row>
          <xdr:rowOff>161925</xdr:rowOff>
        </xdr:from>
        <xdr:to>
          <xdr:col>9</xdr:col>
          <xdr:colOff>95250</xdr:colOff>
          <xdr:row>28</xdr:row>
          <xdr:rowOff>9525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D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Creates Analytics Stores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247650</xdr:colOff>
          <xdr:row>30</xdr:row>
          <xdr:rowOff>9525</xdr:rowOff>
        </xdr:from>
        <xdr:to>
          <xdr:col>11</xdr:col>
          <xdr:colOff>152400</xdr:colOff>
          <xdr:row>32</xdr:row>
          <xdr:rowOff>114300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Insert analytics</a:t>
              </a:r>
            </a:p>
          </xdr:txBody>
        </xdr:sp>
        <xdr:clientData fPrintsWithSheet="0"/>
      </xdr:twoCellAnchor>
    </mc:Choice>
    <mc:Fallback/>
  </mc:AlternateContent>
  <xdr:twoCellAnchor editAs="oneCell">
    <xdr:from>
      <xdr:col>2</xdr:col>
      <xdr:colOff>326571</xdr:colOff>
      <xdr:row>2</xdr:row>
      <xdr:rowOff>118537</xdr:rowOff>
    </xdr:from>
    <xdr:to>
      <xdr:col>4</xdr:col>
      <xdr:colOff>1906280</xdr:colOff>
      <xdr:row>6</xdr:row>
      <xdr:rowOff>100635</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45771" y="309037"/>
          <a:ext cx="2494109" cy="74409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247650</xdr:colOff>
          <xdr:row>28</xdr:row>
          <xdr:rowOff>9525</xdr:rowOff>
        </xdr:from>
        <xdr:to>
          <xdr:col>10</xdr:col>
          <xdr:colOff>152400</xdr:colOff>
          <xdr:row>30</xdr:row>
          <xdr:rowOff>114300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Insert FX Rates</a:t>
              </a:r>
            </a:p>
          </xdr:txBody>
        </xdr:sp>
        <xdr:clientData fPrintsWithSheet="0"/>
      </xdr:twoCellAnchor>
    </mc:Choice>
    <mc:Fallback/>
  </mc:AlternateContent>
  <xdr:twoCellAnchor editAs="oneCell">
    <xdr:from>
      <xdr:col>1</xdr:col>
      <xdr:colOff>326571</xdr:colOff>
      <xdr:row>0</xdr:row>
      <xdr:rowOff>118537</xdr:rowOff>
    </xdr:from>
    <xdr:to>
      <xdr:col>3</xdr:col>
      <xdr:colOff>1591955</xdr:colOff>
      <xdr:row>4</xdr:row>
      <xdr:rowOff>100635</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2396" y="499537"/>
          <a:ext cx="2484584" cy="744098"/>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247650</xdr:colOff>
          <xdr:row>28</xdr:row>
          <xdr:rowOff>9525</xdr:rowOff>
        </xdr:from>
        <xdr:to>
          <xdr:col>10</xdr:col>
          <xdr:colOff>152400</xdr:colOff>
          <xdr:row>30</xdr:row>
          <xdr:rowOff>114300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1000-000001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Upload accruals </a:t>
              </a:r>
            </a:p>
          </xdr:txBody>
        </xdr:sp>
        <xdr:clientData fPrintsWithSheet="0"/>
      </xdr:twoCellAnchor>
    </mc:Choice>
    <mc:Fallback/>
  </mc:AlternateContent>
  <xdr:twoCellAnchor editAs="oneCell">
    <xdr:from>
      <xdr:col>1</xdr:col>
      <xdr:colOff>326571</xdr:colOff>
      <xdr:row>0</xdr:row>
      <xdr:rowOff>118537</xdr:rowOff>
    </xdr:from>
    <xdr:to>
      <xdr:col>3</xdr:col>
      <xdr:colOff>1591955</xdr:colOff>
      <xdr:row>4</xdr:row>
      <xdr:rowOff>100635</xdr:rowOff>
    </xdr:to>
    <xdr:pic>
      <xdr:nvPicPr>
        <xdr:cNvPr id="3" name="Picture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1" y="118537"/>
          <a:ext cx="2484584" cy="744098"/>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326571</xdr:colOff>
      <xdr:row>0</xdr:row>
      <xdr:rowOff>118537</xdr:rowOff>
    </xdr:from>
    <xdr:to>
      <xdr:col>2</xdr:col>
      <xdr:colOff>489436</xdr:colOff>
      <xdr:row>4</xdr:row>
      <xdr:rowOff>100635</xdr:rowOff>
    </xdr:to>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55246" y="309037"/>
          <a:ext cx="2482202"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409575</xdr:colOff>
          <xdr:row>21</xdr:row>
          <xdr:rowOff>114300</xdr:rowOff>
        </xdr:from>
        <xdr:to>
          <xdr:col>2</xdr:col>
          <xdr:colOff>1600200</xdr:colOff>
          <xdr:row>23</xdr:row>
          <xdr:rowOff>95250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11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Get Aggregation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72978-25F1-43BA-B81A-36656DF392FF}">
  <sheetPr codeName="Sheet14"/>
  <dimension ref="B3:B9"/>
  <sheetViews>
    <sheetView workbookViewId="0">
      <selection activeCell="B7" sqref="B7"/>
    </sheetView>
  </sheetViews>
  <sheetFormatPr defaultRowHeight="15" x14ac:dyDescent="0.25"/>
  <cols>
    <col min="2" max="2" width="104" style="13" customWidth="1"/>
  </cols>
  <sheetData>
    <row r="3" spans="2:2" ht="21" x14ac:dyDescent="0.35">
      <c r="B3" s="116" t="s">
        <v>85</v>
      </c>
    </row>
    <row r="4" spans="2:2" ht="21" x14ac:dyDescent="0.35">
      <c r="B4" s="117"/>
    </row>
    <row r="5" spans="2:2" ht="126" x14ac:dyDescent="0.35">
      <c r="B5" s="117" t="s">
        <v>86</v>
      </c>
    </row>
    <row r="6" spans="2:2" ht="21" x14ac:dyDescent="0.35">
      <c r="B6" s="117"/>
    </row>
    <row r="7" spans="2:2" ht="42" x14ac:dyDescent="0.35">
      <c r="B7" s="117" t="s">
        <v>87</v>
      </c>
    </row>
    <row r="8" spans="2:2" ht="21" x14ac:dyDescent="0.35">
      <c r="B8" s="117"/>
    </row>
    <row r="9" spans="2:2" ht="168" x14ac:dyDescent="0.35">
      <c r="B9" s="117" t="s">
        <v>88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1:O40"/>
  <sheetViews>
    <sheetView zoomScale="80" zoomScaleNormal="80" workbookViewId="0">
      <selection activeCell="G40" sqref="G40"/>
    </sheetView>
  </sheetViews>
  <sheetFormatPr defaultRowHeight="15" x14ac:dyDescent="0.25"/>
  <cols>
    <col min="2" max="2" width="21.28515625" customWidth="1"/>
    <col min="3" max="3" width="17.28515625" customWidth="1"/>
    <col min="4" max="4" width="25.7109375" customWidth="1"/>
    <col min="5" max="5" width="12.5703125" customWidth="1"/>
    <col min="6" max="6" width="27.28515625" customWidth="1"/>
    <col min="7" max="7" width="27.85546875" customWidth="1"/>
  </cols>
  <sheetData>
    <row r="11" spans="2:15" x14ac:dyDescent="0.25">
      <c r="B11" s="226" t="s">
        <v>52</v>
      </c>
      <c r="C11" s="227"/>
      <c r="D11" s="227"/>
      <c r="E11" s="228"/>
    </row>
    <row r="13" spans="2:15" x14ac:dyDescent="0.25">
      <c r="B13" s="14" t="s">
        <v>31</v>
      </c>
      <c r="D13" s="210"/>
    </row>
    <row r="14" spans="2:15" x14ac:dyDescent="0.25">
      <c r="B14" s="213" t="s">
        <v>147</v>
      </c>
      <c r="D14" s="211" t="str">
        <f>_xll.fbnSecurityLookupUid("Figi",B14)</f>
        <v/>
      </c>
    </row>
    <row r="15" spans="2:15" ht="15" customHeight="1" x14ac:dyDescent="0.25">
      <c r="B15" s="214" t="s">
        <v>158</v>
      </c>
      <c r="D15" s="211" t="str">
        <f>_xll.fbnSecurityLookupUid("Figi",B15)</f>
        <v/>
      </c>
      <c r="F15" s="220" t="s">
        <v>29</v>
      </c>
      <c r="G15" s="221"/>
      <c r="H15" s="221"/>
      <c r="I15" s="221"/>
      <c r="J15" s="221"/>
      <c r="K15" s="221"/>
      <c r="L15" s="221"/>
      <c r="M15" s="221"/>
      <c r="N15" s="221"/>
      <c r="O15" s="222"/>
    </row>
    <row r="16" spans="2:15" x14ac:dyDescent="0.25">
      <c r="B16" s="214" t="s">
        <v>159</v>
      </c>
      <c r="D16" s="211" t="str">
        <f>_xll.fbnSecurityLookupUid("Figi",B16)</f>
        <v/>
      </c>
      <c r="F16" s="229"/>
      <c r="G16" s="230"/>
      <c r="H16" s="230"/>
      <c r="I16" s="230"/>
      <c r="J16" s="230"/>
      <c r="K16" s="230"/>
      <c r="L16" s="230"/>
      <c r="M16" s="230"/>
      <c r="N16" s="230"/>
      <c r="O16" s="231"/>
    </row>
    <row r="17" spans="2:15" x14ac:dyDescent="0.25">
      <c r="B17" s="214" t="s">
        <v>160</v>
      </c>
      <c r="D17" s="211" t="str">
        <f>_xll.fbnSecurityLookupUid("Figi",B17)</f>
        <v/>
      </c>
      <c r="F17" s="223"/>
      <c r="G17" s="224"/>
      <c r="H17" s="224"/>
      <c r="I17" s="224"/>
      <c r="J17" s="224"/>
      <c r="K17" s="224"/>
      <c r="L17" s="224"/>
      <c r="M17" s="224"/>
      <c r="N17" s="224"/>
      <c r="O17" s="225"/>
    </row>
    <row r="18" spans="2:15" x14ac:dyDescent="0.25">
      <c r="B18" s="214" t="s">
        <v>161</v>
      </c>
      <c r="D18" s="211" t="str">
        <f>_xll.fbnSecurityLookupUid("Figi",B18)</f>
        <v/>
      </c>
    </row>
    <row r="19" spans="2:15" x14ac:dyDescent="0.25">
      <c r="B19" s="214" t="s">
        <v>162</v>
      </c>
      <c r="D19" s="211" t="str">
        <f>_xll.fbnSecurityLookupUid("Figi",B19)</f>
        <v/>
      </c>
    </row>
    <row r="20" spans="2:15" x14ac:dyDescent="0.25">
      <c r="B20" s="214" t="s">
        <v>163</v>
      </c>
      <c r="D20" s="211" t="str">
        <f>_xll.fbnSecurityLookupUid("Figi",B20)</f>
        <v/>
      </c>
      <c r="F20" s="220" t="s">
        <v>128</v>
      </c>
      <c r="G20" s="221"/>
      <c r="H20" s="221"/>
      <c r="I20" s="221"/>
      <c r="J20" s="221"/>
      <c r="K20" s="221"/>
      <c r="L20" s="221"/>
      <c r="M20" s="221"/>
      <c r="N20" s="221"/>
      <c r="O20" s="222"/>
    </row>
    <row r="21" spans="2:15" x14ac:dyDescent="0.25">
      <c r="B21" s="214" t="s">
        <v>164</v>
      </c>
      <c r="D21" s="211" t="str">
        <f>_xll.fbnSecurityLookupUid("Figi",B21)</f>
        <v/>
      </c>
      <c r="F21" s="223"/>
      <c r="G21" s="224"/>
      <c r="H21" s="224"/>
      <c r="I21" s="224"/>
      <c r="J21" s="224"/>
      <c r="K21" s="224"/>
      <c r="L21" s="224"/>
      <c r="M21" s="224"/>
      <c r="N21" s="224"/>
      <c r="O21" s="225"/>
    </row>
    <row r="22" spans="2:15" x14ac:dyDescent="0.25">
      <c r="B22" s="214" t="s">
        <v>165</v>
      </c>
      <c r="D22" s="211" t="str">
        <f>_xll.fbnSecurityLookupUid("Figi",B22)</f>
        <v/>
      </c>
    </row>
    <row r="23" spans="2:15" x14ac:dyDescent="0.25">
      <c r="B23" s="214" t="s">
        <v>166</v>
      </c>
      <c r="D23" s="211" t="str">
        <f>_xll.fbnSecurityLookupUid("Figi",B23)</f>
        <v/>
      </c>
      <c r="F23" s="219" t="s">
        <v>25</v>
      </c>
      <c r="G23" s="219"/>
      <c r="H23" s="219"/>
      <c r="I23" s="219"/>
    </row>
    <row r="24" spans="2:15" x14ac:dyDescent="0.25">
      <c r="B24" s="214" t="s">
        <v>167</v>
      </c>
      <c r="D24" s="211" t="str">
        <f>_xll.fbnSecurityLookupUid("Figi",B24)</f>
        <v/>
      </c>
      <c r="F24" s="232" t="s">
        <v>27</v>
      </c>
      <c r="G24" s="232"/>
      <c r="H24" s="232"/>
      <c r="I24" s="232"/>
    </row>
    <row r="25" spans="2:15" x14ac:dyDescent="0.25">
      <c r="B25" s="214" t="s">
        <v>168</v>
      </c>
      <c r="D25" s="211" t="str">
        <f>_xll.fbnSecurityLookupUid("Figi",B25)</f>
        <v/>
      </c>
      <c r="F25" s="233" t="s">
        <v>26</v>
      </c>
      <c r="G25" s="233"/>
      <c r="H25" s="233"/>
      <c r="I25" s="233"/>
    </row>
    <row r="26" spans="2:15" x14ac:dyDescent="0.25">
      <c r="B26" s="214" t="s">
        <v>169</v>
      </c>
      <c r="D26" s="211" t="str">
        <f>_xll.fbnSecurityLookupUid("Figi",B26)</f>
        <v/>
      </c>
      <c r="F26" s="234" t="s">
        <v>24</v>
      </c>
      <c r="G26" s="234"/>
      <c r="H26" s="234"/>
      <c r="I26" s="234"/>
    </row>
    <row r="27" spans="2:15" x14ac:dyDescent="0.25">
      <c r="B27" s="214" t="s">
        <v>170</v>
      </c>
      <c r="D27" s="211" t="str">
        <f>_xll.fbnSecurityLookupUid("Figi",B27)</f>
        <v/>
      </c>
      <c r="F27" s="218" t="s">
        <v>28</v>
      </c>
      <c r="G27" s="218"/>
      <c r="H27" s="218"/>
      <c r="I27" s="218"/>
    </row>
    <row r="28" spans="2:15" x14ac:dyDescent="0.25">
      <c r="B28" s="214" t="s">
        <v>171</v>
      </c>
      <c r="D28" s="211" t="str">
        <f>_xll.fbnSecurityLookupUid("Figi",B28)</f>
        <v/>
      </c>
    </row>
    <row r="29" spans="2:15" x14ac:dyDescent="0.25">
      <c r="B29" s="214" t="s">
        <v>172</v>
      </c>
      <c r="D29" s="211" t="str">
        <f>_xll.fbnSecurityLookupUid("Figi",B29)</f>
        <v/>
      </c>
    </row>
    <row r="30" spans="2:15" x14ac:dyDescent="0.25">
      <c r="B30" s="214" t="s">
        <v>173</v>
      </c>
      <c r="D30" s="211" t="str">
        <f>_xll.fbnSecurityLookupUid("Figi",B30)</f>
        <v/>
      </c>
    </row>
    <row r="31" spans="2:15" x14ac:dyDescent="0.25">
      <c r="B31" s="214" t="s">
        <v>174</v>
      </c>
      <c r="D31" s="211" t="str">
        <f>_xll.fbnSecurityLookupUid("Figi",B31)</f>
        <v/>
      </c>
      <c r="F31" t="s">
        <v>74</v>
      </c>
    </row>
    <row r="32" spans="2:15" x14ac:dyDescent="0.25">
      <c r="B32" s="214" t="s">
        <v>175</v>
      </c>
      <c r="D32" s="211" t="str">
        <f>_xll.fbnSecurityLookupUid("Figi",B32)</f>
        <v/>
      </c>
      <c r="F32" s="27" t="s">
        <v>34</v>
      </c>
      <c r="G32" s="71" t="s">
        <v>225</v>
      </c>
    </row>
    <row r="33" spans="2:7" x14ac:dyDescent="0.25">
      <c r="B33" s="214" t="s">
        <v>176</v>
      </c>
      <c r="D33" s="211" t="str">
        <f>_xll.fbnSecurityLookupUid("Figi",B33)</f>
        <v/>
      </c>
      <c r="F33" s="27" t="s">
        <v>67</v>
      </c>
      <c r="G33" s="71" t="s">
        <v>226</v>
      </c>
    </row>
    <row r="34" spans="2:7" x14ac:dyDescent="0.25">
      <c r="B34" s="214" t="s">
        <v>177</v>
      </c>
      <c r="D34" s="211" t="str">
        <f>_xll.fbnSecurityLookupUid("Figi",B34)</f>
        <v/>
      </c>
      <c r="F34" s="27" t="s">
        <v>68</v>
      </c>
      <c r="G34" s="71" t="s">
        <v>227</v>
      </c>
    </row>
    <row r="35" spans="2:7" x14ac:dyDescent="0.25">
      <c r="B35" s="214" t="s">
        <v>178</v>
      </c>
      <c r="D35" s="212" t="str">
        <f>_xll.fbnSecurityLookupUid("Figi",B35)</f>
        <v/>
      </c>
      <c r="F35" s="27" t="s">
        <v>69</v>
      </c>
      <c r="G35" s="72">
        <f ca="1">TODAY()</f>
        <v>43517</v>
      </c>
    </row>
    <row r="36" spans="2:7" x14ac:dyDescent="0.25">
      <c r="B36" s="208"/>
      <c r="F36" s="27" t="s">
        <v>54</v>
      </c>
      <c r="G36" s="72">
        <f ca="1">TODAY()</f>
        <v>43517</v>
      </c>
    </row>
    <row r="37" spans="2:7" x14ac:dyDescent="0.25">
      <c r="B37" s="208"/>
    </row>
    <row r="40" spans="2:7" x14ac:dyDescent="0.25">
      <c r="B40" s="208"/>
    </row>
  </sheetData>
  <mergeCells count="8">
    <mergeCell ref="F27:I27"/>
    <mergeCell ref="F23:I23"/>
    <mergeCell ref="F20:O21"/>
    <mergeCell ref="B11:E11"/>
    <mergeCell ref="F15:O17"/>
    <mergeCell ref="F24:I24"/>
    <mergeCell ref="F25:I25"/>
    <mergeCell ref="F26:I2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C7:L44"/>
  <sheetViews>
    <sheetView topLeftCell="A4" zoomScale="80" zoomScaleNormal="80" workbookViewId="0">
      <selection activeCell="L15" sqref="L15"/>
    </sheetView>
  </sheetViews>
  <sheetFormatPr defaultRowHeight="15" x14ac:dyDescent="0.25"/>
  <cols>
    <col min="1" max="1" width="6.28515625" customWidth="1"/>
    <col min="2" max="2" width="7.5703125" customWidth="1"/>
    <col min="3" max="3" width="22" customWidth="1"/>
    <col min="4" max="4" width="31.7109375" customWidth="1"/>
    <col min="5" max="5" width="24.140625" customWidth="1"/>
    <col min="6" max="6" width="22.42578125" customWidth="1"/>
    <col min="7" max="7" width="25.28515625" customWidth="1"/>
    <col min="8" max="8" width="19.140625" customWidth="1"/>
    <col min="9" max="9" width="20.7109375" customWidth="1"/>
    <col min="11" max="11" width="51.140625" customWidth="1"/>
    <col min="12" max="12" width="38" customWidth="1"/>
    <col min="13" max="13" width="17.7109375" customWidth="1"/>
    <col min="15" max="15" width="33.140625" customWidth="1"/>
  </cols>
  <sheetData>
    <row r="7" spans="3:12" ht="15" customHeight="1" x14ac:dyDescent="0.25">
      <c r="C7" s="239" t="s">
        <v>37</v>
      </c>
      <c r="D7" s="240"/>
      <c r="E7" s="241"/>
      <c r="F7" s="13"/>
    </row>
    <row r="8" spans="3:12" x14ac:dyDescent="0.25">
      <c r="C8" s="242"/>
      <c r="D8" s="243"/>
      <c r="E8" s="244"/>
      <c r="F8" s="13"/>
    </row>
    <row r="9" spans="3:12" x14ac:dyDescent="0.25">
      <c r="C9" s="245"/>
      <c r="D9" s="246"/>
      <c r="E9" s="247"/>
    </row>
    <row r="11" spans="3:12" ht="16.5" customHeight="1" x14ac:dyDescent="0.25">
      <c r="C11" s="235" t="s">
        <v>9</v>
      </c>
      <c r="D11" s="236"/>
      <c r="E11" s="237"/>
      <c r="K11" s="202" t="s">
        <v>3</v>
      </c>
      <c r="L11" s="203"/>
    </row>
    <row r="12" spans="3:12" ht="15" customHeight="1" x14ac:dyDescent="0.25">
      <c r="C12" t="str">
        <f>_xll.fbnSecuritiesAdd_Template()</f>
        <v>OK</v>
      </c>
    </row>
    <row r="13" spans="3:12" ht="15.75" thickBot="1" x14ac:dyDescent="0.3">
      <c r="C13" s="206" t="s">
        <v>150</v>
      </c>
      <c r="D13" s="207" t="s">
        <v>151</v>
      </c>
      <c r="E13" s="207" t="s">
        <v>152</v>
      </c>
      <c r="F13" s="207" t="s">
        <v>153</v>
      </c>
      <c r="G13" s="207" t="s">
        <v>1</v>
      </c>
      <c r="H13" s="207" t="s">
        <v>154</v>
      </c>
      <c r="I13" s="204" t="s">
        <v>155</v>
      </c>
      <c r="K13" s="25"/>
      <c r="L13" s="26"/>
    </row>
    <row r="14" spans="3:12" ht="15.75" thickTop="1" x14ac:dyDescent="0.25">
      <c r="C14" s="80" t="str">
        <f>_xlfn.CONCAT("MyId_",Setup!B14)</f>
        <v>MyId_BBG00JVF3738</v>
      </c>
      <c r="D14" s="81" t="str">
        <f>_xlfn.CONCAT("MyNewSecurity_",Setup!B14)</f>
        <v>MyNewSecurity_BBG00JVF3738</v>
      </c>
      <c r="E14" s="81" t="s">
        <v>179</v>
      </c>
      <c r="F14" s="81" t="str">
        <f>Setup!B14</f>
        <v>BBG00JVF3738</v>
      </c>
      <c r="G14" s="81"/>
      <c r="H14" s="81" t="s">
        <v>157</v>
      </c>
      <c r="I14" s="82" t="s">
        <v>156</v>
      </c>
      <c r="K14" s="8" t="s">
        <v>180</v>
      </c>
      <c r="L14" s="209" t="s">
        <v>181</v>
      </c>
    </row>
    <row r="15" spans="3:12" x14ac:dyDescent="0.25">
      <c r="C15" s="80" t="str">
        <f>_xlfn.CONCAT("MyId_",Setup!B15)</f>
        <v>MyId_BBG00DKL90B0</v>
      </c>
      <c r="D15" s="81" t="str">
        <f>_xlfn.CONCAT("MyNewSecurity_",Setup!B15)</f>
        <v>MyNewSecurity_BBG00DKL90B0</v>
      </c>
      <c r="E15" s="81" t="s">
        <v>179</v>
      </c>
      <c r="F15" s="81" t="str">
        <f>Setup!B15</f>
        <v>BBG00DKL90B0</v>
      </c>
      <c r="G15" s="81"/>
      <c r="H15" s="81" t="s">
        <v>157</v>
      </c>
      <c r="I15" s="82" t="s">
        <v>156</v>
      </c>
      <c r="K15" s="8" t="s">
        <v>182</v>
      </c>
      <c r="L15" s="9" t="s">
        <v>183</v>
      </c>
    </row>
    <row r="16" spans="3:12" x14ac:dyDescent="0.25">
      <c r="C16" s="80" t="str">
        <f>_xlfn.CONCAT("MyId_",Setup!B16)</f>
        <v>MyId_BBG00DKL91M6</v>
      </c>
      <c r="D16" s="81" t="str">
        <f>_xlfn.CONCAT("MyNewSecurity_",Setup!B16)</f>
        <v>MyNewSecurity_BBG00DKL91M6</v>
      </c>
      <c r="E16" s="81" t="s">
        <v>179</v>
      </c>
      <c r="F16" s="81" t="str">
        <f>Setup!B16</f>
        <v>BBG00DKL91M6</v>
      </c>
      <c r="G16" s="81"/>
      <c r="H16" s="81" t="s">
        <v>157</v>
      </c>
      <c r="I16" s="82" t="s">
        <v>156</v>
      </c>
      <c r="K16" s="8" t="s">
        <v>184</v>
      </c>
      <c r="L16" s="9" t="s">
        <v>185</v>
      </c>
    </row>
    <row r="17" spans="3:12" x14ac:dyDescent="0.25">
      <c r="C17" s="80" t="str">
        <f>_xlfn.CONCAT("MyId_",Setup!B17)</f>
        <v>MyId_BBG00FDG24R6</v>
      </c>
      <c r="D17" s="81" t="str">
        <f>_xlfn.CONCAT("MyNewSecurity_",Setup!B17)</f>
        <v>MyNewSecurity_BBG00FDG24R6</v>
      </c>
      <c r="E17" s="81" t="s">
        <v>179</v>
      </c>
      <c r="F17" s="81" t="str">
        <f>Setup!B17</f>
        <v>BBG00FDG24R6</v>
      </c>
      <c r="G17" s="81"/>
      <c r="H17" s="81" t="s">
        <v>157</v>
      </c>
      <c r="I17" s="82" t="s">
        <v>156</v>
      </c>
      <c r="K17" s="8" t="s">
        <v>186</v>
      </c>
      <c r="L17" s="9" t="s">
        <v>187</v>
      </c>
    </row>
    <row r="18" spans="3:12" x14ac:dyDescent="0.25">
      <c r="C18" s="80" t="str">
        <f>_xlfn.CONCAT("MyId_",Setup!B18)</f>
        <v>MyId_BBG00DKL91L7</v>
      </c>
      <c r="D18" s="81" t="str">
        <f>_xlfn.CONCAT("MyNewSecurity_",Setup!B18)</f>
        <v>MyNewSecurity_BBG00DKL91L7</v>
      </c>
      <c r="E18" s="81" t="s">
        <v>179</v>
      </c>
      <c r="F18" s="81" t="str">
        <f>Setup!B18</f>
        <v>BBG00DKL91L7</v>
      </c>
      <c r="G18" s="81"/>
      <c r="H18" s="81" t="s">
        <v>157</v>
      </c>
      <c r="I18" s="82" t="s">
        <v>156</v>
      </c>
      <c r="K18" s="8" t="s">
        <v>188</v>
      </c>
      <c r="L18" s="9" t="s">
        <v>189</v>
      </c>
    </row>
    <row r="19" spans="3:12" x14ac:dyDescent="0.25">
      <c r="C19" s="80" t="str">
        <f>_xlfn.CONCAT("MyId_",Setup!B19)</f>
        <v>MyId_BBG00FB2C3M5</v>
      </c>
      <c r="D19" s="81" t="str">
        <f>_xlfn.CONCAT("MyNewSecurity_",Setup!B19)</f>
        <v>MyNewSecurity_BBG00FB2C3M5</v>
      </c>
      <c r="E19" s="81" t="s">
        <v>179</v>
      </c>
      <c r="F19" s="81" t="str">
        <f>Setup!B19</f>
        <v>BBG00FB2C3M5</v>
      </c>
      <c r="G19" s="81"/>
      <c r="H19" s="81" t="s">
        <v>157</v>
      </c>
      <c r="I19" s="82" t="s">
        <v>156</v>
      </c>
      <c r="K19" s="8" t="s">
        <v>190</v>
      </c>
      <c r="L19" s="9" t="s">
        <v>191</v>
      </c>
    </row>
    <row r="20" spans="3:12" x14ac:dyDescent="0.25">
      <c r="C20" s="80" t="str">
        <f>_xlfn.CONCAT("MyId_",Setup!B20)</f>
        <v>MyId_BBG00FJ5L0H2</v>
      </c>
      <c r="D20" s="81" t="str">
        <f>_xlfn.CONCAT("MyNewSecurity_",Setup!B20)</f>
        <v>MyNewSecurity_BBG00FJ5L0H2</v>
      </c>
      <c r="E20" s="81" t="s">
        <v>179</v>
      </c>
      <c r="F20" s="81" t="str">
        <f>Setup!B20</f>
        <v>BBG00FJ5L0H2</v>
      </c>
      <c r="G20" s="81"/>
      <c r="H20" s="81" t="s">
        <v>157</v>
      </c>
      <c r="I20" s="82" t="s">
        <v>156</v>
      </c>
      <c r="K20" s="8" t="s">
        <v>192</v>
      </c>
      <c r="L20" s="9" t="s">
        <v>193</v>
      </c>
    </row>
    <row r="21" spans="3:12" x14ac:dyDescent="0.25">
      <c r="C21" s="80" t="str">
        <f>_xlfn.CONCAT("MyId_",Setup!B21)</f>
        <v>MyId_BBG00FJ5L0Q2</v>
      </c>
      <c r="D21" s="81" t="str">
        <f>_xlfn.CONCAT("MyNewSecurity_",Setup!B21)</f>
        <v>MyNewSecurity_BBG00FJ5L0Q2</v>
      </c>
      <c r="E21" s="81" t="s">
        <v>179</v>
      </c>
      <c r="F21" s="81" t="str">
        <f>Setup!B21</f>
        <v>BBG00FJ5L0Q2</v>
      </c>
      <c r="G21" s="81"/>
      <c r="H21" s="81" t="s">
        <v>157</v>
      </c>
      <c r="I21" s="82" t="s">
        <v>156</v>
      </c>
      <c r="K21" s="8" t="s">
        <v>194</v>
      </c>
      <c r="L21" s="9" t="s">
        <v>195</v>
      </c>
    </row>
    <row r="22" spans="3:12" x14ac:dyDescent="0.25">
      <c r="C22" s="80" t="str">
        <f>_xlfn.CONCAT("MyId_",Setup!B22)</f>
        <v>MyId_BBG000C5GF49</v>
      </c>
      <c r="D22" s="81" t="str">
        <f>_xlfn.CONCAT("MyNewSecurity_",Setup!B22)</f>
        <v>MyNewSecurity_BBG000C5GF49</v>
      </c>
      <c r="E22" s="81" t="s">
        <v>179</v>
      </c>
      <c r="F22" s="81" t="str">
        <f>Setup!B22</f>
        <v>BBG000C5GF49</v>
      </c>
      <c r="G22" s="81"/>
      <c r="H22" s="81" t="s">
        <v>157</v>
      </c>
      <c r="I22" s="82" t="s">
        <v>156</v>
      </c>
      <c r="K22" s="8" t="s">
        <v>196</v>
      </c>
      <c r="L22" s="9" t="s">
        <v>197</v>
      </c>
    </row>
    <row r="23" spans="3:12" x14ac:dyDescent="0.25">
      <c r="C23" s="80" t="str">
        <f>_xlfn.CONCAT("MyId_",Setup!B23)</f>
        <v>MyId_BBG000C45QW9</v>
      </c>
      <c r="D23" s="81" t="str">
        <f>_xlfn.CONCAT("MyNewSecurity_",Setup!B23)</f>
        <v>MyNewSecurity_BBG000C45QW9</v>
      </c>
      <c r="E23" s="81" t="s">
        <v>179</v>
      </c>
      <c r="F23" s="81" t="str">
        <f>Setup!B23</f>
        <v>BBG000C45QW9</v>
      </c>
      <c r="G23" s="81"/>
      <c r="H23" s="81" t="s">
        <v>157</v>
      </c>
      <c r="I23" s="82" t="s">
        <v>156</v>
      </c>
      <c r="K23" s="8" t="s">
        <v>198</v>
      </c>
      <c r="L23" s="9" t="s">
        <v>199</v>
      </c>
    </row>
    <row r="24" spans="3:12" x14ac:dyDescent="0.25">
      <c r="C24" s="80" t="str">
        <f>_xlfn.CONCAT("MyId_",Setup!B24)</f>
        <v>MyId_BBG00GZY0K24</v>
      </c>
      <c r="D24" s="81" t="str">
        <f>_xlfn.CONCAT("MyNewSecurity_",Setup!B24)</f>
        <v>MyNewSecurity_BBG00GZY0K24</v>
      </c>
      <c r="E24" s="81" t="s">
        <v>179</v>
      </c>
      <c r="F24" s="81" t="str">
        <f>Setup!B24</f>
        <v>BBG00GZY0K24</v>
      </c>
      <c r="G24" s="81"/>
      <c r="H24" s="81" t="s">
        <v>157</v>
      </c>
      <c r="I24" s="82" t="s">
        <v>156</v>
      </c>
      <c r="K24" s="8" t="s">
        <v>200</v>
      </c>
      <c r="L24" s="9" t="s">
        <v>201</v>
      </c>
    </row>
    <row r="25" spans="3:12" x14ac:dyDescent="0.25">
      <c r="C25" s="80" t="str">
        <f>_xlfn.CONCAT("MyId_",Setup!B25)</f>
        <v>MyId_BBG00GZXXVG1</v>
      </c>
      <c r="D25" s="81" t="str">
        <f>_xlfn.CONCAT("MyNewSecurity_",Setup!B25)</f>
        <v>MyNewSecurity_BBG00GZXXVG1</v>
      </c>
      <c r="E25" s="81" t="s">
        <v>179</v>
      </c>
      <c r="F25" s="81" t="str">
        <f>Setup!B25</f>
        <v>BBG00GZXXVG1</v>
      </c>
      <c r="G25" s="81"/>
      <c r="H25" s="81" t="s">
        <v>157</v>
      </c>
      <c r="I25" s="82" t="s">
        <v>156</v>
      </c>
      <c r="K25" s="8" t="s">
        <v>202</v>
      </c>
      <c r="L25" s="9" t="s">
        <v>203</v>
      </c>
    </row>
    <row r="26" spans="3:12" x14ac:dyDescent="0.25">
      <c r="C26" s="80" t="str">
        <f>_xlfn.CONCAT("MyId_",Setup!B26)</f>
        <v>MyId_BBG007V3VDW5</v>
      </c>
      <c r="D26" s="81" t="str">
        <f>_xlfn.CONCAT("MyNewSecurity_",Setup!B26)</f>
        <v>MyNewSecurity_BBG007V3VDW5</v>
      </c>
      <c r="E26" s="81" t="s">
        <v>179</v>
      </c>
      <c r="F26" s="81" t="str">
        <f>Setup!B26</f>
        <v>BBG007V3VDW5</v>
      </c>
      <c r="G26" s="81"/>
      <c r="H26" s="81" t="s">
        <v>157</v>
      </c>
      <c r="I26" s="82" t="s">
        <v>156</v>
      </c>
      <c r="K26" s="8" t="s">
        <v>204</v>
      </c>
      <c r="L26" s="9" t="s">
        <v>205</v>
      </c>
    </row>
    <row r="27" spans="3:12" x14ac:dyDescent="0.25">
      <c r="C27" s="80" t="str">
        <f>_xlfn.CONCAT("MyId_",Setup!B27)</f>
        <v>MyId_BBG000F8XRF3</v>
      </c>
      <c r="D27" s="81" t="str">
        <f>_xlfn.CONCAT("MyNewSecurity_",Setup!B27)</f>
        <v>MyNewSecurity_BBG000F8XRF3</v>
      </c>
      <c r="E27" s="81" t="s">
        <v>179</v>
      </c>
      <c r="F27" s="81" t="str">
        <f>Setup!B27</f>
        <v>BBG000F8XRF3</v>
      </c>
      <c r="G27" s="81"/>
      <c r="H27" s="81" t="s">
        <v>157</v>
      </c>
      <c r="I27" s="82" t="s">
        <v>156</v>
      </c>
      <c r="K27" s="8" t="s">
        <v>206</v>
      </c>
      <c r="L27" s="9" t="s">
        <v>207</v>
      </c>
    </row>
    <row r="28" spans="3:12" x14ac:dyDescent="0.25">
      <c r="C28" s="80" t="str">
        <f>_xlfn.CONCAT("MyId_",Setup!B28)</f>
        <v>MyId_BBG000RH4VW4</v>
      </c>
      <c r="D28" s="81" t="str">
        <f>_xlfn.CONCAT("MyNewSecurity_",Setup!B28)</f>
        <v>MyNewSecurity_BBG000RH4VW4</v>
      </c>
      <c r="E28" s="81" t="s">
        <v>179</v>
      </c>
      <c r="F28" s="81" t="str">
        <f>Setup!B28</f>
        <v>BBG000RH4VW4</v>
      </c>
      <c r="G28" s="81"/>
      <c r="H28" s="81" t="s">
        <v>157</v>
      </c>
      <c r="I28" s="82" t="s">
        <v>156</v>
      </c>
      <c r="K28" s="8" t="s">
        <v>208</v>
      </c>
      <c r="L28" s="9" t="s">
        <v>209</v>
      </c>
    </row>
    <row r="29" spans="3:12" x14ac:dyDescent="0.25">
      <c r="C29" s="80" t="str">
        <f>_xlfn.CONCAT("MyId_",Setup!B29)</f>
        <v>MyId_BBG000R173D9</v>
      </c>
      <c r="D29" s="81" t="str">
        <f>_xlfn.CONCAT("MyNewSecurity_",Setup!B29)</f>
        <v>MyNewSecurity_BBG000R173D9</v>
      </c>
      <c r="E29" s="81" t="s">
        <v>179</v>
      </c>
      <c r="F29" s="81" t="str">
        <f>Setup!B29</f>
        <v>BBG000R173D9</v>
      </c>
      <c r="G29" s="81"/>
      <c r="H29" s="81" t="s">
        <v>157</v>
      </c>
      <c r="I29" s="82" t="s">
        <v>156</v>
      </c>
      <c r="K29" s="8" t="s">
        <v>210</v>
      </c>
      <c r="L29" s="9" t="s">
        <v>211</v>
      </c>
    </row>
    <row r="30" spans="3:12" x14ac:dyDescent="0.25">
      <c r="C30" s="80" t="str">
        <f>_xlfn.CONCAT("MyId_",Setup!B30)</f>
        <v>MyId_BBG001HQYT28</v>
      </c>
      <c r="D30" s="81" t="str">
        <f>_xlfn.CONCAT("MyNewSecurity_",Setup!B30)</f>
        <v>MyNewSecurity_BBG001HQYT28</v>
      </c>
      <c r="E30" s="81" t="s">
        <v>179</v>
      </c>
      <c r="F30" s="81" t="str">
        <f>Setup!B30</f>
        <v>BBG001HQYT28</v>
      </c>
      <c r="G30" s="81"/>
      <c r="H30" s="81" t="s">
        <v>157</v>
      </c>
      <c r="I30" s="82" t="s">
        <v>156</v>
      </c>
      <c r="K30" s="8" t="s">
        <v>212</v>
      </c>
      <c r="L30" s="9" t="s">
        <v>213</v>
      </c>
    </row>
    <row r="31" spans="3:12" x14ac:dyDescent="0.25">
      <c r="C31" s="80" t="str">
        <f>_xlfn.CONCAT("MyId_",Setup!B31)</f>
        <v>MyId_BBG0037S1FD5</v>
      </c>
      <c r="D31" s="81" t="str">
        <f>_xlfn.CONCAT("MyNewSecurity_",Setup!B31)</f>
        <v>MyNewSecurity_BBG0037S1FD5</v>
      </c>
      <c r="E31" s="81" t="s">
        <v>179</v>
      </c>
      <c r="F31" s="81" t="str">
        <f>Setup!B31</f>
        <v>BBG0037S1FD5</v>
      </c>
      <c r="G31" s="81"/>
      <c r="H31" s="81" t="s">
        <v>157</v>
      </c>
      <c r="I31" s="82" t="s">
        <v>156</v>
      </c>
      <c r="K31" s="8" t="s">
        <v>214</v>
      </c>
      <c r="L31" s="9" t="s">
        <v>215</v>
      </c>
    </row>
    <row r="32" spans="3:12" x14ac:dyDescent="0.25">
      <c r="C32" s="80" t="str">
        <f>_xlfn.CONCAT("MyId_",Setup!B32)</f>
        <v>MyId_BBG001B81KF5</v>
      </c>
      <c r="D32" s="81" t="str">
        <f>_xlfn.CONCAT("MyNewSecurity_",Setup!B32)</f>
        <v>MyNewSecurity_BBG001B81KF5</v>
      </c>
      <c r="E32" s="81" t="s">
        <v>179</v>
      </c>
      <c r="F32" s="81" t="str">
        <f>Setup!B32</f>
        <v>BBG001B81KF5</v>
      </c>
      <c r="G32" s="81"/>
      <c r="H32" s="81" t="s">
        <v>157</v>
      </c>
      <c r="I32" s="82" t="s">
        <v>156</v>
      </c>
      <c r="K32" s="8" t="s">
        <v>216</v>
      </c>
      <c r="L32" s="9" t="s">
        <v>217</v>
      </c>
    </row>
    <row r="33" spans="3:12" x14ac:dyDescent="0.25">
      <c r="C33" s="80" t="str">
        <f>_xlfn.CONCAT("MyId_",Setup!B33)</f>
        <v>MyId_BBG0034YPJG8</v>
      </c>
      <c r="D33" s="81" t="str">
        <f>_xlfn.CONCAT("MyNewSecurity_",Setup!B33)</f>
        <v>MyNewSecurity_BBG0034YPJG8</v>
      </c>
      <c r="E33" s="81" t="s">
        <v>179</v>
      </c>
      <c r="F33" s="81" t="str">
        <f>Setup!B33</f>
        <v>BBG0034YPJG8</v>
      </c>
      <c r="G33" s="81"/>
      <c r="H33" s="81" t="s">
        <v>157</v>
      </c>
      <c r="I33" s="82" t="s">
        <v>156</v>
      </c>
      <c r="K33" s="8" t="s">
        <v>218</v>
      </c>
      <c r="L33" s="9" t="s">
        <v>219</v>
      </c>
    </row>
    <row r="34" spans="3:12" x14ac:dyDescent="0.25">
      <c r="C34" s="80" t="str">
        <f>_xlfn.CONCAT("MyId_",Setup!B34)</f>
        <v>MyId_BBG0034YQ808</v>
      </c>
      <c r="D34" s="81" t="str">
        <f>_xlfn.CONCAT("MyNewSecurity_",Setup!B34)</f>
        <v>MyNewSecurity_BBG0034YQ808</v>
      </c>
      <c r="E34" s="81" t="s">
        <v>179</v>
      </c>
      <c r="F34" s="81" t="str">
        <f>Setup!B34</f>
        <v>BBG0034YQ808</v>
      </c>
      <c r="G34" s="81"/>
      <c r="H34" s="81" t="s">
        <v>157</v>
      </c>
      <c r="I34" s="82" t="s">
        <v>156</v>
      </c>
      <c r="K34" s="8" t="s">
        <v>220</v>
      </c>
      <c r="L34" s="9" t="s">
        <v>221</v>
      </c>
    </row>
    <row r="35" spans="3:12" x14ac:dyDescent="0.25">
      <c r="C35" s="83" t="str">
        <f>_xlfn.CONCAT("MyId_",Setup!B35)</f>
        <v>MyId_BBG004733FZ2</v>
      </c>
      <c r="D35" s="205" t="str">
        <f>_xlfn.CONCAT("MyNewSecurity_",Setup!B35)</f>
        <v>MyNewSecurity_BBG004733FZ2</v>
      </c>
      <c r="E35" s="205" t="s">
        <v>179</v>
      </c>
      <c r="F35" s="205" t="str">
        <f>Setup!B35</f>
        <v>BBG004733FZ2</v>
      </c>
      <c r="G35" s="205"/>
      <c r="H35" s="205" t="s">
        <v>157</v>
      </c>
      <c r="I35" s="84" t="s">
        <v>156</v>
      </c>
      <c r="K35" s="10" t="s">
        <v>222</v>
      </c>
      <c r="L35" s="11" t="s">
        <v>223</v>
      </c>
    </row>
    <row r="38" spans="3:12" x14ac:dyDescent="0.25">
      <c r="C38" s="248" t="s">
        <v>83</v>
      </c>
      <c r="D38" s="249"/>
      <c r="E38" s="249"/>
      <c r="F38" s="250"/>
      <c r="H38" s="238" t="s">
        <v>33</v>
      </c>
      <c r="I38" s="238"/>
      <c r="J38" s="238"/>
      <c r="K38" s="238"/>
      <c r="L38" s="238"/>
    </row>
    <row r="39" spans="3:12" x14ac:dyDescent="0.25">
      <c r="C39" s="251"/>
      <c r="D39" s="252"/>
      <c r="E39" s="252"/>
      <c r="F39" s="253"/>
      <c r="H39" s="238"/>
      <c r="I39" s="238"/>
      <c r="J39" s="238"/>
      <c r="K39" s="238"/>
      <c r="L39" s="238"/>
    </row>
    <row r="40" spans="3:12" x14ac:dyDescent="0.25">
      <c r="C40" s="251"/>
      <c r="D40" s="252"/>
      <c r="E40" s="252"/>
      <c r="F40" s="253"/>
      <c r="H40" s="238"/>
      <c r="I40" s="238"/>
      <c r="J40" s="238"/>
      <c r="K40" s="238"/>
      <c r="L40" s="238"/>
    </row>
    <row r="41" spans="3:12" x14ac:dyDescent="0.25">
      <c r="C41" s="251"/>
      <c r="D41" s="252"/>
      <c r="E41" s="252"/>
      <c r="F41" s="253"/>
      <c r="H41" s="238"/>
      <c r="I41" s="238"/>
      <c r="J41" s="238"/>
      <c r="K41" s="238"/>
      <c r="L41" s="238"/>
    </row>
    <row r="42" spans="3:12" x14ac:dyDescent="0.25">
      <c r="C42" s="251"/>
      <c r="D42" s="252"/>
      <c r="E42" s="252"/>
      <c r="F42" s="253"/>
      <c r="H42" s="238"/>
      <c r="I42" s="238"/>
      <c r="J42" s="238"/>
      <c r="K42" s="238"/>
      <c r="L42" s="238"/>
    </row>
    <row r="43" spans="3:12" x14ac:dyDescent="0.25">
      <c r="C43" s="251"/>
      <c r="D43" s="252"/>
      <c r="E43" s="252"/>
      <c r="F43" s="253"/>
    </row>
    <row r="44" spans="3:12" x14ac:dyDescent="0.25">
      <c r="C44" s="254"/>
      <c r="D44" s="255"/>
      <c r="E44" s="255"/>
      <c r="F44" s="256"/>
    </row>
  </sheetData>
  <mergeCells count="4">
    <mergeCell ref="C11:E11"/>
    <mergeCell ref="H38:L42"/>
    <mergeCell ref="C7:E9"/>
    <mergeCell ref="C38:F4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Upload_Securities" altText="Create Securities">
                <anchor moveWithCells="1">
                  <from>
                    <xdr:col>8</xdr:col>
                    <xdr:colOff>200025</xdr:colOff>
                    <xdr:row>39</xdr:row>
                    <xdr:rowOff>19050</xdr:rowOff>
                  </from>
                  <to>
                    <xdr:col>9</xdr:col>
                    <xdr:colOff>504825</xdr:colOff>
                    <xdr:row>40</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8:Q47"/>
  <sheetViews>
    <sheetView zoomScale="80" zoomScaleNormal="80" workbookViewId="0">
      <selection activeCell="F3" sqref="F3"/>
    </sheetView>
  </sheetViews>
  <sheetFormatPr defaultRowHeight="15" x14ac:dyDescent="0.25"/>
  <cols>
    <col min="1" max="2" width="11.5703125" customWidth="1"/>
    <col min="3" max="3" width="14.85546875" customWidth="1"/>
    <col min="4" max="4" width="25.7109375" customWidth="1"/>
    <col min="5" max="5" width="19.28515625" customWidth="1"/>
    <col min="6" max="6" width="20" customWidth="1"/>
    <col min="7" max="7" width="19" customWidth="1"/>
    <col min="8" max="8" width="14" customWidth="1"/>
    <col min="9" max="9" width="14.85546875" customWidth="1"/>
    <col min="10" max="10" width="15.5703125" customWidth="1"/>
    <col min="12" max="12" width="42.85546875" customWidth="1"/>
  </cols>
  <sheetData>
    <row r="8" spans="3:13" x14ac:dyDescent="0.25">
      <c r="C8" s="257" t="s">
        <v>117</v>
      </c>
      <c r="D8" s="258"/>
      <c r="E8" s="258"/>
      <c r="F8" s="258"/>
      <c r="G8" s="258"/>
      <c r="H8" s="258"/>
      <c r="I8" s="258"/>
      <c r="J8" s="258"/>
      <c r="K8" s="258"/>
      <c r="L8" s="259"/>
    </row>
    <row r="9" spans="3:13" x14ac:dyDescent="0.25">
      <c r="C9" s="260"/>
      <c r="D9" s="261"/>
      <c r="E9" s="261"/>
      <c r="F9" s="261"/>
      <c r="G9" s="261"/>
      <c r="H9" s="261"/>
      <c r="I9" s="261"/>
      <c r="J9" s="261"/>
      <c r="K9" s="261"/>
      <c r="L9" s="262"/>
    </row>
    <row r="11" spans="3:13" x14ac:dyDescent="0.25">
      <c r="C11" s="192" t="s">
        <v>118</v>
      </c>
      <c r="D11" s="173"/>
      <c r="E11" s="173"/>
      <c r="F11" s="173"/>
      <c r="G11" s="173"/>
      <c r="H11" s="173"/>
      <c r="I11" s="173"/>
      <c r="J11" s="174"/>
      <c r="L11" s="171" t="s">
        <v>4</v>
      </c>
    </row>
    <row r="13" spans="3:13" ht="15.75" thickBot="1" x14ac:dyDescent="0.3">
      <c r="C13" s="154" t="s">
        <v>5</v>
      </c>
      <c r="D13" s="154" t="s">
        <v>130</v>
      </c>
      <c r="E13" s="155" t="s">
        <v>131</v>
      </c>
      <c r="F13" s="155" t="s">
        <v>132</v>
      </c>
      <c r="G13" s="154" t="s">
        <v>133</v>
      </c>
      <c r="H13" s="156" t="s">
        <v>134</v>
      </c>
      <c r="I13" s="156" t="s">
        <v>6</v>
      </c>
      <c r="J13" s="170" t="s">
        <v>7</v>
      </c>
      <c r="L13" s="163" t="s">
        <v>17</v>
      </c>
    </row>
    <row r="14" spans="3:13" ht="15.75" thickTop="1" x14ac:dyDescent="0.25">
      <c r="C14" s="49" t="str">
        <f>PortfolioCode</f>
        <v>PortfolioABCDEF4</v>
      </c>
      <c r="D14" s="50"/>
      <c r="E14" s="157"/>
      <c r="F14" s="157"/>
      <c r="G14" s="48" t="str">
        <f>PortfolioName</f>
        <v>FirstPortfolio4</v>
      </c>
      <c r="H14" s="157"/>
      <c r="I14" s="48">
        <f ca="1">TODAY()</f>
        <v>43517</v>
      </c>
      <c r="J14" s="158" t="s">
        <v>47</v>
      </c>
      <c r="L14" s="164" t="s">
        <v>227</v>
      </c>
    </row>
    <row r="15" spans="3:13" x14ac:dyDescent="0.25">
      <c r="C15" s="46"/>
      <c r="D15" s="50"/>
      <c r="E15" s="48"/>
      <c r="F15" s="48"/>
      <c r="G15" s="47"/>
      <c r="H15" s="157"/>
      <c r="I15" s="48"/>
      <c r="J15" s="158"/>
      <c r="L15" s="164"/>
      <c r="M15" s="162"/>
    </row>
    <row r="16" spans="3:13" x14ac:dyDescent="0.25">
      <c r="C16" s="46"/>
      <c r="D16" s="50"/>
      <c r="E16" s="48"/>
      <c r="F16" s="48"/>
      <c r="G16" s="47"/>
      <c r="H16" s="157"/>
      <c r="I16" s="48"/>
      <c r="J16" s="158"/>
      <c r="L16" s="165"/>
    </row>
    <row r="17" spans="3:17" x14ac:dyDescent="0.25">
      <c r="C17" s="46"/>
      <c r="D17" s="50"/>
      <c r="E17" s="48"/>
      <c r="F17" s="50"/>
      <c r="G17" s="47"/>
      <c r="H17" s="157"/>
      <c r="I17" s="48"/>
      <c r="J17" s="158"/>
      <c r="L17" s="165"/>
    </row>
    <row r="18" spans="3:17" x14ac:dyDescent="0.25">
      <c r="C18" s="49"/>
      <c r="D18" s="50"/>
      <c r="E18" s="48"/>
      <c r="F18" s="50"/>
      <c r="G18" s="50"/>
      <c r="H18" s="157"/>
      <c r="I18" s="157"/>
      <c r="J18" s="158"/>
      <c r="L18" s="165"/>
    </row>
    <row r="19" spans="3:17" x14ac:dyDescent="0.25">
      <c r="C19" s="49"/>
      <c r="D19" s="50"/>
      <c r="E19" s="48"/>
      <c r="F19" s="50"/>
      <c r="G19" s="50"/>
      <c r="H19" s="157"/>
      <c r="I19" s="157"/>
      <c r="J19" s="158"/>
      <c r="L19" s="165"/>
    </row>
    <row r="20" spans="3:17" x14ac:dyDescent="0.25">
      <c r="C20" s="49"/>
      <c r="D20" s="50"/>
      <c r="E20" s="48"/>
      <c r="F20" s="50"/>
      <c r="G20" s="50"/>
      <c r="H20" s="157"/>
      <c r="I20" s="157"/>
      <c r="J20" s="158"/>
      <c r="L20" s="165"/>
    </row>
    <row r="21" spans="3:17" x14ac:dyDescent="0.25">
      <c r="C21" s="49"/>
      <c r="D21" s="50"/>
      <c r="E21" s="48"/>
      <c r="F21" s="50"/>
      <c r="G21" s="50"/>
      <c r="H21" s="157"/>
      <c r="I21" s="157"/>
      <c r="J21" s="158"/>
      <c r="L21" s="165"/>
      <c r="N21" s="263" t="s">
        <v>119</v>
      </c>
      <c r="O21" s="264"/>
      <c r="P21" s="264"/>
      <c r="Q21" s="264"/>
    </row>
    <row r="22" spans="3:17" x14ac:dyDescent="0.25">
      <c r="C22" s="49"/>
      <c r="D22" s="50"/>
      <c r="E22" s="48"/>
      <c r="F22" s="50"/>
      <c r="G22" s="50"/>
      <c r="H22" s="157"/>
      <c r="I22" s="157"/>
      <c r="J22" s="158"/>
      <c r="L22" s="165"/>
      <c r="N22" s="264"/>
      <c r="O22" s="264"/>
      <c r="P22" s="264"/>
      <c r="Q22" s="264"/>
    </row>
    <row r="23" spans="3:17" x14ac:dyDescent="0.25">
      <c r="C23" s="49"/>
      <c r="D23" s="50"/>
      <c r="E23" s="48"/>
      <c r="F23" s="50"/>
      <c r="G23" s="50"/>
      <c r="H23" s="157"/>
      <c r="I23" s="157"/>
      <c r="J23" s="158"/>
      <c r="L23" s="165"/>
      <c r="N23" s="264"/>
      <c r="O23" s="264"/>
      <c r="P23" s="264"/>
      <c r="Q23" s="264"/>
    </row>
    <row r="24" spans="3:17" x14ac:dyDescent="0.25">
      <c r="C24" s="49"/>
      <c r="D24" s="50"/>
      <c r="E24" s="48"/>
      <c r="F24" s="50"/>
      <c r="G24" s="50"/>
      <c r="H24" s="157"/>
      <c r="I24" s="157"/>
      <c r="J24" s="158"/>
      <c r="L24" s="165"/>
      <c r="N24" s="264"/>
      <c r="O24" s="264"/>
      <c r="P24" s="264"/>
      <c r="Q24" s="264"/>
    </row>
    <row r="25" spans="3:17" x14ac:dyDescent="0.25">
      <c r="C25" s="49"/>
      <c r="D25" s="50"/>
      <c r="E25" s="48"/>
      <c r="F25" s="50"/>
      <c r="G25" s="50"/>
      <c r="H25" s="157"/>
      <c r="I25" s="157"/>
      <c r="J25" s="158"/>
      <c r="L25" s="165"/>
      <c r="N25" s="264"/>
      <c r="O25" s="264"/>
      <c r="P25" s="264"/>
      <c r="Q25" s="264"/>
    </row>
    <row r="26" spans="3:17" x14ac:dyDescent="0.25">
      <c r="C26" s="49"/>
      <c r="D26" s="50"/>
      <c r="E26" s="48"/>
      <c r="F26" s="50"/>
      <c r="G26" s="50"/>
      <c r="H26" s="157"/>
      <c r="I26" s="157"/>
      <c r="J26" s="158"/>
      <c r="L26" s="165"/>
    </row>
    <row r="27" spans="3:17" x14ac:dyDescent="0.25">
      <c r="C27" s="49"/>
      <c r="D27" s="50"/>
      <c r="E27" s="48"/>
      <c r="F27" s="50"/>
      <c r="G27" s="50"/>
      <c r="H27" s="157"/>
      <c r="I27" s="157"/>
      <c r="J27" s="158"/>
      <c r="L27" s="165"/>
    </row>
    <row r="28" spans="3:17" x14ac:dyDescent="0.25">
      <c r="C28" s="49"/>
      <c r="D28" s="50"/>
      <c r="E28" s="50"/>
      <c r="F28" s="50"/>
      <c r="G28" s="50"/>
      <c r="H28" s="157"/>
      <c r="I28" s="157"/>
      <c r="J28" s="158"/>
      <c r="L28" s="165"/>
    </row>
    <row r="29" spans="3:17" x14ac:dyDescent="0.25">
      <c r="C29" s="49"/>
      <c r="D29" s="50"/>
      <c r="E29" s="50"/>
      <c r="F29" s="50"/>
      <c r="G29" s="50"/>
      <c r="H29" s="157"/>
      <c r="I29" s="157"/>
      <c r="J29" s="158"/>
      <c r="L29" s="165"/>
    </row>
    <row r="30" spans="3:17" x14ac:dyDescent="0.25">
      <c r="C30" s="49"/>
      <c r="D30" s="50"/>
      <c r="E30" s="50"/>
      <c r="F30" s="50"/>
      <c r="G30" s="50"/>
      <c r="H30" s="157"/>
      <c r="I30" s="157"/>
      <c r="J30" s="158"/>
      <c r="L30" s="165"/>
    </row>
    <row r="31" spans="3:17" x14ac:dyDescent="0.25">
      <c r="C31" s="49"/>
      <c r="D31" s="50"/>
      <c r="E31" s="50"/>
      <c r="F31" s="50"/>
      <c r="G31" s="50"/>
      <c r="H31" s="157"/>
      <c r="I31" s="157"/>
      <c r="J31" s="158"/>
      <c r="L31" s="165"/>
    </row>
    <row r="32" spans="3:17" x14ac:dyDescent="0.25">
      <c r="C32" s="49"/>
      <c r="D32" s="50"/>
      <c r="E32" s="50"/>
      <c r="F32" s="50"/>
      <c r="G32" s="50"/>
      <c r="H32" s="157"/>
      <c r="I32" s="157"/>
      <c r="J32" s="158"/>
      <c r="L32" s="165"/>
    </row>
    <row r="33" spans="3:17" x14ac:dyDescent="0.25">
      <c r="C33" s="49"/>
      <c r="D33" s="50"/>
      <c r="E33" s="50"/>
      <c r="F33" s="50"/>
      <c r="G33" s="50"/>
      <c r="H33" s="157"/>
      <c r="I33" s="157"/>
      <c r="J33" s="158"/>
      <c r="L33" s="165"/>
    </row>
    <row r="34" spans="3:17" x14ac:dyDescent="0.25">
      <c r="C34" s="49"/>
      <c r="D34" s="50"/>
      <c r="E34" s="50"/>
      <c r="F34" s="50"/>
      <c r="G34" s="50"/>
      <c r="H34" s="157"/>
      <c r="I34" s="157"/>
      <c r="J34" s="158"/>
      <c r="L34" s="165"/>
    </row>
    <row r="35" spans="3:17" x14ac:dyDescent="0.25">
      <c r="C35" s="49"/>
      <c r="D35" s="50"/>
      <c r="E35" s="50"/>
      <c r="F35" s="50"/>
      <c r="G35" s="50"/>
      <c r="H35" s="157"/>
      <c r="I35" s="157"/>
      <c r="J35" s="158"/>
      <c r="L35" s="165"/>
    </row>
    <row r="36" spans="3:17" x14ac:dyDescent="0.25">
      <c r="C36" s="49"/>
      <c r="D36" s="50"/>
      <c r="E36" s="50"/>
      <c r="F36" s="50"/>
      <c r="G36" s="50"/>
      <c r="H36" s="157"/>
      <c r="I36" s="157"/>
      <c r="J36" s="158"/>
      <c r="L36" s="165"/>
    </row>
    <row r="37" spans="3:17" x14ac:dyDescent="0.25">
      <c r="C37" s="49"/>
      <c r="D37" s="50"/>
      <c r="E37" s="50"/>
      <c r="F37" s="50"/>
      <c r="G37" s="50"/>
      <c r="H37" s="157"/>
      <c r="I37" s="157"/>
      <c r="J37" s="158"/>
      <c r="L37" s="165"/>
    </row>
    <row r="38" spans="3:17" x14ac:dyDescent="0.25">
      <c r="C38" s="49"/>
      <c r="D38" s="50"/>
      <c r="E38" s="50"/>
      <c r="F38" s="50"/>
      <c r="G38" s="50"/>
      <c r="H38" s="157"/>
      <c r="I38" s="157"/>
      <c r="J38" s="158"/>
      <c r="L38" s="165"/>
    </row>
    <row r="39" spans="3:17" x14ac:dyDescent="0.25">
      <c r="C39" s="49"/>
      <c r="D39" s="50"/>
      <c r="E39" s="50"/>
      <c r="F39" s="50"/>
      <c r="G39" s="50"/>
      <c r="H39" s="157"/>
      <c r="I39" s="157"/>
      <c r="J39" s="158"/>
      <c r="L39" s="165"/>
    </row>
    <row r="40" spans="3:17" x14ac:dyDescent="0.25">
      <c r="C40" s="51"/>
      <c r="D40" s="159"/>
      <c r="E40" s="159"/>
      <c r="F40" s="159"/>
      <c r="G40" s="159"/>
      <c r="H40" s="160"/>
      <c r="I40" s="160"/>
      <c r="J40" s="161"/>
      <c r="L40" s="166"/>
    </row>
    <row r="43" spans="3:17" ht="15" customHeight="1" x14ac:dyDescent="0.25">
      <c r="C43" s="220" t="s">
        <v>77</v>
      </c>
      <c r="D43" s="221"/>
      <c r="E43" s="221"/>
      <c r="F43" s="221"/>
      <c r="G43" s="221"/>
      <c r="H43" s="221"/>
      <c r="I43" s="221"/>
      <c r="J43" s="221"/>
      <c r="K43" s="221"/>
      <c r="L43" s="222"/>
      <c r="M43" s="4"/>
      <c r="N43" s="4"/>
      <c r="O43" s="4"/>
      <c r="P43" s="4"/>
      <c r="Q43" s="4"/>
    </row>
    <row r="44" spans="3:17" x14ac:dyDescent="0.25">
      <c r="C44" s="229"/>
      <c r="D44" s="230"/>
      <c r="E44" s="230"/>
      <c r="F44" s="230"/>
      <c r="G44" s="230"/>
      <c r="H44" s="230"/>
      <c r="I44" s="230"/>
      <c r="J44" s="230"/>
      <c r="K44" s="230"/>
      <c r="L44" s="231"/>
      <c r="M44" s="4"/>
      <c r="N44" s="4"/>
      <c r="O44" s="4"/>
      <c r="P44" s="4"/>
      <c r="Q44" s="4"/>
    </row>
    <row r="45" spans="3:17" x14ac:dyDescent="0.25">
      <c r="C45" s="229"/>
      <c r="D45" s="230"/>
      <c r="E45" s="230"/>
      <c r="F45" s="230"/>
      <c r="G45" s="230"/>
      <c r="H45" s="230"/>
      <c r="I45" s="230"/>
      <c r="J45" s="230"/>
      <c r="K45" s="230"/>
      <c r="L45" s="231"/>
      <c r="M45" s="4"/>
      <c r="N45" s="4"/>
      <c r="O45" s="4"/>
      <c r="P45" s="4"/>
      <c r="Q45" s="4"/>
    </row>
    <row r="46" spans="3:17" x14ac:dyDescent="0.25">
      <c r="C46" s="229"/>
      <c r="D46" s="230"/>
      <c r="E46" s="230"/>
      <c r="F46" s="230"/>
      <c r="G46" s="230"/>
      <c r="H46" s="230"/>
      <c r="I46" s="230"/>
      <c r="J46" s="230"/>
      <c r="K46" s="230"/>
      <c r="L46" s="231"/>
      <c r="M46" s="4"/>
      <c r="N46" s="4"/>
      <c r="O46" s="4"/>
      <c r="P46" s="4"/>
      <c r="Q46" s="4"/>
    </row>
    <row r="47" spans="3:17" x14ac:dyDescent="0.25">
      <c r="C47" s="223"/>
      <c r="D47" s="265"/>
      <c r="E47" s="265"/>
      <c r="F47" s="265"/>
      <c r="G47" s="265"/>
      <c r="H47" s="265"/>
      <c r="I47" s="265"/>
      <c r="J47" s="265"/>
      <c r="K47" s="265"/>
      <c r="L47" s="225"/>
      <c r="M47" s="4"/>
      <c r="N47" s="4"/>
      <c r="O47" s="4"/>
      <c r="P47" s="4"/>
      <c r="Q47" s="4"/>
    </row>
  </sheetData>
  <mergeCells count="3">
    <mergeCell ref="C8:L9"/>
    <mergeCell ref="N21:Q25"/>
    <mergeCell ref="C43:L4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Createportfolio">
                <anchor moveWithCells="1">
                  <from>
                    <xdr:col>13</xdr:col>
                    <xdr:colOff>371475</xdr:colOff>
                    <xdr:row>22</xdr:row>
                    <xdr:rowOff>9525</xdr:rowOff>
                  </from>
                  <to>
                    <xdr:col>16</xdr:col>
                    <xdr:colOff>180975</xdr:colOff>
                    <xdr:row>23</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5E2CA4-0375-4C4C-A421-FA3FAC008FAF}">
  <sheetPr codeName="Sheet5"/>
  <dimension ref="C9:R49"/>
  <sheetViews>
    <sheetView zoomScale="80" zoomScaleNormal="80" workbookViewId="0">
      <selection activeCell="L15" sqref="L15"/>
    </sheetView>
  </sheetViews>
  <sheetFormatPr defaultRowHeight="15" x14ac:dyDescent="0.25"/>
  <cols>
    <col min="3" max="3" width="42.140625" customWidth="1"/>
    <col min="4" max="4" width="3.42578125" customWidth="1"/>
    <col min="6" max="6" width="21.28515625" customWidth="1"/>
    <col min="7" max="7" width="32.85546875" customWidth="1"/>
    <col min="8" max="8" width="14.140625" customWidth="1"/>
    <col min="9" max="9" width="20.7109375" customWidth="1"/>
    <col min="10" max="10" width="16.140625" customWidth="1"/>
    <col min="11" max="11" width="12" customWidth="1"/>
    <col min="12" max="12" width="11.28515625" customWidth="1"/>
    <col min="13" max="13" width="3.42578125" customWidth="1"/>
    <col min="14" max="14" width="33.5703125" customWidth="1"/>
    <col min="15" max="15" width="52.5703125" customWidth="1"/>
    <col min="16" max="16" width="3" customWidth="1"/>
    <col min="18" max="18" width="11.28515625" customWidth="1"/>
  </cols>
  <sheetData>
    <row r="9" spans="3:15" ht="15" customHeight="1" x14ac:dyDescent="0.25">
      <c r="C9" s="257" t="s">
        <v>120</v>
      </c>
      <c r="D9" s="258"/>
      <c r="E9" s="258"/>
      <c r="F9" s="258"/>
      <c r="G9" s="258"/>
      <c r="H9" s="258"/>
      <c r="I9" s="259"/>
      <c r="J9" s="4"/>
      <c r="K9" s="4"/>
      <c r="L9" s="4"/>
      <c r="M9" s="4"/>
      <c r="N9" s="4"/>
      <c r="O9" s="4"/>
    </row>
    <row r="10" spans="3:15" ht="15" customHeight="1" x14ac:dyDescent="0.25">
      <c r="C10" s="260"/>
      <c r="D10" s="268"/>
      <c r="E10" s="268"/>
      <c r="F10" s="268"/>
      <c r="G10" s="268"/>
      <c r="H10" s="268"/>
      <c r="I10" s="262"/>
      <c r="J10" s="4"/>
      <c r="K10" s="4"/>
      <c r="L10" s="4"/>
      <c r="M10" s="4"/>
      <c r="N10" s="4"/>
      <c r="O10" s="4"/>
    </row>
    <row r="11" spans="3:15" ht="15" customHeight="1" x14ac:dyDescent="0.25"/>
    <row r="12" spans="3:15" x14ac:dyDescent="0.25">
      <c r="C12" s="153" t="s">
        <v>30</v>
      </c>
      <c r="E12" s="266" t="s">
        <v>129</v>
      </c>
      <c r="F12" s="266"/>
      <c r="G12" s="266"/>
      <c r="H12" s="266"/>
      <c r="I12" s="266"/>
      <c r="J12" s="266"/>
      <c r="K12" s="266"/>
      <c r="L12" s="266"/>
      <c r="N12" s="267" t="s">
        <v>20</v>
      </c>
      <c r="O12" s="267"/>
    </row>
    <row r="13" spans="3:15" x14ac:dyDescent="0.25">
      <c r="C13" s="1"/>
    </row>
    <row r="14" spans="3:15" ht="15.75" thickBot="1" x14ac:dyDescent="0.3">
      <c r="C14" s="156" t="s">
        <v>10</v>
      </c>
      <c r="E14" s="167" t="s">
        <v>11</v>
      </c>
      <c r="F14" s="167" t="s">
        <v>2</v>
      </c>
      <c r="G14" s="167" t="s">
        <v>5</v>
      </c>
      <c r="H14" s="167" t="s">
        <v>12</v>
      </c>
      <c r="I14" s="167" t="s">
        <v>13</v>
      </c>
      <c r="J14" s="167" t="s">
        <v>135</v>
      </c>
      <c r="K14" s="167" t="s">
        <v>15</v>
      </c>
      <c r="L14" s="172" t="s">
        <v>136</v>
      </c>
      <c r="N14" s="6" t="s">
        <v>19</v>
      </c>
      <c r="O14" s="7" t="s">
        <v>18</v>
      </c>
    </row>
    <row r="15" spans="3:15" ht="22.5" customHeight="1" thickTop="1" x14ac:dyDescent="0.25">
      <c r="C15" s="35" t="s">
        <v>228</v>
      </c>
      <c r="E15" s="28" t="s">
        <v>154</v>
      </c>
      <c r="F15" s="29" t="str">
        <f t="shared" ref="F15:F28" si="0">IF(C15="","",Scope)</f>
        <v>DemoScope4</v>
      </c>
      <c r="G15" s="29" t="str">
        <f t="shared" ref="G15:G18" si="1">IF(C15="","",C15)</f>
        <v>MySecurityClassification42462</v>
      </c>
      <c r="H15" s="29" t="str">
        <f t="shared" ref="H15" si="2">IF(C15="","", "TRUE")</f>
        <v>TRUE</v>
      </c>
      <c r="I15" s="29" t="str">
        <f t="shared" ref="I15:I18" si="3">IF(C15="","",C15)</f>
        <v>MySecurityClassification42462</v>
      </c>
      <c r="J15" s="30" t="str">
        <f t="shared" ref="J15" si="4">IF(C15="","","default:string")</f>
        <v>default:string</v>
      </c>
      <c r="K15" s="31" t="str">
        <f>IF(C15="","","Perpetual")</f>
        <v>Perpetual</v>
      </c>
      <c r="L15" s="217"/>
      <c r="N15" s="37" t="s">
        <v>19</v>
      </c>
      <c r="O15" s="215" t="s">
        <v>229</v>
      </c>
    </row>
    <row r="16" spans="3:15" x14ac:dyDescent="0.25">
      <c r="C16" s="35"/>
      <c r="E16" s="28"/>
      <c r="F16" s="29" t="str">
        <f t="shared" ref="F16:F17" si="5">IF(C16="","",Scope)</f>
        <v/>
      </c>
      <c r="G16" s="29" t="str">
        <f t="shared" ref="G16:G17" si="6">IF(C16="","",C16)</f>
        <v/>
      </c>
      <c r="H16" s="29" t="str">
        <f t="shared" ref="H16:H17" si="7">IF(C16="","", "TRUE")</f>
        <v/>
      </c>
      <c r="I16" s="29" t="str">
        <f t="shared" ref="I16:I17" si="8">IF(C16="","",C16)</f>
        <v/>
      </c>
      <c r="J16" s="30" t="str">
        <f t="shared" ref="J16:J17" si="9">IF(C16="","","default:string")</f>
        <v/>
      </c>
      <c r="K16" s="29" t="str">
        <f t="shared" ref="K16:K17" si="10">IF(C16="","","asc")</f>
        <v/>
      </c>
      <c r="L16" s="31" t="str">
        <f t="shared" ref="L16:L17" si="11">IF(C16="","","Perpetual")</f>
        <v/>
      </c>
      <c r="N16" s="37"/>
      <c r="O16" s="215"/>
    </row>
    <row r="17" spans="3:18" x14ac:dyDescent="0.25">
      <c r="C17" s="35"/>
      <c r="E17" s="28"/>
      <c r="F17" s="29" t="str">
        <f t="shared" si="5"/>
        <v/>
      </c>
      <c r="G17" s="29" t="str">
        <f t="shared" si="6"/>
        <v/>
      </c>
      <c r="H17" s="29" t="str">
        <f t="shared" si="7"/>
        <v/>
      </c>
      <c r="I17" s="29" t="str">
        <f t="shared" si="8"/>
        <v/>
      </c>
      <c r="J17" s="30" t="str">
        <f t="shared" si="9"/>
        <v/>
      </c>
      <c r="K17" s="29" t="str">
        <f t="shared" si="10"/>
        <v/>
      </c>
      <c r="L17" s="31" t="str">
        <f t="shared" si="11"/>
        <v/>
      </c>
      <c r="N17" s="37"/>
      <c r="O17" s="216"/>
    </row>
    <row r="18" spans="3:18" x14ac:dyDescent="0.25">
      <c r="C18" s="35"/>
      <c r="E18" s="28"/>
      <c r="F18" s="29" t="str">
        <f t="shared" si="0"/>
        <v/>
      </c>
      <c r="G18" s="29" t="str">
        <f t="shared" si="1"/>
        <v/>
      </c>
      <c r="H18" s="29" t="str">
        <f t="shared" ref="H18" si="12">IF(C18="","", "TRUE")</f>
        <v/>
      </c>
      <c r="I18" s="29" t="str">
        <f t="shared" si="3"/>
        <v/>
      </c>
      <c r="J18" s="30" t="str">
        <f>IF(C18="","","default:string")</f>
        <v/>
      </c>
      <c r="K18" s="29" t="str">
        <f t="shared" ref="K18:K27" si="13">IF(C18="","","asc")</f>
        <v/>
      </c>
      <c r="L18" s="31" t="str">
        <f t="shared" ref="L18:L27" si="14">IF(C18="","","Perpetual")</f>
        <v/>
      </c>
      <c r="N18" s="39"/>
      <c r="O18" s="216"/>
    </row>
    <row r="19" spans="3:18" x14ac:dyDescent="0.25">
      <c r="C19" s="35"/>
      <c r="E19" s="28"/>
      <c r="F19" s="29" t="str">
        <f t="shared" si="0"/>
        <v/>
      </c>
      <c r="G19" s="29" t="str">
        <f>IF(C19="","",C19)</f>
        <v/>
      </c>
      <c r="H19" s="29" t="str">
        <f>IF(C19="","", "TRUE")</f>
        <v/>
      </c>
      <c r="I19" s="29" t="str">
        <f>IF(C19="","",C19)</f>
        <v/>
      </c>
      <c r="J19" s="30" t="str">
        <f>IF(C19="","","default:string")</f>
        <v/>
      </c>
      <c r="K19" s="29" t="str">
        <f t="shared" si="13"/>
        <v/>
      </c>
      <c r="L19" s="31" t="str">
        <f>IF(C19="","","Perpetual")</f>
        <v/>
      </c>
      <c r="N19" s="37"/>
      <c r="O19" s="216"/>
    </row>
    <row r="20" spans="3:18" x14ac:dyDescent="0.25">
      <c r="C20" s="35"/>
      <c r="E20" s="28"/>
      <c r="F20" s="29" t="str">
        <f t="shared" si="0"/>
        <v/>
      </c>
      <c r="G20" s="29" t="str">
        <f t="shared" ref="G20:G27" si="15">IF(C20="","",C20)</f>
        <v/>
      </c>
      <c r="H20" s="29" t="str">
        <f t="shared" ref="H20:H27" si="16">IF(C20="","", "TRUE")</f>
        <v/>
      </c>
      <c r="I20" s="29" t="str">
        <f t="shared" ref="I20:I27" si="17">IF(C20="","",C20)</f>
        <v/>
      </c>
      <c r="J20" s="30" t="str">
        <f t="shared" ref="J20:J27" si="18">IF(C20="","","default:string")</f>
        <v/>
      </c>
      <c r="K20" s="29" t="str">
        <f t="shared" si="13"/>
        <v/>
      </c>
      <c r="L20" s="31" t="str">
        <f t="shared" si="14"/>
        <v/>
      </c>
      <c r="N20" s="37"/>
      <c r="O20" s="215"/>
    </row>
    <row r="21" spans="3:18" x14ac:dyDescent="0.25">
      <c r="C21" s="35"/>
      <c r="E21" s="28"/>
      <c r="F21" s="29" t="str">
        <f t="shared" si="0"/>
        <v/>
      </c>
      <c r="G21" s="29" t="str">
        <f t="shared" si="15"/>
        <v/>
      </c>
      <c r="H21" s="29" t="str">
        <f t="shared" si="16"/>
        <v/>
      </c>
      <c r="I21" s="29" t="str">
        <f t="shared" si="17"/>
        <v/>
      </c>
      <c r="J21" s="30" t="str">
        <f t="shared" si="18"/>
        <v/>
      </c>
      <c r="K21" s="29" t="str">
        <f t="shared" si="13"/>
        <v/>
      </c>
      <c r="L21" s="31" t="str">
        <f t="shared" si="14"/>
        <v/>
      </c>
      <c r="N21" s="37"/>
      <c r="O21" s="216"/>
    </row>
    <row r="22" spans="3:18" x14ac:dyDescent="0.25">
      <c r="C22" s="35"/>
      <c r="E22" s="28"/>
      <c r="F22" s="29" t="str">
        <f t="shared" si="0"/>
        <v/>
      </c>
      <c r="G22" s="29" t="str">
        <f t="shared" si="15"/>
        <v/>
      </c>
      <c r="H22" s="29" t="str">
        <f t="shared" si="16"/>
        <v/>
      </c>
      <c r="I22" s="29" t="str">
        <f t="shared" si="17"/>
        <v/>
      </c>
      <c r="J22" s="30" t="str">
        <f t="shared" si="18"/>
        <v/>
      </c>
      <c r="K22" s="29" t="str">
        <f t="shared" si="13"/>
        <v/>
      </c>
      <c r="L22" s="31" t="str">
        <f t="shared" si="14"/>
        <v/>
      </c>
      <c r="N22" s="37"/>
      <c r="O22" s="216"/>
    </row>
    <row r="23" spans="3:18" x14ac:dyDescent="0.25">
      <c r="C23" s="35"/>
      <c r="E23" s="28"/>
      <c r="F23" s="29" t="str">
        <f t="shared" si="0"/>
        <v/>
      </c>
      <c r="G23" s="29" t="str">
        <f t="shared" si="15"/>
        <v/>
      </c>
      <c r="H23" s="29" t="str">
        <f t="shared" si="16"/>
        <v/>
      </c>
      <c r="I23" s="29" t="str">
        <f t="shared" si="17"/>
        <v/>
      </c>
      <c r="J23" s="30" t="str">
        <f t="shared" si="18"/>
        <v/>
      </c>
      <c r="K23" s="29" t="str">
        <f t="shared" si="13"/>
        <v/>
      </c>
      <c r="L23" s="31" t="str">
        <f t="shared" si="14"/>
        <v/>
      </c>
      <c r="N23" s="37"/>
      <c r="O23" s="216"/>
    </row>
    <row r="24" spans="3:18" x14ac:dyDescent="0.25">
      <c r="C24" s="35"/>
      <c r="E24" s="28"/>
      <c r="F24" s="29" t="str">
        <f t="shared" si="0"/>
        <v/>
      </c>
      <c r="G24" s="29" t="str">
        <f t="shared" si="15"/>
        <v/>
      </c>
      <c r="H24" s="29" t="str">
        <f t="shared" si="16"/>
        <v/>
      </c>
      <c r="I24" s="29" t="str">
        <f t="shared" si="17"/>
        <v/>
      </c>
      <c r="J24" s="30" t="str">
        <f t="shared" si="18"/>
        <v/>
      </c>
      <c r="K24" s="29" t="str">
        <f t="shared" si="13"/>
        <v/>
      </c>
      <c r="L24" s="31" t="str">
        <f t="shared" si="14"/>
        <v/>
      </c>
      <c r="N24" s="37"/>
      <c r="O24" s="216"/>
    </row>
    <row r="25" spans="3:18" x14ac:dyDescent="0.25">
      <c r="C25" s="35"/>
      <c r="E25" s="28"/>
      <c r="F25" s="29" t="str">
        <f t="shared" si="0"/>
        <v/>
      </c>
      <c r="G25" s="29" t="str">
        <f t="shared" si="15"/>
        <v/>
      </c>
      <c r="H25" s="29" t="str">
        <f t="shared" si="16"/>
        <v/>
      </c>
      <c r="I25" s="29" t="str">
        <f t="shared" si="17"/>
        <v/>
      </c>
      <c r="J25" s="30" t="str">
        <f t="shared" si="18"/>
        <v/>
      </c>
      <c r="K25" s="29" t="str">
        <f t="shared" si="13"/>
        <v/>
      </c>
      <c r="L25" s="31" t="str">
        <f t="shared" si="14"/>
        <v/>
      </c>
      <c r="N25" s="37"/>
      <c r="O25" s="216"/>
    </row>
    <row r="26" spans="3:18" x14ac:dyDescent="0.25">
      <c r="C26" s="35"/>
      <c r="E26" s="28"/>
      <c r="F26" s="29" t="str">
        <f t="shared" si="0"/>
        <v/>
      </c>
      <c r="G26" s="29" t="str">
        <f t="shared" si="15"/>
        <v/>
      </c>
      <c r="H26" s="29" t="str">
        <f t="shared" si="16"/>
        <v/>
      </c>
      <c r="I26" s="29" t="str">
        <f t="shared" si="17"/>
        <v/>
      </c>
      <c r="J26" s="30" t="str">
        <f t="shared" si="18"/>
        <v/>
      </c>
      <c r="K26" s="29" t="str">
        <f t="shared" si="13"/>
        <v/>
      </c>
      <c r="L26" s="31" t="str">
        <f t="shared" si="14"/>
        <v/>
      </c>
      <c r="N26" s="37"/>
      <c r="O26" s="216"/>
      <c r="Q26" s="264" t="s">
        <v>22</v>
      </c>
      <c r="R26" s="264"/>
    </row>
    <row r="27" spans="3:18" x14ac:dyDescent="0.25">
      <c r="C27" s="35"/>
      <c r="E27" s="28"/>
      <c r="F27" s="29" t="str">
        <f t="shared" si="0"/>
        <v/>
      </c>
      <c r="G27" s="29" t="str">
        <f t="shared" si="15"/>
        <v/>
      </c>
      <c r="H27" s="29" t="str">
        <f t="shared" si="16"/>
        <v/>
      </c>
      <c r="I27" s="29" t="str">
        <f t="shared" si="17"/>
        <v/>
      </c>
      <c r="J27" s="30" t="str">
        <f t="shared" si="18"/>
        <v/>
      </c>
      <c r="K27" s="29" t="str">
        <f t="shared" si="13"/>
        <v/>
      </c>
      <c r="L27" s="31" t="str">
        <f t="shared" si="14"/>
        <v/>
      </c>
      <c r="N27" s="37"/>
      <c r="O27" s="216"/>
      <c r="Q27" s="264"/>
      <c r="R27" s="264"/>
    </row>
    <row r="28" spans="3:18" x14ac:dyDescent="0.25">
      <c r="C28" s="35"/>
      <c r="E28" s="28"/>
      <c r="F28" s="29" t="str">
        <f t="shared" si="0"/>
        <v/>
      </c>
      <c r="G28" s="29" t="str">
        <f t="shared" ref="G28:G42" si="19">IF(C28="","",C28)</f>
        <v/>
      </c>
      <c r="H28" s="29" t="str">
        <f t="shared" ref="H28:H42" si="20">IF(C28="","", "TRUE")</f>
        <v/>
      </c>
      <c r="I28" s="29" t="str">
        <f t="shared" ref="I28:I42" si="21">IF(C28="","",C28)</f>
        <v/>
      </c>
      <c r="J28" s="30" t="str">
        <f t="shared" ref="J28:J42" si="22">IF(C28="","","default:string")</f>
        <v/>
      </c>
      <c r="K28" s="29" t="str">
        <f t="shared" ref="K28:K42" si="23">IF(C28="","","asc")</f>
        <v/>
      </c>
      <c r="L28" s="31" t="str">
        <f t="shared" ref="L28:L42" si="24">IF(C28="","","Perpetual")</f>
        <v/>
      </c>
      <c r="N28" s="37"/>
      <c r="O28" s="216"/>
      <c r="Q28" s="264"/>
      <c r="R28" s="264"/>
    </row>
    <row r="29" spans="3:18" x14ac:dyDescent="0.25">
      <c r="C29" s="35"/>
      <c r="E29" s="28"/>
      <c r="F29" s="29"/>
      <c r="G29" s="29" t="str">
        <f t="shared" si="19"/>
        <v/>
      </c>
      <c r="H29" s="29" t="str">
        <f t="shared" si="20"/>
        <v/>
      </c>
      <c r="I29" s="29" t="str">
        <f t="shared" si="21"/>
        <v/>
      </c>
      <c r="J29" s="30" t="str">
        <f t="shared" si="22"/>
        <v/>
      </c>
      <c r="K29" s="29" t="str">
        <f t="shared" si="23"/>
        <v/>
      </c>
      <c r="L29" s="31" t="str">
        <f t="shared" si="24"/>
        <v/>
      </c>
      <c r="N29" s="37"/>
      <c r="O29" s="38"/>
      <c r="Q29" s="264"/>
      <c r="R29" s="264"/>
    </row>
    <row r="30" spans="3:18" x14ac:dyDescent="0.25">
      <c r="C30" s="35"/>
      <c r="E30" s="28"/>
      <c r="F30" s="29"/>
      <c r="G30" s="29" t="str">
        <f t="shared" si="19"/>
        <v/>
      </c>
      <c r="H30" s="29" t="str">
        <f t="shared" si="20"/>
        <v/>
      </c>
      <c r="I30" s="29" t="str">
        <f t="shared" si="21"/>
        <v/>
      </c>
      <c r="J30" s="30" t="str">
        <f t="shared" si="22"/>
        <v/>
      </c>
      <c r="K30" s="29" t="str">
        <f t="shared" si="23"/>
        <v/>
      </c>
      <c r="L30" s="31" t="str">
        <f t="shared" si="24"/>
        <v/>
      </c>
      <c r="N30" s="37"/>
      <c r="O30" s="38"/>
    </row>
    <row r="31" spans="3:18" x14ac:dyDescent="0.25">
      <c r="C31" s="35"/>
      <c r="E31" s="28"/>
      <c r="F31" s="29"/>
      <c r="G31" s="29" t="str">
        <f t="shared" si="19"/>
        <v/>
      </c>
      <c r="H31" s="29" t="str">
        <f t="shared" si="20"/>
        <v/>
      </c>
      <c r="I31" s="29" t="str">
        <f t="shared" si="21"/>
        <v/>
      </c>
      <c r="J31" s="30" t="str">
        <f t="shared" si="22"/>
        <v/>
      </c>
      <c r="K31" s="29" t="str">
        <f t="shared" si="23"/>
        <v/>
      </c>
      <c r="L31" s="31" t="str">
        <f t="shared" si="24"/>
        <v/>
      </c>
      <c r="N31" s="37"/>
      <c r="O31" s="38"/>
    </row>
    <row r="32" spans="3:18" x14ac:dyDescent="0.25">
      <c r="C32" s="35"/>
      <c r="E32" s="28"/>
      <c r="F32" s="29"/>
      <c r="G32" s="29" t="str">
        <f t="shared" si="19"/>
        <v/>
      </c>
      <c r="H32" s="29" t="str">
        <f t="shared" si="20"/>
        <v/>
      </c>
      <c r="I32" s="29" t="str">
        <f t="shared" si="21"/>
        <v/>
      </c>
      <c r="J32" s="30" t="str">
        <f t="shared" si="22"/>
        <v/>
      </c>
      <c r="K32" s="29" t="str">
        <f t="shared" si="23"/>
        <v/>
      </c>
      <c r="L32" s="31" t="str">
        <f t="shared" si="24"/>
        <v/>
      </c>
      <c r="N32" s="37"/>
      <c r="O32" s="38"/>
      <c r="Q32" s="1"/>
      <c r="R32" s="1"/>
    </row>
    <row r="33" spans="3:18" x14ac:dyDescent="0.25">
      <c r="C33" s="35"/>
      <c r="E33" s="28"/>
      <c r="F33" s="29"/>
      <c r="G33" s="29" t="str">
        <f t="shared" si="19"/>
        <v/>
      </c>
      <c r="H33" s="29" t="str">
        <f t="shared" si="20"/>
        <v/>
      </c>
      <c r="I33" s="29" t="str">
        <f t="shared" si="21"/>
        <v/>
      </c>
      <c r="J33" s="30" t="str">
        <f t="shared" si="22"/>
        <v/>
      </c>
      <c r="K33" s="29" t="str">
        <f t="shared" si="23"/>
        <v/>
      </c>
      <c r="L33" s="31" t="str">
        <f t="shared" si="24"/>
        <v/>
      </c>
      <c r="N33" s="37"/>
      <c r="O33" s="38"/>
      <c r="Q33" s="1"/>
      <c r="R33" s="1"/>
    </row>
    <row r="34" spans="3:18" x14ac:dyDescent="0.25">
      <c r="C34" s="35"/>
      <c r="E34" s="28"/>
      <c r="F34" s="29"/>
      <c r="G34" s="29" t="str">
        <f t="shared" si="19"/>
        <v/>
      </c>
      <c r="H34" s="29" t="str">
        <f t="shared" si="20"/>
        <v/>
      </c>
      <c r="I34" s="29" t="str">
        <f t="shared" si="21"/>
        <v/>
      </c>
      <c r="J34" s="30" t="str">
        <f t="shared" si="22"/>
        <v/>
      </c>
      <c r="K34" s="29" t="str">
        <f t="shared" si="23"/>
        <v/>
      </c>
      <c r="L34" s="31" t="str">
        <f t="shared" si="24"/>
        <v/>
      </c>
      <c r="N34" s="37"/>
      <c r="O34" s="38"/>
      <c r="Q34" s="1"/>
      <c r="R34" s="1"/>
    </row>
    <row r="35" spans="3:18" x14ac:dyDescent="0.25">
      <c r="C35" s="35"/>
      <c r="E35" s="28"/>
      <c r="F35" s="29"/>
      <c r="G35" s="29" t="str">
        <f t="shared" si="19"/>
        <v/>
      </c>
      <c r="H35" s="29" t="str">
        <f t="shared" si="20"/>
        <v/>
      </c>
      <c r="I35" s="29" t="str">
        <f t="shared" si="21"/>
        <v/>
      </c>
      <c r="J35" s="30" t="str">
        <f t="shared" si="22"/>
        <v/>
      </c>
      <c r="K35" s="29" t="str">
        <f t="shared" si="23"/>
        <v/>
      </c>
      <c r="L35" s="31" t="str">
        <f t="shared" si="24"/>
        <v/>
      </c>
      <c r="N35" s="37"/>
      <c r="O35" s="38"/>
    </row>
    <row r="36" spans="3:18" x14ac:dyDescent="0.25">
      <c r="C36" s="35"/>
      <c r="E36" s="28"/>
      <c r="F36" s="29"/>
      <c r="G36" s="29" t="str">
        <f t="shared" si="19"/>
        <v/>
      </c>
      <c r="H36" s="29" t="str">
        <f t="shared" si="20"/>
        <v/>
      </c>
      <c r="I36" s="29" t="str">
        <f t="shared" si="21"/>
        <v/>
      </c>
      <c r="J36" s="30" t="str">
        <f t="shared" si="22"/>
        <v/>
      </c>
      <c r="K36" s="29" t="str">
        <f t="shared" si="23"/>
        <v/>
      </c>
      <c r="L36" s="31" t="str">
        <f t="shared" si="24"/>
        <v/>
      </c>
      <c r="N36" s="37"/>
      <c r="O36" s="38"/>
    </row>
    <row r="37" spans="3:18" x14ac:dyDescent="0.25">
      <c r="C37" s="35"/>
      <c r="E37" s="28"/>
      <c r="F37" s="29"/>
      <c r="G37" s="29" t="str">
        <f t="shared" si="19"/>
        <v/>
      </c>
      <c r="H37" s="29" t="str">
        <f t="shared" si="20"/>
        <v/>
      </c>
      <c r="I37" s="29" t="str">
        <f t="shared" si="21"/>
        <v/>
      </c>
      <c r="J37" s="30" t="str">
        <f t="shared" si="22"/>
        <v/>
      </c>
      <c r="K37" s="29" t="str">
        <f t="shared" si="23"/>
        <v/>
      </c>
      <c r="L37" s="31" t="str">
        <f t="shared" si="24"/>
        <v/>
      </c>
      <c r="N37" s="37"/>
      <c r="O37" s="38"/>
    </row>
    <row r="38" spans="3:18" x14ac:dyDescent="0.25">
      <c r="C38" s="35"/>
      <c r="E38" s="28"/>
      <c r="F38" s="29"/>
      <c r="G38" s="29" t="str">
        <f t="shared" si="19"/>
        <v/>
      </c>
      <c r="H38" s="29" t="str">
        <f t="shared" si="20"/>
        <v/>
      </c>
      <c r="I38" s="29" t="str">
        <f t="shared" si="21"/>
        <v/>
      </c>
      <c r="J38" s="30" t="str">
        <f t="shared" si="22"/>
        <v/>
      </c>
      <c r="K38" s="29" t="str">
        <f t="shared" si="23"/>
        <v/>
      </c>
      <c r="L38" s="31" t="str">
        <f t="shared" si="24"/>
        <v/>
      </c>
      <c r="N38" s="37"/>
      <c r="O38" s="38"/>
    </row>
    <row r="39" spans="3:18" x14ac:dyDescent="0.25">
      <c r="C39" s="35"/>
      <c r="E39" s="28"/>
      <c r="F39" s="29"/>
      <c r="G39" s="29" t="str">
        <f t="shared" si="19"/>
        <v/>
      </c>
      <c r="H39" s="29" t="str">
        <f t="shared" si="20"/>
        <v/>
      </c>
      <c r="I39" s="29" t="str">
        <f t="shared" si="21"/>
        <v/>
      </c>
      <c r="J39" s="30" t="str">
        <f t="shared" si="22"/>
        <v/>
      </c>
      <c r="K39" s="29" t="str">
        <f t="shared" si="23"/>
        <v/>
      </c>
      <c r="L39" s="31" t="str">
        <f t="shared" si="24"/>
        <v/>
      </c>
      <c r="N39" s="37"/>
      <c r="O39" s="38"/>
    </row>
    <row r="40" spans="3:18" x14ac:dyDescent="0.25">
      <c r="C40" s="35"/>
      <c r="E40" s="28"/>
      <c r="F40" s="29"/>
      <c r="G40" s="29" t="str">
        <f t="shared" si="19"/>
        <v/>
      </c>
      <c r="H40" s="29" t="str">
        <f t="shared" si="20"/>
        <v/>
      </c>
      <c r="I40" s="29" t="str">
        <f t="shared" si="21"/>
        <v/>
      </c>
      <c r="J40" s="30" t="str">
        <f t="shared" si="22"/>
        <v/>
      </c>
      <c r="K40" s="29" t="str">
        <f t="shared" si="23"/>
        <v/>
      </c>
      <c r="L40" s="31" t="str">
        <f t="shared" si="24"/>
        <v/>
      </c>
      <c r="N40" s="37"/>
      <c r="O40" s="38"/>
    </row>
    <row r="41" spans="3:18" x14ac:dyDescent="0.25">
      <c r="C41" s="35"/>
      <c r="E41" s="28"/>
      <c r="F41" s="29"/>
      <c r="G41" s="29" t="str">
        <f t="shared" si="19"/>
        <v/>
      </c>
      <c r="H41" s="29" t="str">
        <f t="shared" si="20"/>
        <v/>
      </c>
      <c r="I41" s="29" t="str">
        <f t="shared" si="21"/>
        <v/>
      </c>
      <c r="J41" s="30" t="str">
        <f t="shared" si="22"/>
        <v/>
      </c>
      <c r="K41" s="29" t="str">
        <f t="shared" si="23"/>
        <v/>
      </c>
      <c r="L41" s="31" t="str">
        <f t="shared" si="24"/>
        <v/>
      </c>
      <c r="N41" s="37"/>
      <c r="O41" s="38"/>
    </row>
    <row r="42" spans="3:18" x14ac:dyDescent="0.25">
      <c r="C42" s="35"/>
      <c r="E42" s="28"/>
      <c r="F42" s="29"/>
      <c r="G42" s="29" t="str">
        <f t="shared" si="19"/>
        <v/>
      </c>
      <c r="H42" s="29" t="str">
        <f t="shared" si="20"/>
        <v/>
      </c>
      <c r="I42" s="29" t="str">
        <f t="shared" si="21"/>
        <v/>
      </c>
      <c r="J42" s="30" t="str">
        <f t="shared" si="22"/>
        <v/>
      </c>
      <c r="K42" s="29" t="str">
        <f t="shared" si="23"/>
        <v/>
      </c>
      <c r="L42" s="31" t="str">
        <f t="shared" si="24"/>
        <v/>
      </c>
      <c r="N42" s="37"/>
      <c r="O42" s="38"/>
    </row>
    <row r="43" spans="3:18" x14ac:dyDescent="0.25">
      <c r="C43" s="36"/>
      <c r="E43" s="28"/>
      <c r="F43" s="32"/>
      <c r="G43" s="32" t="str">
        <f t="shared" ref="G43" si="25">IF(C43="","",C43)</f>
        <v/>
      </c>
      <c r="H43" s="32" t="str">
        <f t="shared" ref="H43" si="26">IF(C43="","", "TRUE")</f>
        <v/>
      </c>
      <c r="I43" s="32" t="str">
        <f t="shared" ref="I43" si="27">IF(C43="","",C43)</f>
        <v/>
      </c>
      <c r="J43" s="33" t="str">
        <f t="shared" ref="J43" si="28">IF(C43="","","default:string")</f>
        <v/>
      </c>
      <c r="K43" s="32" t="str">
        <f t="shared" ref="K43" si="29">IF(C43="","","asc")</f>
        <v/>
      </c>
      <c r="L43" s="34" t="str">
        <f t="shared" ref="L43" si="30">IF(C43="","","Perpetual")</f>
        <v/>
      </c>
      <c r="N43" s="40"/>
      <c r="O43" s="41"/>
    </row>
    <row r="45" spans="3:18" ht="15" customHeight="1" x14ac:dyDescent="0.25">
      <c r="C45" s="220" t="s">
        <v>21</v>
      </c>
      <c r="D45" s="221"/>
      <c r="E45" s="221"/>
      <c r="F45" s="221"/>
      <c r="G45" s="221"/>
      <c r="H45" s="221"/>
      <c r="I45" s="221"/>
      <c r="J45" s="221"/>
      <c r="K45" s="221"/>
      <c r="L45" s="221"/>
      <c r="M45" s="221"/>
      <c r="N45" s="221"/>
      <c r="O45" s="222"/>
    </row>
    <row r="46" spans="3:18" x14ac:dyDescent="0.25">
      <c r="C46" s="229"/>
      <c r="D46" s="230"/>
      <c r="E46" s="230"/>
      <c r="F46" s="230"/>
      <c r="G46" s="230"/>
      <c r="H46" s="230"/>
      <c r="I46" s="230"/>
      <c r="J46" s="230"/>
      <c r="K46" s="230"/>
      <c r="L46" s="230"/>
      <c r="M46" s="230"/>
      <c r="N46" s="230"/>
      <c r="O46" s="231"/>
    </row>
    <row r="47" spans="3:18" x14ac:dyDescent="0.25">
      <c r="C47" s="229"/>
      <c r="D47" s="230"/>
      <c r="E47" s="230"/>
      <c r="F47" s="230"/>
      <c r="G47" s="230"/>
      <c r="H47" s="230"/>
      <c r="I47" s="230"/>
      <c r="J47" s="230"/>
      <c r="K47" s="230"/>
      <c r="L47" s="230"/>
      <c r="M47" s="230"/>
      <c r="N47" s="230"/>
      <c r="O47" s="231"/>
    </row>
    <row r="48" spans="3:18" x14ac:dyDescent="0.25">
      <c r="C48" s="229"/>
      <c r="D48" s="230"/>
      <c r="E48" s="230"/>
      <c r="F48" s="230"/>
      <c r="G48" s="230"/>
      <c r="H48" s="230"/>
      <c r="I48" s="230"/>
      <c r="J48" s="230"/>
      <c r="K48" s="230"/>
      <c r="L48" s="230"/>
      <c r="M48" s="230"/>
      <c r="N48" s="230"/>
      <c r="O48" s="231"/>
    </row>
    <row r="49" spans="3:15" x14ac:dyDescent="0.25">
      <c r="C49" s="223"/>
      <c r="D49" s="224"/>
      <c r="E49" s="224"/>
      <c r="F49" s="224"/>
      <c r="G49" s="224"/>
      <c r="H49" s="224"/>
      <c r="I49" s="224"/>
      <c r="J49" s="224"/>
      <c r="K49" s="224"/>
      <c r="L49" s="224"/>
      <c r="M49" s="224"/>
      <c r="N49" s="224"/>
      <c r="O49" s="225"/>
    </row>
  </sheetData>
  <mergeCells count="5">
    <mergeCell ref="Q26:R29"/>
    <mergeCell ref="C45:O49"/>
    <mergeCell ref="E12:L12"/>
    <mergeCell ref="N12:O12"/>
    <mergeCell ref="C9:I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do_CreateSecurityProperties">
                <anchor moveWithCells="1">
                  <from>
                    <xdr:col>16</xdr:col>
                    <xdr:colOff>76200</xdr:colOff>
                    <xdr:row>26</xdr:row>
                    <xdr:rowOff>123825</xdr:rowOff>
                  </from>
                  <to>
                    <xdr:col>17</xdr:col>
                    <xdr:colOff>676275</xdr:colOff>
                    <xdr:row>28</xdr:row>
                    <xdr:rowOff>95250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A79C5-BAEF-44BE-B38A-14938A9B8763}">
  <sheetPr codeName="Sheet6"/>
  <dimension ref="B6:O52"/>
  <sheetViews>
    <sheetView zoomScale="80" zoomScaleNormal="80" workbookViewId="0">
      <selection activeCell="D32" sqref="D32"/>
    </sheetView>
  </sheetViews>
  <sheetFormatPr defaultRowHeight="15" x14ac:dyDescent="0.25"/>
  <cols>
    <col min="1" max="1" width="15.42578125" customWidth="1"/>
    <col min="2" max="2" width="4.140625" customWidth="1"/>
    <col min="3" max="3" width="31.7109375" customWidth="1"/>
    <col min="4" max="4" width="14.28515625" customWidth="1"/>
    <col min="5" max="5" width="49.42578125" customWidth="1"/>
    <col min="6" max="6" width="29.140625" customWidth="1"/>
    <col min="7" max="7" width="33.5703125" customWidth="1"/>
    <col min="8" max="8" width="26.85546875" customWidth="1"/>
    <col min="9" max="9" width="33.42578125" customWidth="1"/>
    <col min="10" max="10" width="16.7109375" customWidth="1"/>
    <col min="11" max="11" width="6" customWidth="1"/>
  </cols>
  <sheetData>
    <row r="6" spans="2:10" x14ac:dyDescent="0.25">
      <c r="H6" s="12"/>
    </row>
    <row r="7" spans="2:10" x14ac:dyDescent="0.25">
      <c r="J7" t="str">
        <f>LEFT($E14,1)</f>
        <v>I</v>
      </c>
    </row>
    <row r="9" spans="2:10" x14ac:dyDescent="0.25">
      <c r="C9" s="269" t="s">
        <v>121</v>
      </c>
      <c r="D9" s="270"/>
      <c r="E9" s="270"/>
      <c r="F9" s="271"/>
    </row>
    <row r="10" spans="2:10" x14ac:dyDescent="0.25">
      <c r="C10" s="272"/>
      <c r="D10" s="273"/>
      <c r="E10" s="273"/>
      <c r="F10" s="274"/>
    </row>
    <row r="11" spans="2:10" x14ac:dyDescent="0.25">
      <c r="C11" s="5"/>
      <c r="D11" s="5"/>
      <c r="E11" s="5"/>
      <c r="F11" s="5"/>
    </row>
    <row r="12" spans="2:10" x14ac:dyDescent="0.25">
      <c r="C12" s="275" t="s">
        <v>35</v>
      </c>
      <c r="D12" s="276"/>
      <c r="E12" s="276"/>
      <c r="F12" s="276"/>
      <c r="G12" s="276"/>
      <c r="H12" s="276"/>
      <c r="I12" s="277"/>
    </row>
    <row r="13" spans="2:10" x14ac:dyDescent="0.25">
      <c r="C13" t="str">
        <f>_xll.fbnClassificationsAdd_Template()</f>
        <v>OK</v>
      </c>
    </row>
    <row r="14" spans="2:10" ht="15.75" customHeight="1" thickBot="1" x14ac:dyDescent="0.3">
      <c r="B14" s="2"/>
      <c r="C14" s="62" t="s">
        <v>8</v>
      </c>
      <c r="D14" s="109" t="s">
        <v>115</v>
      </c>
      <c r="E14" s="110" t="str">
        <f t="array" ref="E14:I14">TRANSPOSE(IF(ClassificationKeys="","",ClassificationKeys))</f>
        <v>Instrument/DemoScope4/MySecurityClassification42462</v>
      </c>
      <c r="F14" s="110" t="str">
        <v/>
      </c>
      <c r="G14" s="110" t="str">
        <v/>
      </c>
      <c r="H14" s="110" t="str">
        <v/>
      </c>
      <c r="I14" s="111" t="str">
        <v/>
      </c>
      <c r="J14" s="169"/>
    </row>
    <row r="15" spans="2:10" ht="15.75" thickTop="1" x14ac:dyDescent="0.25">
      <c r="B15" s="19">
        <v>1</v>
      </c>
      <c r="C15" s="80" t="str">
        <f>IF(Setup!D14=0,NA(),Setup!D14)</f>
        <v/>
      </c>
      <c r="D15" s="45" t="str">
        <f ca="1">IF(C15="","",TODAY())</f>
        <v/>
      </c>
      <c r="E15" s="85"/>
      <c r="F15" s="85"/>
      <c r="G15" s="85"/>
      <c r="H15" s="85"/>
      <c r="I15" s="112"/>
      <c r="J15" s="96" t="s">
        <v>19</v>
      </c>
    </row>
    <row r="16" spans="2:10" x14ac:dyDescent="0.25">
      <c r="B16" s="19">
        <v>2</v>
      </c>
      <c r="C16" s="80" t="str">
        <f>IF(Setup!D15=0,NA(),Setup!D15)</f>
        <v/>
      </c>
      <c r="D16" s="45" t="str">
        <f t="shared" ref="D16:D36" ca="1" si="0">IF(C16="","",TODAY())</f>
        <v/>
      </c>
      <c r="E16" s="85"/>
      <c r="F16" s="85"/>
      <c r="G16" s="85"/>
      <c r="H16" s="85"/>
      <c r="I16" s="112"/>
      <c r="J16" s="38"/>
    </row>
    <row r="17" spans="2:13" x14ac:dyDescent="0.25">
      <c r="B17" s="19">
        <v>3</v>
      </c>
      <c r="C17" s="80" t="str">
        <f>IF(Setup!D16=0,NA(),Setup!D16)</f>
        <v/>
      </c>
      <c r="D17" s="45" t="str">
        <f t="shared" ca="1" si="0"/>
        <v/>
      </c>
      <c r="E17" s="85"/>
      <c r="F17" s="85"/>
      <c r="G17" s="85"/>
      <c r="H17" s="85"/>
      <c r="I17" s="112"/>
      <c r="J17" s="38"/>
    </row>
    <row r="18" spans="2:13" x14ac:dyDescent="0.25">
      <c r="B18" s="19">
        <v>4</v>
      </c>
      <c r="C18" s="80" t="str">
        <f>IF(Setup!D17=0,NA(),Setup!D17)</f>
        <v/>
      </c>
      <c r="D18" s="45" t="str">
        <f t="shared" ca="1" si="0"/>
        <v/>
      </c>
      <c r="E18" s="85"/>
      <c r="F18" s="85"/>
      <c r="G18" s="85"/>
      <c r="H18" s="85"/>
      <c r="I18" s="112"/>
      <c r="J18" s="38"/>
    </row>
    <row r="19" spans="2:13" x14ac:dyDescent="0.25">
      <c r="B19" s="19">
        <v>5</v>
      </c>
      <c r="C19" s="80" t="str">
        <f>IF(Setup!D18=0,NA(),Setup!D18)</f>
        <v/>
      </c>
      <c r="D19" s="45" t="str">
        <f t="shared" ca="1" si="0"/>
        <v/>
      </c>
      <c r="E19" s="85"/>
      <c r="F19" s="85"/>
      <c r="G19" s="85"/>
      <c r="H19" s="85"/>
      <c r="I19" s="112"/>
      <c r="J19" s="38"/>
    </row>
    <row r="20" spans="2:13" x14ac:dyDescent="0.25">
      <c r="B20" s="19">
        <v>6</v>
      </c>
      <c r="C20" s="80" t="str">
        <f>IF(Setup!D19=0,NA(),Setup!D19)</f>
        <v/>
      </c>
      <c r="D20" s="45" t="str">
        <f t="shared" ca="1" si="0"/>
        <v/>
      </c>
      <c r="E20" s="85"/>
      <c r="F20" s="85"/>
      <c r="G20" s="85"/>
      <c r="H20" s="85"/>
      <c r="I20" s="112"/>
      <c r="J20" s="38"/>
    </row>
    <row r="21" spans="2:13" x14ac:dyDescent="0.25">
      <c r="B21" s="19">
        <v>7</v>
      </c>
      <c r="C21" s="80" t="str">
        <f>IF(Setup!D20=0,NA(),Setup!D20)</f>
        <v/>
      </c>
      <c r="D21" s="45" t="str">
        <f t="shared" ca="1" si="0"/>
        <v/>
      </c>
      <c r="E21" s="85"/>
      <c r="F21" s="85"/>
      <c r="G21" s="85"/>
      <c r="H21" s="85"/>
      <c r="I21" s="112"/>
      <c r="J21" s="38"/>
    </row>
    <row r="22" spans="2:13" x14ac:dyDescent="0.25">
      <c r="B22" s="19">
        <v>8</v>
      </c>
      <c r="C22" s="80" t="str">
        <f>IF(Setup!D21=0,NA(),Setup!D21)</f>
        <v/>
      </c>
      <c r="D22" s="45"/>
      <c r="E22" s="85" t="s">
        <v>224</v>
      </c>
      <c r="F22" s="85"/>
      <c r="G22" s="85"/>
      <c r="H22" s="85"/>
      <c r="I22" s="112"/>
      <c r="J22" s="38"/>
    </row>
    <row r="23" spans="2:13" x14ac:dyDescent="0.25">
      <c r="B23" s="19">
        <v>9</v>
      </c>
      <c r="C23" s="80" t="str">
        <f>IF(Setup!D22=0,NA(),Setup!D22)</f>
        <v/>
      </c>
      <c r="D23" s="45" t="str">
        <f t="shared" ca="1" si="0"/>
        <v/>
      </c>
      <c r="E23" s="85"/>
      <c r="F23" s="85"/>
      <c r="G23" s="85"/>
      <c r="H23" s="85"/>
      <c r="I23" s="112"/>
      <c r="J23" s="38"/>
    </row>
    <row r="24" spans="2:13" x14ac:dyDescent="0.25">
      <c r="B24" s="19">
        <v>10</v>
      </c>
      <c r="C24" s="80" t="str">
        <f>IF(Setup!D23=0,NA(),Setup!D23)</f>
        <v/>
      </c>
      <c r="D24" s="45" t="str">
        <f t="shared" ca="1" si="0"/>
        <v/>
      </c>
      <c r="E24" s="85"/>
      <c r="F24" s="85"/>
      <c r="G24" s="85"/>
      <c r="H24" s="85"/>
      <c r="I24" s="112"/>
      <c r="J24" s="38"/>
    </row>
    <row r="25" spans="2:13" x14ac:dyDescent="0.25">
      <c r="B25" s="19">
        <v>11</v>
      </c>
      <c r="C25" s="80" t="str">
        <f>IF(Setup!D24=0,NA(),Setup!D24)</f>
        <v/>
      </c>
      <c r="D25" s="45" t="str">
        <f t="shared" ca="1" si="0"/>
        <v/>
      </c>
      <c r="E25" s="85"/>
      <c r="F25" s="85"/>
      <c r="G25" s="85"/>
      <c r="H25" s="85"/>
      <c r="I25" s="112"/>
      <c r="J25" s="38"/>
    </row>
    <row r="26" spans="2:13" x14ac:dyDescent="0.25">
      <c r="B26" s="19">
        <v>12</v>
      </c>
      <c r="C26" s="80" t="str">
        <f>IF(Setup!D25=0,NA(),Setup!D25)</f>
        <v/>
      </c>
      <c r="D26" s="45"/>
      <c r="E26" s="85" t="s">
        <v>224</v>
      </c>
      <c r="F26" s="85"/>
      <c r="G26" s="85"/>
      <c r="H26" s="85"/>
      <c r="I26" s="112"/>
      <c r="J26" s="38"/>
    </row>
    <row r="27" spans="2:13" x14ac:dyDescent="0.25">
      <c r="B27" s="19">
        <v>13</v>
      </c>
      <c r="C27" s="80" t="str">
        <f>IF(Setup!D26=0,NA(),Setup!D26)</f>
        <v/>
      </c>
      <c r="D27" s="45" t="str">
        <f t="shared" ca="1" si="0"/>
        <v/>
      </c>
      <c r="E27" s="85"/>
      <c r="F27" s="85"/>
      <c r="G27" s="85"/>
      <c r="H27" s="85"/>
      <c r="I27" s="112"/>
      <c r="J27" s="38"/>
      <c r="L27" s="264" t="s">
        <v>23</v>
      </c>
      <c r="M27" s="264"/>
    </row>
    <row r="28" spans="2:13" x14ac:dyDescent="0.25">
      <c r="B28" s="19">
        <v>14</v>
      </c>
      <c r="C28" s="80" t="str">
        <f>IF(Setup!D27=0,NA(),Setup!D27)</f>
        <v/>
      </c>
      <c r="D28" s="45" t="str">
        <f t="shared" ca="1" si="0"/>
        <v/>
      </c>
      <c r="E28" s="85"/>
      <c r="F28" s="85"/>
      <c r="G28" s="85"/>
      <c r="H28" s="85"/>
      <c r="I28" s="112"/>
      <c r="J28" s="38"/>
      <c r="L28" s="264"/>
      <c r="M28" s="264"/>
    </row>
    <row r="29" spans="2:13" x14ac:dyDescent="0.25">
      <c r="B29" s="19">
        <v>15</v>
      </c>
      <c r="C29" s="80" t="str">
        <f>IF(Setup!D28=0,NA(),Setup!D28)</f>
        <v/>
      </c>
      <c r="D29" s="45" t="str">
        <f t="shared" ca="1" si="0"/>
        <v/>
      </c>
      <c r="E29" s="85"/>
      <c r="F29" s="85"/>
      <c r="G29" s="85"/>
      <c r="H29" s="85"/>
      <c r="I29" s="112"/>
      <c r="J29" s="38"/>
      <c r="L29" s="264"/>
      <c r="M29" s="264"/>
    </row>
    <row r="30" spans="2:13" x14ac:dyDescent="0.25">
      <c r="B30" s="19">
        <v>16</v>
      </c>
      <c r="C30" s="80" t="str">
        <f>IF(Setup!D29=0,NA(),Setup!D29)</f>
        <v/>
      </c>
      <c r="D30" s="45" t="str">
        <f t="shared" ca="1" si="0"/>
        <v/>
      </c>
      <c r="E30" s="85"/>
      <c r="F30" s="85"/>
      <c r="G30" s="85"/>
      <c r="H30" s="85"/>
      <c r="I30" s="112"/>
      <c r="J30" s="38"/>
      <c r="L30" s="264"/>
      <c r="M30" s="264"/>
    </row>
    <row r="31" spans="2:13" x14ac:dyDescent="0.25">
      <c r="B31" s="19">
        <v>17</v>
      </c>
      <c r="C31" s="80" t="str">
        <f>IF(Setup!D30=0,NA(),Setup!D30)</f>
        <v/>
      </c>
      <c r="D31" s="45" t="str">
        <f t="shared" ca="1" si="0"/>
        <v/>
      </c>
      <c r="E31" s="85"/>
      <c r="F31" s="85"/>
      <c r="G31" s="85"/>
      <c r="H31" s="85"/>
      <c r="I31" s="112"/>
      <c r="J31" s="38"/>
      <c r="L31" s="264"/>
      <c r="M31" s="264"/>
    </row>
    <row r="32" spans="2:13" x14ac:dyDescent="0.25">
      <c r="B32" s="19">
        <v>18</v>
      </c>
      <c r="C32" s="80" t="str">
        <f>IF(Setup!D31=0,NA(),Setup!D31)</f>
        <v/>
      </c>
      <c r="D32" s="45"/>
      <c r="E32" s="85" t="s">
        <v>224</v>
      </c>
      <c r="F32" s="85"/>
      <c r="G32" s="85"/>
      <c r="H32" s="85"/>
      <c r="I32" s="112"/>
      <c r="J32" s="38"/>
    </row>
    <row r="33" spans="2:15" x14ac:dyDescent="0.25">
      <c r="B33" s="19">
        <v>19</v>
      </c>
      <c r="C33" s="80" t="str">
        <f>IF(Setup!D32=0,NA(),Setup!D32)</f>
        <v/>
      </c>
      <c r="D33" s="45" t="str">
        <f t="shared" ca="1" si="0"/>
        <v/>
      </c>
      <c r="E33" s="85"/>
      <c r="F33" s="85"/>
      <c r="G33" s="85"/>
      <c r="H33" s="85"/>
      <c r="I33" s="112"/>
      <c r="J33" s="38"/>
    </row>
    <row r="34" spans="2:15" x14ac:dyDescent="0.25">
      <c r="B34" s="19">
        <v>20</v>
      </c>
      <c r="C34" s="80" t="str">
        <f>IF(Setup!D33=0,NA(),Setup!D33)</f>
        <v/>
      </c>
      <c r="D34" s="45" t="str">
        <f t="shared" ca="1" si="0"/>
        <v/>
      </c>
      <c r="E34" s="85"/>
      <c r="F34" s="85"/>
      <c r="G34" s="85"/>
      <c r="H34" s="85"/>
      <c r="I34" s="112"/>
      <c r="J34" s="38"/>
    </row>
    <row r="35" spans="2:15" x14ac:dyDescent="0.25">
      <c r="B35" s="19">
        <v>21</v>
      </c>
      <c r="C35" s="80" t="str">
        <f>IF(Setup!D34=0,NA(),Setup!D34)</f>
        <v/>
      </c>
      <c r="D35" s="45" t="str">
        <f t="shared" ca="1" si="0"/>
        <v/>
      </c>
      <c r="E35" s="85"/>
      <c r="F35" s="85"/>
      <c r="G35" s="85"/>
      <c r="H35" s="85"/>
      <c r="I35" s="112"/>
      <c r="J35" s="38"/>
    </row>
    <row r="36" spans="2:15" x14ac:dyDescent="0.25">
      <c r="B36" s="19">
        <v>22</v>
      </c>
      <c r="C36" s="80" t="str">
        <f>IF(Setup!D35=0,NA(),Setup!D35)</f>
        <v/>
      </c>
      <c r="D36" s="45" t="str">
        <f t="shared" ca="1" si="0"/>
        <v/>
      </c>
      <c r="E36" s="85"/>
      <c r="F36" s="85"/>
      <c r="G36" s="85"/>
      <c r="H36" s="85"/>
      <c r="I36" s="112"/>
      <c r="J36" s="38"/>
    </row>
    <row r="37" spans="2:15" x14ac:dyDescent="0.25">
      <c r="B37" s="19">
        <v>23</v>
      </c>
      <c r="C37" s="80" t="e">
        <f>IF(Setup!D36=0,NA(),Setup!D36)</f>
        <v>#N/A</v>
      </c>
      <c r="D37" s="45" t="e">
        <f t="shared" ref="D37:D44" ca="1" si="1">IF(C37="","",TODAY())</f>
        <v>#N/A</v>
      </c>
      <c r="E37" s="85"/>
      <c r="F37" s="85"/>
      <c r="G37" s="85"/>
      <c r="H37" s="85"/>
      <c r="I37" s="112"/>
      <c r="J37" s="38"/>
    </row>
    <row r="38" spans="2:15" x14ac:dyDescent="0.25">
      <c r="B38" s="19">
        <v>24</v>
      </c>
      <c r="C38" s="80" t="e">
        <f>IF(Setup!D37=0,NA(),Setup!D37)</f>
        <v>#N/A</v>
      </c>
      <c r="D38" s="45" t="e">
        <f t="shared" ca="1" si="1"/>
        <v>#N/A</v>
      </c>
      <c r="E38" s="85"/>
      <c r="F38" s="85"/>
      <c r="G38" s="85"/>
      <c r="H38" s="85"/>
      <c r="I38" s="112"/>
      <c r="J38" s="38"/>
    </row>
    <row r="39" spans="2:15" x14ac:dyDescent="0.25">
      <c r="B39" s="19">
        <v>25</v>
      </c>
      <c r="C39" s="80" t="e">
        <f>IF(Setup!D38=0,NA(),Setup!D38)</f>
        <v>#N/A</v>
      </c>
      <c r="D39" s="45" t="e">
        <f t="shared" ca="1" si="1"/>
        <v>#N/A</v>
      </c>
      <c r="E39" s="85"/>
      <c r="F39" s="85"/>
      <c r="G39" s="85"/>
      <c r="H39" s="85"/>
      <c r="I39" s="112"/>
      <c r="J39" s="38"/>
    </row>
    <row r="40" spans="2:15" ht="15" customHeight="1" x14ac:dyDescent="0.25">
      <c r="B40" s="19">
        <v>26</v>
      </c>
      <c r="C40" s="80" t="e">
        <f>IF(Setup!D39=0,NA(),Setup!D39)</f>
        <v>#N/A</v>
      </c>
      <c r="D40" s="45" t="e">
        <f ca="1">IF(C40="","",TODAY())</f>
        <v>#N/A</v>
      </c>
      <c r="E40" s="85"/>
      <c r="F40" s="85"/>
      <c r="G40" s="85"/>
      <c r="H40" s="85"/>
      <c r="I40" s="112"/>
      <c r="J40" s="38"/>
    </row>
    <row r="41" spans="2:15" x14ac:dyDescent="0.25">
      <c r="B41" s="19">
        <v>27</v>
      </c>
      <c r="C41" s="80" t="e">
        <f>IF(Setup!D40=0,NA(),Setup!D40)</f>
        <v>#N/A</v>
      </c>
      <c r="D41" s="45" t="e">
        <f ca="1">IF(C41="","",TODAY())</f>
        <v>#N/A</v>
      </c>
      <c r="E41" s="85"/>
      <c r="F41" s="85"/>
      <c r="G41" s="85"/>
      <c r="H41" s="85"/>
      <c r="I41" s="112"/>
      <c r="J41" s="38"/>
    </row>
    <row r="42" spans="2:15" x14ac:dyDescent="0.25">
      <c r="B42" s="19">
        <v>28</v>
      </c>
      <c r="C42" s="80" t="e">
        <f>IF(Setup!D41=0,NA(),Setup!D41)</f>
        <v>#N/A</v>
      </c>
      <c r="D42" s="45" t="e">
        <f ca="1">IF(C42="","",TODAY())</f>
        <v>#N/A</v>
      </c>
      <c r="E42" s="85"/>
      <c r="F42" s="85"/>
      <c r="G42" s="85"/>
      <c r="H42" s="42"/>
      <c r="I42" s="43"/>
      <c r="J42" s="38"/>
    </row>
    <row r="43" spans="2:15" x14ac:dyDescent="0.25">
      <c r="B43" s="19">
        <v>29</v>
      </c>
      <c r="C43" s="80" t="e">
        <f>IF(Setup!D42=0,NA(),Setup!D42)</f>
        <v>#N/A</v>
      </c>
      <c r="D43" s="45" t="e">
        <f ca="1">IF(C43="","",TODAY())</f>
        <v>#N/A</v>
      </c>
      <c r="E43" s="85"/>
      <c r="F43" s="85"/>
      <c r="G43" s="85"/>
      <c r="H43" s="42"/>
      <c r="I43" s="43"/>
      <c r="J43" s="38"/>
    </row>
    <row r="44" spans="2:15" x14ac:dyDescent="0.25">
      <c r="B44" s="19">
        <v>30</v>
      </c>
      <c r="C44" s="83" t="e">
        <f>IF(Setup!D43=0,NA(),Setup!D43)</f>
        <v>#N/A</v>
      </c>
      <c r="D44" s="113" t="e">
        <f t="shared" ca="1" si="1"/>
        <v>#N/A</v>
      </c>
      <c r="E44" s="114"/>
      <c r="F44" s="114"/>
      <c r="G44" s="114"/>
      <c r="H44" s="115"/>
      <c r="I44" s="44"/>
      <c r="J44" s="41"/>
    </row>
    <row r="45" spans="2:15" x14ac:dyDescent="0.25">
      <c r="B45" s="3"/>
      <c r="C45" s="15"/>
      <c r="D45" s="16"/>
      <c r="E45" s="17"/>
      <c r="F45" s="17"/>
      <c r="G45" s="17"/>
      <c r="H45" s="17"/>
      <c r="I45" s="17"/>
      <c r="J45" s="18"/>
    </row>
    <row r="46" spans="2:15" ht="15" customHeight="1" x14ac:dyDescent="0.25">
      <c r="B46" s="3"/>
      <c r="C46" s="220" t="s">
        <v>38</v>
      </c>
      <c r="D46" s="221"/>
      <c r="E46" s="221"/>
      <c r="F46" s="221"/>
      <c r="G46" s="221"/>
      <c r="H46" s="221"/>
      <c r="I46" s="222"/>
      <c r="J46" s="4"/>
      <c r="K46" s="4"/>
      <c r="L46" s="4"/>
      <c r="M46" s="4"/>
      <c r="N46" s="4"/>
      <c r="O46" s="4"/>
    </row>
    <row r="47" spans="2:15" x14ac:dyDescent="0.25">
      <c r="B47" s="3"/>
      <c r="C47" s="229"/>
      <c r="D47" s="230"/>
      <c r="E47" s="230"/>
      <c r="F47" s="230"/>
      <c r="G47" s="230"/>
      <c r="H47" s="230"/>
      <c r="I47" s="231"/>
      <c r="J47" s="4"/>
      <c r="K47" s="4"/>
      <c r="L47" s="4"/>
      <c r="M47" s="4"/>
      <c r="N47" s="4"/>
      <c r="O47" s="4"/>
    </row>
    <row r="48" spans="2:15" x14ac:dyDescent="0.25">
      <c r="B48" s="3"/>
      <c r="C48" s="229"/>
      <c r="D48" s="230"/>
      <c r="E48" s="230"/>
      <c r="F48" s="230"/>
      <c r="G48" s="230"/>
      <c r="H48" s="230"/>
      <c r="I48" s="231"/>
      <c r="J48" s="4"/>
      <c r="K48" s="4"/>
      <c r="L48" s="4"/>
      <c r="M48" s="4"/>
      <c r="N48" s="4"/>
      <c r="O48" s="4"/>
    </row>
    <row r="49" spans="2:15" x14ac:dyDescent="0.25">
      <c r="B49" s="3"/>
      <c r="C49" s="229"/>
      <c r="D49" s="230"/>
      <c r="E49" s="230"/>
      <c r="F49" s="230"/>
      <c r="G49" s="230"/>
      <c r="H49" s="230"/>
      <c r="I49" s="231"/>
      <c r="J49" s="4"/>
      <c r="K49" s="4"/>
      <c r="L49" s="4"/>
      <c r="M49" s="4"/>
      <c r="N49" s="4"/>
      <c r="O49" s="4"/>
    </row>
    <row r="50" spans="2:15" x14ac:dyDescent="0.25">
      <c r="C50" s="223"/>
      <c r="D50" s="265"/>
      <c r="E50" s="265"/>
      <c r="F50" s="265"/>
      <c r="G50" s="265"/>
      <c r="H50" s="265"/>
      <c r="I50" s="225"/>
      <c r="J50" s="4"/>
      <c r="K50" s="4"/>
      <c r="L50" s="4"/>
      <c r="M50" s="4"/>
      <c r="N50" s="4"/>
      <c r="O50" s="4"/>
    </row>
    <row r="51" spans="2:15" x14ac:dyDescent="0.25">
      <c r="D51" s="15"/>
      <c r="E51" s="16"/>
      <c r="F51" s="17"/>
      <c r="G51" s="17"/>
      <c r="H51" s="17"/>
      <c r="I51" s="17"/>
      <c r="J51" s="17"/>
      <c r="K51" s="18"/>
    </row>
    <row r="52" spans="2:15" x14ac:dyDescent="0.25">
      <c r="D52" s="15"/>
      <c r="E52" s="16"/>
      <c r="F52" s="17"/>
      <c r="G52" s="17"/>
      <c r="H52" s="17"/>
      <c r="I52" s="17"/>
      <c r="J52" s="17"/>
      <c r="K52" s="18"/>
    </row>
  </sheetData>
  <mergeCells count="4">
    <mergeCell ref="C9:F10"/>
    <mergeCell ref="C12:I12"/>
    <mergeCell ref="L27:M31"/>
    <mergeCell ref="C46:I5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do_applyClassifications">
                <anchor moveWithCells="1">
                  <from>
                    <xdr:col>11</xdr:col>
                    <xdr:colOff>285750</xdr:colOff>
                    <xdr:row>29</xdr:row>
                    <xdr:rowOff>28575</xdr:rowOff>
                  </from>
                  <to>
                    <xdr:col>12</xdr:col>
                    <xdr:colOff>342900</xdr:colOff>
                    <xdr:row>30</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5A055-8396-4DED-A5B5-82D6A53A7D60}">
  <sheetPr codeName="Sheet7"/>
  <dimension ref="B6:P48"/>
  <sheetViews>
    <sheetView tabSelected="1" topLeftCell="A7" zoomScale="80" zoomScaleNormal="80" workbookViewId="0">
      <selection activeCell="C12" sqref="C12"/>
    </sheetView>
  </sheetViews>
  <sheetFormatPr defaultRowHeight="15" x14ac:dyDescent="0.25"/>
  <cols>
    <col min="2" max="2" width="4.42578125" customWidth="1"/>
    <col min="3" max="3" width="27.85546875" customWidth="1"/>
    <col min="4" max="4" width="33.42578125" customWidth="1"/>
    <col min="5" max="5" width="30.5703125" customWidth="1"/>
    <col min="6" max="6" width="33" customWidth="1"/>
    <col min="7" max="7" width="29.85546875" customWidth="1"/>
    <col min="8" max="8" width="39.85546875" customWidth="1"/>
    <col min="9" max="9" width="34.85546875" customWidth="1"/>
    <col min="11" max="11" width="28.7109375" customWidth="1"/>
  </cols>
  <sheetData>
    <row r="6" spans="2:11" ht="15" customHeight="1" x14ac:dyDescent="0.25"/>
    <row r="7" spans="2:11" x14ac:dyDescent="0.25">
      <c r="C7" s="269" t="s">
        <v>36</v>
      </c>
      <c r="D7" s="270"/>
      <c r="E7" s="270"/>
      <c r="F7" s="271"/>
    </row>
    <row r="8" spans="2:11" x14ac:dyDescent="0.25">
      <c r="C8" s="272"/>
      <c r="D8" s="273"/>
      <c r="E8" s="273"/>
      <c r="F8" s="274"/>
    </row>
    <row r="9" spans="2:11" ht="15.75" x14ac:dyDescent="0.25">
      <c r="C9" s="52"/>
      <c r="D9" s="52"/>
      <c r="E9" s="52"/>
      <c r="F9" s="52"/>
    </row>
    <row r="10" spans="2:11" ht="15.75" x14ac:dyDescent="0.25">
      <c r="C10" s="281" t="s">
        <v>50</v>
      </c>
      <c r="D10" s="281"/>
      <c r="E10" s="52"/>
      <c r="F10" s="52"/>
    </row>
    <row r="12" spans="2:11" x14ac:dyDescent="0.25">
      <c r="C12" s="97"/>
      <c r="D12" s="79"/>
      <c r="E12" s="103"/>
      <c r="F12" s="103"/>
      <c r="G12" s="103"/>
      <c r="H12" s="101"/>
      <c r="I12" s="93"/>
      <c r="K12" s="22"/>
    </row>
    <row r="13" spans="2:11" x14ac:dyDescent="0.25">
      <c r="B13" s="54">
        <v>1</v>
      </c>
      <c r="C13" s="88"/>
      <c r="D13" s="89"/>
      <c r="E13" s="107"/>
      <c r="F13" s="89"/>
      <c r="G13" s="89"/>
      <c r="H13" s="89"/>
      <c r="I13" s="90"/>
      <c r="K13" s="23"/>
    </row>
    <row r="14" spans="2:11" x14ac:dyDescent="0.25">
      <c r="B14" s="55">
        <v>2</v>
      </c>
      <c r="C14" s="88"/>
      <c r="D14" s="89"/>
      <c r="E14" s="104"/>
      <c r="F14" s="89"/>
      <c r="G14" s="89"/>
      <c r="H14" s="89"/>
      <c r="I14" s="90"/>
      <c r="K14" s="23"/>
    </row>
    <row r="15" spans="2:11" x14ac:dyDescent="0.25">
      <c r="B15" s="55">
        <v>3</v>
      </c>
      <c r="C15" s="88"/>
      <c r="D15" s="89"/>
      <c r="E15" s="104"/>
      <c r="F15" s="89"/>
      <c r="G15" s="89"/>
      <c r="H15" s="89"/>
      <c r="I15" s="90"/>
      <c r="K15" s="23"/>
    </row>
    <row r="16" spans="2:11" x14ac:dyDescent="0.25">
      <c r="B16" s="55">
        <v>4</v>
      </c>
      <c r="C16" s="88"/>
      <c r="D16" s="89"/>
      <c r="E16" s="104"/>
      <c r="F16" s="89"/>
      <c r="G16" s="89"/>
      <c r="H16" s="89"/>
      <c r="I16" s="90"/>
      <c r="K16" s="23"/>
    </row>
    <row r="17" spans="2:11" x14ac:dyDescent="0.25">
      <c r="B17" s="55">
        <v>5</v>
      </c>
      <c r="C17" s="88"/>
      <c r="D17" s="89"/>
      <c r="E17" s="104"/>
      <c r="F17" s="89"/>
      <c r="G17" s="89"/>
      <c r="H17" s="89"/>
      <c r="I17" s="90"/>
      <c r="K17" s="23"/>
    </row>
    <row r="18" spans="2:11" x14ac:dyDescent="0.25">
      <c r="B18" s="55">
        <v>6</v>
      </c>
      <c r="C18" s="88"/>
      <c r="D18" s="89"/>
      <c r="E18" s="104"/>
      <c r="F18" s="89"/>
      <c r="G18" s="89"/>
      <c r="H18" s="89"/>
      <c r="I18" s="90"/>
      <c r="K18" s="23"/>
    </row>
    <row r="19" spans="2:11" x14ac:dyDescent="0.25">
      <c r="B19" s="55">
        <v>7</v>
      </c>
      <c r="C19" s="88"/>
      <c r="D19" s="89"/>
      <c r="E19" s="104"/>
      <c r="F19" s="89"/>
      <c r="G19" s="89"/>
      <c r="H19" s="89"/>
      <c r="I19" s="90"/>
      <c r="K19" s="23"/>
    </row>
    <row r="20" spans="2:11" x14ac:dyDescent="0.25">
      <c r="B20" s="55">
        <v>8</v>
      </c>
      <c r="C20" s="88"/>
      <c r="D20" s="89"/>
      <c r="E20" s="104"/>
      <c r="F20" s="89"/>
      <c r="G20" s="89"/>
      <c r="H20" s="89"/>
      <c r="I20" s="90"/>
      <c r="K20" s="23"/>
    </row>
    <row r="21" spans="2:11" x14ac:dyDescent="0.25">
      <c r="B21" s="55">
        <v>9</v>
      </c>
      <c r="C21" s="88"/>
      <c r="D21" s="89"/>
      <c r="E21" s="104"/>
      <c r="F21" s="89"/>
      <c r="G21" s="89"/>
      <c r="H21" s="89"/>
      <c r="I21" s="90"/>
      <c r="K21" s="23"/>
    </row>
    <row r="22" spans="2:11" x14ac:dyDescent="0.25">
      <c r="B22" s="55">
        <v>10</v>
      </c>
      <c r="C22" s="88"/>
      <c r="D22" s="89"/>
      <c r="E22" s="104"/>
      <c r="F22" s="89"/>
      <c r="G22" s="89"/>
      <c r="H22" s="89"/>
      <c r="I22" s="90"/>
      <c r="K22" s="23"/>
    </row>
    <row r="23" spans="2:11" x14ac:dyDescent="0.25">
      <c r="B23" s="55">
        <v>11</v>
      </c>
      <c r="C23" s="88"/>
      <c r="D23" s="89"/>
      <c r="E23" s="104"/>
      <c r="F23" s="89"/>
      <c r="G23" s="89"/>
      <c r="H23" s="89"/>
      <c r="I23" s="90"/>
      <c r="K23" s="23"/>
    </row>
    <row r="24" spans="2:11" x14ac:dyDescent="0.25">
      <c r="B24" s="55">
        <v>12</v>
      </c>
      <c r="C24" s="88"/>
      <c r="D24" s="89"/>
      <c r="E24" s="104"/>
      <c r="F24" s="89"/>
      <c r="G24" s="89"/>
      <c r="H24" s="89"/>
      <c r="I24" s="90"/>
      <c r="K24" s="23"/>
    </row>
    <row r="25" spans="2:11" ht="15" customHeight="1" x14ac:dyDescent="0.25">
      <c r="B25" s="55">
        <v>13</v>
      </c>
      <c r="C25" s="88"/>
      <c r="D25" s="89"/>
      <c r="E25" s="104"/>
      <c r="F25" s="89"/>
      <c r="G25" s="89"/>
      <c r="H25" s="89"/>
      <c r="I25" s="90"/>
      <c r="K25" s="278" t="s">
        <v>32</v>
      </c>
    </row>
    <row r="26" spans="2:11" x14ac:dyDescent="0.25">
      <c r="B26" s="55">
        <v>14</v>
      </c>
      <c r="C26" s="88"/>
      <c r="D26" s="89"/>
      <c r="E26" s="104"/>
      <c r="F26" s="89"/>
      <c r="G26" s="89"/>
      <c r="H26" s="89"/>
      <c r="I26" s="90"/>
      <c r="K26" s="279"/>
    </row>
    <row r="27" spans="2:11" x14ac:dyDescent="0.25">
      <c r="B27" s="55">
        <v>15</v>
      </c>
      <c r="C27" s="88"/>
      <c r="D27" s="89"/>
      <c r="E27" s="104"/>
      <c r="F27" s="89"/>
      <c r="G27" s="89"/>
      <c r="H27" s="89"/>
      <c r="I27" s="90"/>
      <c r="K27" s="279"/>
    </row>
    <row r="28" spans="2:11" x14ac:dyDescent="0.25">
      <c r="B28" s="55">
        <v>16</v>
      </c>
      <c r="C28" s="88"/>
      <c r="D28" s="89"/>
      <c r="E28" s="104"/>
      <c r="F28" s="89"/>
      <c r="G28" s="89"/>
      <c r="H28" s="89"/>
      <c r="I28" s="90"/>
      <c r="K28" s="280"/>
    </row>
    <row r="29" spans="2:11" x14ac:dyDescent="0.25">
      <c r="B29" s="55">
        <v>17</v>
      </c>
      <c r="C29" s="88"/>
      <c r="D29" s="89"/>
      <c r="E29" s="104"/>
      <c r="F29" s="89"/>
      <c r="G29" s="89"/>
      <c r="H29" s="89"/>
      <c r="I29" s="90"/>
      <c r="K29" s="23"/>
    </row>
    <row r="30" spans="2:11" x14ac:dyDescent="0.25">
      <c r="B30" s="55">
        <v>18</v>
      </c>
      <c r="C30" s="88"/>
      <c r="D30" s="89"/>
      <c r="E30" s="104"/>
      <c r="F30" s="89"/>
      <c r="G30" s="89"/>
      <c r="H30" s="89"/>
      <c r="I30" s="90"/>
      <c r="K30" s="23"/>
    </row>
    <row r="31" spans="2:11" x14ac:dyDescent="0.25">
      <c r="B31" s="55">
        <v>19</v>
      </c>
      <c r="C31" s="88"/>
      <c r="D31" s="89"/>
      <c r="E31" s="104"/>
      <c r="F31" s="89"/>
      <c r="G31" s="89"/>
      <c r="H31" s="89"/>
      <c r="I31" s="90"/>
      <c r="K31" s="23"/>
    </row>
    <row r="32" spans="2:11" x14ac:dyDescent="0.25">
      <c r="B32" s="55">
        <v>20</v>
      </c>
      <c r="C32" s="88"/>
      <c r="D32" s="89"/>
      <c r="E32" s="104"/>
      <c r="F32" s="89"/>
      <c r="G32" s="89"/>
      <c r="H32" s="89"/>
      <c r="I32" s="90"/>
      <c r="K32" s="23"/>
    </row>
    <row r="33" spans="2:16" x14ac:dyDescent="0.25">
      <c r="B33" s="55">
        <v>21</v>
      </c>
      <c r="C33" s="88"/>
      <c r="D33" s="89"/>
      <c r="E33" s="104"/>
      <c r="F33" s="89"/>
      <c r="G33" s="89"/>
      <c r="H33" s="89"/>
      <c r="I33" s="90"/>
      <c r="K33" s="23"/>
    </row>
    <row r="34" spans="2:16" x14ac:dyDescent="0.25">
      <c r="B34" s="55">
        <v>22</v>
      </c>
      <c r="C34" s="94"/>
      <c r="D34" s="89"/>
      <c r="E34" s="104"/>
      <c r="F34" s="89"/>
      <c r="G34" s="89"/>
      <c r="H34" s="89"/>
      <c r="I34" s="90"/>
      <c r="K34" s="23"/>
    </row>
    <row r="35" spans="2:16" x14ac:dyDescent="0.25">
      <c r="B35" s="55">
        <v>23</v>
      </c>
      <c r="C35" s="88"/>
      <c r="D35" s="89"/>
      <c r="E35" s="104"/>
      <c r="F35" s="89"/>
      <c r="G35" s="89"/>
      <c r="H35" s="89"/>
      <c r="I35" s="90"/>
      <c r="K35" s="23"/>
    </row>
    <row r="36" spans="2:16" x14ac:dyDescent="0.25">
      <c r="B36" s="55">
        <v>24</v>
      </c>
      <c r="C36" s="88"/>
      <c r="D36" s="89"/>
      <c r="E36" s="104"/>
      <c r="F36" s="89"/>
      <c r="G36" s="89"/>
      <c r="H36" s="89"/>
      <c r="I36" s="90"/>
      <c r="K36" s="23"/>
    </row>
    <row r="37" spans="2:16" x14ac:dyDescent="0.25">
      <c r="B37" s="55">
        <v>25</v>
      </c>
      <c r="C37" s="88"/>
      <c r="D37" s="89"/>
      <c r="E37" s="104"/>
      <c r="F37" s="89"/>
      <c r="G37" s="89"/>
      <c r="H37" s="89"/>
      <c r="I37" s="90"/>
      <c r="K37" s="23"/>
    </row>
    <row r="38" spans="2:16" x14ac:dyDescent="0.25">
      <c r="B38" s="55">
        <v>26</v>
      </c>
      <c r="C38" s="94"/>
      <c r="D38" s="95"/>
      <c r="E38" s="104"/>
      <c r="F38" s="89"/>
      <c r="G38" s="89"/>
      <c r="H38" s="89"/>
      <c r="I38" s="90"/>
      <c r="K38" s="23"/>
    </row>
    <row r="39" spans="2:16" x14ac:dyDescent="0.25">
      <c r="B39" s="55">
        <v>27</v>
      </c>
      <c r="C39" s="88"/>
      <c r="D39" s="89"/>
      <c r="E39" s="105"/>
      <c r="F39" s="29"/>
      <c r="G39" s="29"/>
      <c r="H39" s="29"/>
      <c r="I39" s="31"/>
      <c r="K39" s="24"/>
    </row>
    <row r="40" spans="2:16" x14ac:dyDescent="0.25">
      <c r="B40" s="55">
        <v>28</v>
      </c>
      <c r="C40" s="88"/>
      <c r="D40" s="89"/>
      <c r="E40" s="105"/>
      <c r="F40" s="29"/>
      <c r="G40" s="29"/>
      <c r="H40" s="29"/>
      <c r="I40" s="31"/>
      <c r="K40" s="24"/>
    </row>
    <row r="41" spans="2:16" x14ac:dyDescent="0.25">
      <c r="B41" s="55">
        <v>29</v>
      </c>
      <c r="C41" s="88"/>
      <c r="D41" s="89"/>
      <c r="E41" s="105"/>
      <c r="F41" s="29"/>
      <c r="G41" s="29"/>
      <c r="H41" s="29"/>
      <c r="I41" s="31"/>
      <c r="K41" s="24"/>
    </row>
    <row r="42" spans="2:16" x14ac:dyDescent="0.25">
      <c r="B42" s="53">
        <v>30</v>
      </c>
      <c r="C42" s="91"/>
      <c r="D42" s="92"/>
      <c r="E42" s="106"/>
      <c r="F42" s="87"/>
      <c r="G42" s="87"/>
      <c r="H42" s="87"/>
      <c r="I42" s="34"/>
      <c r="K42" s="24"/>
    </row>
    <row r="43" spans="2:16" x14ac:dyDescent="0.25">
      <c r="B43" s="20"/>
      <c r="C43" s="21"/>
      <c r="D43" s="21"/>
    </row>
    <row r="44" spans="2:16" ht="15" customHeight="1" x14ac:dyDescent="0.25">
      <c r="C44" s="220" t="s">
        <v>78</v>
      </c>
      <c r="D44" s="221"/>
      <c r="E44" s="221"/>
      <c r="F44" s="221"/>
      <c r="G44" s="221"/>
      <c r="H44" s="221"/>
      <c r="I44" s="222"/>
      <c r="J44" s="4"/>
      <c r="K44" s="4"/>
      <c r="L44" s="4"/>
      <c r="M44" s="4"/>
      <c r="N44" s="4"/>
      <c r="O44" s="4"/>
      <c r="P44" s="4"/>
    </row>
    <row r="45" spans="2:16" x14ac:dyDescent="0.25">
      <c r="C45" s="229"/>
      <c r="D45" s="230"/>
      <c r="E45" s="230"/>
      <c r="F45" s="230"/>
      <c r="G45" s="230"/>
      <c r="H45" s="230"/>
      <c r="I45" s="231"/>
      <c r="J45" s="4"/>
      <c r="K45" s="4"/>
      <c r="L45" s="4"/>
      <c r="M45" s="4"/>
      <c r="N45" s="4"/>
      <c r="O45" s="4"/>
      <c r="P45" s="4"/>
    </row>
    <row r="46" spans="2:16" x14ac:dyDescent="0.25">
      <c r="C46" s="229"/>
      <c r="D46" s="230"/>
      <c r="E46" s="230"/>
      <c r="F46" s="230"/>
      <c r="G46" s="230"/>
      <c r="H46" s="230"/>
      <c r="I46" s="231"/>
      <c r="J46" s="4"/>
      <c r="K46" s="4"/>
      <c r="L46" s="4"/>
      <c r="M46" s="4"/>
      <c r="N46" s="4"/>
      <c r="O46" s="4"/>
      <c r="P46" s="4"/>
    </row>
    <row r="47" spans="2:16" x14ac:dyDescent="0.25">
      <c r="C47" s="229"/>
      <c r="D47" s="230"/>
      <c r="E47" s="230"/>
      <c r="F47" s="230"/>
      <c r="G47" s="230"/>
      <c r="H47" s="230"/>
      <c r="I47" s="231"/>
      <c r="J47" s="4"/>
      <c r="K47" s="4"/>
      <c r="L47" s="4"/>
      <c r="M47" s="4"/>
      <c r="N47" s="4"/>
      <c r="O47" s="4"/>
      <c r="P47" s="4"/>
    </row>
    <row r="48" spans="2:16" x14ac:dyDescent="0.25">
      <c r="C48" s="223"/>
      <c r="D48" s="265"/>
      <c r="E48" s="265"/>
      <c r="F48" s="265"/>
      <c r="G48" s="265"/>
      <c r="H48" s="265"/>
      <c r="I48" s="225"/>
      <c r="J48" s="4"/>
      <c r="K48" s="4"/>
      <c r="L48" s="4"/>
      <c r="M48" s="4"/>
      <c r="N48" s="4"/>
      <c r="O48" s="4"/>
      <c r="P48" s="4"/>
    </row>
  </sheetData>
  <mergeCells count="4">
    <mergeCell ref="C7:F8"/>
    <mergeCell ref="K25:K28"/>
    <mergeCell ref="C10:D10"/>
    <mergeCell ref="C44:I4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doRefreshSecurityMaster">
                <anchor moveWithCells="1">
                  <from>
                    <xdr:col>10</xdr:col>
                    <xdr:colOff>638175</xdr:colOff>
                    <xdr:row>26</xdr:row>
                    <xdr:rowOff>85725</xdr:rowOff>
                  </from>
                  <to>
                    <xdr:col>10</xdr:col>
                    <xdr:colOff>1228725</xdr:colOff>
                    <xdr:row>27</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D5A2D-F991-426A-93E7-CA81A036F1F0}">
  <sheetPr codeName="Sheet18"/>
  <dimension ref="G12:N13"/>
  <sheetViews>
    <sheetView workbookViewId="0">
      <selection activeCell="G13" sqref="G13"/>
    </sheetView>
  </sheetViews>
  <sheetFormatPr defaultRowHeight="15" x14ac:dyDescent="0.25"/>
  <sheetData>
    <row r="12" spans="7:14" x14ac:dyDescent="0.25">
      <c r="G12" t="str">
        <f>_xll.fbnPropertiesAdd_Template()</f>
        <v>OK</v>
      </c>
    </row>
    <row r="13" spans="7:14" x14ac:dyDescent="0.25">
      <c r="G13" t="s">
        <v>11</v>
      </c>
      <c r="H13" t="s">
        <v>2</v>
      </c>
      <c r="I13" t="s">
        <v>5</v>
      </c>
      <c r="J13" t="s">
        <v>12</v>
      </c>
      <c r="K13" t="s">
        <v>13</v>
      </c>
      <c r="L13" t="s">
        <v>135</v>
      </c>
      <c r="M13" t="s">
        <v>15</v>
      </c>
      <c r="N13" t="s">
        <v>136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A4200-F848-48F1-A01D-1161C1639C54}">
  <sheetPr codeName="Sheet8"/>
  <dimension ref="B5:P54"/>
  <sheetViews>
    <sheetView topLeftCell="B1" zoomScale="60" zoomScaleNormal="60" workbookViewId="0">
      <selection activeCell="U19" sqref="U19"/>
    </sheetView>
  </sheetViews>
  <sheetFormatPr defaultRowHeight="15" x14ac:dyDescent="0.25"/>
  <cols>
    <col min="3" max="3" width="16.140625" customWidth="1"/>
    <col min="4" max="4" width="27.42578125" customWidth="1"/>
    <col min="5" max="5" width="14.5703125" customWidth="1"/>
    <col min="6" max="6" width="16.42578125" customWidth="1"/>
    <col min="7" max="7" width="19" customWidth="1"/>
    <col min="8" max="8" width="30.7109375" customWidth="1"/>
    <col min="9" max="9" width="27.7109375" customWidth="1"/>
    <col min="10" max="10" width="16.28515625" customWidth="1"/>
    <col min="11" max="11" width="20.7109375" customWidth="1"/>
    <col min="12" max="12" width="19.5703125" customWidth="1"/>
    <col min="13" max="13" width="15.28515625" customWidth="1"/>
    <col min="14" max="14" width="13.85546875" customWidth="1"/>
    <col min="15" max="15" width="15.7109375" customWidth="1"/>
    <col min="16" max="16" width="20.5703125" customWidth="1"/>
    <col min="17" max="17" width="14.28515625" customWidth="1"/>
    <col min="18" max="18" width="13" customWidth="1"/>
  </cols>
  <sheetData>
    <row r="5" spans="2:16" x14ac:dyDescent="0.25">
      <c r="L5" s="282" t="s">
        <v>149</v>
      </c>
      <c r="M5" s="283"/>
      <c r="N5" s="284"/>
    </row>
    <row r="6" spans="2:16" x14ac:dyDescent="0.25">
      <c r="L6" s="285"/>
      <c r="M6" s="286"/>
      <c r="N6" s="287"/>
    </row>
    <row r="7" spans="2:16" ht="15" customHeight="1" x14ac:dyDescent="0.25">
      <c r="C7" s="257" t="s">
        <v>48</v>
      </c>
      <c r="D7" s="258"/>
      <c r="E7" s="258"/>
      <c r="F7" s="258"/>
      <c r="G7" s="258"/>
      <c r="H7" s="258"/>
      <c r="I7" s="259"/>
      <c r="L7" s="285"/>
      <c r="M7" s="286"/>
      <c r="N7" s="287"/>
    </row>
    <row r="8" spans="2:16" ht="15" customHeight="1" x14ac:dyDescent="0.25">
      <c r="C8" s="260"/>
      <c r="D8" s="261"/>
      <c r="E8" s="261"/>
      <c r="F8" s="261"/>
      <c r="G8" s="261"/>
      <c r="H8" s="261"/>
      <c r="I8" s="262"/>
      <c r="L8" s="285"/>
      <c r="M8" s="286"/>
      <c r="N8" s="287"/>
    </row>
    <row r="9" spans="2:16" ht="15.75" x14ac:dyDescent="0.25">
      <c r="C9" s="52"/>
      <c r="D9" s="52"/>
      <c r="E9" s="52"/>
      <c r="F9" s="52"/>
      <c r="G9" s="52"/>
      <c r="H9" s="52"/>
      <c r="I9" s="52"/>
      <c r="L9" s="288"/>
      <c r="M9" s="289"/>
      <c r="N9" s="290"/>
    </row>
    <row r="10" spans="2:16" x14ac:dyDescent="0.25">
      <c r="C10" s="291" t="s">
        <v>122</v>
      </c>
      <c r="D10" s="292"/>
      <c r="E10" s="292"/>
      <c r="F10" s="293"/>
      <c r="G10" s="297"/>
      <c r="H10" s="102"/>
      <c r="I10" s="102"/>
    </row>
    <row r="11" spans="2:16" x14ac:dyDescent="0.25">
      <c r="C11" s="294"/>
      <c r="D11" s="295"/>
      <c r="E11" s="295"/>
      <c r="F11" s="296"/>
      <c r="G11" s="297"/>
      <c r="H11" s="102"/>
      <c r="I11" s="102"/>
    </row>
    <row r="12" spans="2:16" x14ac:dyDescent="0.25">
      <c r="G12" s="1"/>
    </row>
    <row r="14" spans="2:16" ht="15.75" thickBot="1" x14ac:dyDescent="0.3">
      <c r="C14" s="194" t="s">
        <v>137</v>
      </c>
      <c r="D14" s="167" t="s">
        <v>138</v>
      </c>
      <c r="E14" s="168" t="s">
        <v>139</v>
      </c>
      <c r="F14" s="168" t="s">
        <v>40</v>
      </c>
      <c r="G14" s="167" t="s">
        <v>41</v>
      </c>
      <c r="H14" s="167" t="s">
        <v>140</v>
      </c>
      <c r="I14" s="167" t="s">
        <v>141</v>
      </c>
      <c r="J14" s="167" t="s">
        <v>42</v>
      </c>
      <c r="K14" s="167" t="s">
        <v>142</v>
      </c>
      <c r="L14" s="167" t="s">
        <v>43</v>
      </c>
      <c r="M14" s="167" t="s">
        <v>44</v>
      </c>
      <c r="N14" s="167" t="s">
        <v>45</v>
      </c>
      <c r="O14" s="167" t="s">
        <v>46</v>
      </c>
      <c r="P14" s="193" t="s">
        <v>4</v>
      </c>
    </row>
    <row r="15" spans="2:16" ht="22.5" customHeight="1" thickTop="1" x14ac:dyDescent="0.25">
      <c r="B15" s="54">
        <v>1</v>
      </c>
      <c r="C15" s="98" t="s">
        <v>146</v>
      </c>
      <c r="D15" s="29" t="str">
        <f>Setup!D14</f>
        <v/>
      </c>
      <c r="E15" s="86">
        <f ca="1">TODAY()</f>
        <v>43517</v>
      </c>
      <c r="F15" s="86">
        <f ca="1">TODAY()</f>
        <v>43517</v>
      </c>
      <c r="G15" s="30" t="s">
        <v>66</v>
      </c>
      <c r="H15" s="29">
        <v>2</v>
      </c>
      <c r="I15" s="30" t="s">
        <v>47</v>
      </c>
      <c r="J15" s="30" t="s">
        <v>143</v>
      </c>
      <c r="K15" s="29">
        <v>2</v>
      </c>
      <c r="L15" s="29">
        <v>2</v>
      </c>
      <c r="M15" s="29"/>
      <c r="N15" s="29"/>
      <c r="O15" s="29"/>
      <c r="P15" s="151" t="s">
        <v>230</v>
      </c>
    </row>
    <row r="16" spans="2:16" x14ac:dyDescent="0.25">
      <c r="B16" s="55">
        <v>2</v>
      </c>
      <c r="C16" s="98"/>
      <c r="D16" s="29"/>
      <c r="E16" s="86"/>
      <c r="F16" s="86"/>
      <c r="G16" s="30"/>
      <c r="H16" s="29"/>
      <c r="I16" s="30"/>
      <c r="J16" s="30"/>
      <c r="K16" s="29"/>
      <c r="L16" s="29"/>
      <c r="M16" s="29"/>
      <c r="N16" s="29"/>
      <c r="O16" s="29"/>
      <c r="P16" s="151"/>
    </row>
    <row r="17" spans="2:16" x14ac:dyDescent="0.25">
      <c r="B17" s="55">
        <v>3</v>
      </c>
      <c r="C17" s="98"/>
      <c r="D17" s="29"/>
      <c r="E17" s="86"/>
      <c r="F17" s="86"/>
      <c r="G17" s="30"/>
      <c r="H17" s="29"/>
      <c r="I17" s="30"/>
      <c r="J17" s="30"/>
      <c r="K17" s="29"/>
      <c r="L17" s="29"/>
      <c r="M17" s="29"/>
      <c r="N17" s="29"/>
      <c r="O17" s="29"/>
      <c r="P17" s="151"/>
    </row>
    <row r="18" spans="2:16" x14ac:dyDescent="0.25">
      <c r="B18" s="55">
        <v>4</v>
      </c>
      <c r="C18" s="98"/>
      <c r="D18" s="29"/>
      <c r="E18" s="86"/>
      <c r="F18" s="86"/>
      <c r="G18" s="30"/>
      <c r="H18" s="29"/>
      <c r="I18" s="30"/>
      <c r="J18" s="30"/>
      <c r="K18" s="29"/>
      <c r="L18" s="29"/>
      <c r="M18" s="29"/>
      <c r="N18" s="29"/>
      <c r="O18" s="29"/>
      <c r="P18" s="151"/>
    </row>
    <row r="19" spans="2:16" x14ac:dyDescent="0.25">
      <c r="B19" s="55">
        <v>5</v>
      </c>
      <c r="C19" s="98"/>
      <c r="D19" s="29"/>
      <c r="E19" s="86"/>
      <c r="F19" s="86"/>
      <c r="G19" s="30"/>
      <c r="H19" s="29"/>
      <c r="I19" s="30"/>
      <c r="J19" s="30"/>
      <c r="K19" s="29"/>
      <c r="L19" s="29"/>
      <c r="M19" s="29"/>
      <c r="N19" s="29"/>
      <c r="O19" s="29"/>
      <c r="P19" s="151"/>
    </row>
    <row r="20" spans="2:16" x14ac:dyDescent="0.25">
      <c r="B20" s="55">
        <v>6</v>
      </c>
      <c r="C20" s="98"/>
      <c r="D20" s="29"/>
      <c r="E20" s="86"/>
      <c r="F20" s="86"/>
      <c r="G20" s="30"/>
      <c r="H20" s="29"/>
      <c r="I20" s="30"/>
      <c r="J20" s="30"/>
      <c r="K20" s="29"/>
      <c r="L20" s="29"/>
      <c r="M20" s="29"/>
      <c r="N20" s="29"/>
      <c r="O20" s="29"/>
      <c r="P20" s="151"/>
    </row>
    <row r="21" spans="2:16" x14ac:dyDescent="0.25">
      <c r="B21" s="55">
        <v>7</v>
      </c>
      <c r="C21" s="98"/>
      <c r="D21" s="29"/>
      <c r="E21" s="86"/>
      <c r="F21" s="86"/>
      <c r="G21" s="30"/>
      <c r="H21" s="29"/>
      <c r="I21" s="30"/>
      <c r="J21" s="30"/>
      <c r="K21" s="29"/>
      <c r="L21" s="29"/>
      <c r="M21" s="29"/>
      <c r="N21" s="29"/>
      <c r="O21" s="29"/>
      <c r="P21" s="151"/>
    </row>
    <row r="22" spans="2:16" x14ac:dyDescent="0.25">
      <c r="B22" s="55">
        <v>8</v>
      </c>
      <c r="C22" s="98"/>
      <c r="D22" s="29"/>
      <c r="E22" s="86"/>
      <c r="F22" s="86"/>
      <c r="G22" s="30"/>
      <c r="H22" s="29"/>
      <c r="I22" s="29"/>
      <c r="J22" s="29"/>
      <c r="K22" s="29"/>
      <c r="L22" s="29"/>
      <c r="M22" s="29"/>
      <c r="N22" s="29"/>
      <c r="O22" s="29"/>
      <c r="P22" s="151"/>
    </row>
    <row r="23" spans="2:16" x14ac:dyDescent="0.25">
      <c r="B23" s="55">
        <v>9</v>
      </c>
      <c r="C23" s="98"/>
      <c r="D23" s="29"/>
      <c r="E23" s="86"/>
      <c r="F23" s="86"/>
      <c r="G23" s="30"/>
      <c r="H23" s="29"/>
      <c r="I23" s="29"/>
      <c r="J23" s="29"/>
      <c r="K23" s="29"/>
      <c r="L23" s="29"/>
      <c r="M23" s="29"/>
      <c r="N23" s="29"/>
      <c r="O23" s="29"/>
      <c r="P23" s="151"/>
    </row>
    <row r="24" spans="2:16" x14ac:dyDescent="0.25">
      <c r="B24" s="55">
        <v>10</v>
      </c>
      <c r="C24" s="98"/>
      <c r="D24" s="29"/>
      <c r="E24" s="86"/>
      <c r="F24" s="86"/>
      <c r="G24" s="30"/>
      <c r="H24" s="29"/>
      <c r="I24" s="29"/>
      <c r="J24" s="29"/>
      <c r="K24" s="29"/>
      <c r="L24" s="29"/>
      <c r="M24" s="29"/>
      <c r="N24" s="29"/>
      <c r="O24" s="29"/>
      <c r="P24" s="151"/>
    </row>
    <row r="25" spans="2:16" x14ac:dyDescent="0.25">
      <c r="B25" s="55">
        <v>11</v>
      </c>
      <c r="C25" s="98"/>
      <c r="D25" s="29"/>
      <c r="E25" s="86"/>
      <c r="F25" s="86"/>
      <c r="G25" s="30"/>
      <c r="H25" s="29"/>
      <c r="I25" s="29"/>
      <c r="J25" s="29"/>
      <c r="K25" s="29"/>
      <c r="L25" s="29"/>
      <c r="M25" s="29"/>
      <c r="N25" s="29"/>
      <c r="O25" s="29"/>
      <c r="P25" s="151"/>
    </row>
    <row r="26" spans="2:16" x14ac:dyDescent="0.25">
      <c r="B26" s="55">
        <v>12</v>
      </c>
      <c r="C26" s="98"/>
      <c r="D26" s="29"/>
      <c r="E26" s="86"/>
      <c r="F26" s="86"/>
      <c r="G26" s="30"/>
      <c r="H26" s="29"/>
      <c r="I26" s="29"/>
      <c r="J26" s="29"/>
      <c r="K26" s="29"/>
      <c r="L26" s="29"/>
      <c r="M26" s="29"/>
      <c r="N26" s="29"/>
      <c r="O26" s="29"/>
      <c r="P26" s="151"/>
    </row>
    <row r="27" spans="2:16" x14ac:dyDescent="0.25">
      <c r="B27" s="55">
        <v>13</v>
      </c>
      <c r="C27" s="98"/>
      <c r="D27" s="29"/>
      <c r="E27" s="86"/>
      <c r="F27" s="86"/>
      <c r="G27" s="30"/>
      <c r="H27" s="29"/>
      <c r="I27" s="29"/>
      <c r="J27" s="29"/>
      <c r="K27" s="29"/>
      <c r="L27" s="29"/>
      <c r="M27" s="29"/>
      <c r="N27" s="29"/>
      <c r="O27" s="29"/>
      <c r="P27" s="151"/>
    </row>
    <row r="28" spans="2:16" x14ac:dyDescent="0.25">
      <c r="B28" s="55">
        <v>14</v>
      </c>
      <c r="C28" s="98"/>
      <c r="D28" s="29"/>
      <c r="E28" s="86"/>
      <c r="F28" s="86"/>
      <c r="G28" s="30"/>
      <c r="H28" s="29"/>
      <c r="I28" s="29"/>
      <c r="J28" s="29"/>
      <c r="K28" s="29"/>
      <c r="L28" s="29"/>
      <c r="M28" s="29"/>
      <c r="N28" s="29"/>
      <c r="O28" s="29"/>
      <c r="P28" s="151"/>
    </row>
    <row r="29" spans="2:16" x14ac:dyDescent="0.25">
      <c r="B29" s="55">
        <v>15</v>
      </c>
      <c r="C29" s="98"/>
      <c r="D29" s="29"/>
      <c r="E29" s="86"/>
      <c r="F29" s="86"/>
      <c r="G29" s="30"/>
      <c r="H29" s="29"/>
      <c r="I29" s="29"/>
      <c r="J29" s="29"/>
      <c r="K29" s="29"/>
      <c r="L29" s="29"/>
      <c r="M29" s="29"/>
      <c r="N29" s="29"/>
      <c r="O29" s="29"/>
      <c r="P29" s="151"/>
    </row>
    <row r="30" spans="2:16" x14ac:dyDescent="0.25">
      <c r="B30" s="55">
        <v>16</v>
      </c>
      <c r="C30" s="98"/>
      <c r="D30" s="29"/>
      <c r="E30" s="86"/>
      <c r="F30" s="86"/>
      <c r="G30" s="30"/>
      <c r="H30" s="29"/>
      <c r="I30" s="29"/>
      <c r="J30" s="29"/>
      <c r="K30" s="29"/>
      <c r="L30" s="29"/>
      <c r="M30" s="29"/>
      <c r="N30" s="29"/>
      <c r="O30" s="29"/>
      <c r="P30" s="151"/>
    </row>
    <row r="31" spans="2:16" x14ac:dyDescent="0.25">
      <c r="B31" s="55">
        <v>17</v>
      </c>
      <c r="C31" s="98"/>
      <c r="D31" s="29"/>
      <c r="E31" s="86"/>
      <c r="F31" s="86"/>
      <c r="G31" s="30"/>
      <c r="H31" s="29"/>
      <c r="I31" s="29"/>
      <c r="J31" s="29"/>
      <c r="K31" s="29"/>
      <c r="L31" s="29"/>
      <c r="M31" s="29"/>
      <c r="N31" s="29"/>
      <c r="O31" s="29"/>
      <c r="P31" s="151"/>
    </row>
    <row r="32" spans="2:16" x14ac:dyDescent="0.25">
      <c r="B32" s="55">
        <v>18</v>
      </c>
      <c r="C32" s="98"/>
      <c r="D32" s="29"/>
      <c r="E32" s="86"/>
      <c r="F32" s="86"/>
      <c r="G32" s="30"/>
      <c r="H32" s="29"/>
      <c r="I32" s="29"/>
      <c r="J32" s="29"/>
      <c r="K32" s="29"/>
      <c r="L32" s="29"/>
      <c r="M32" s="29"/>
      <c r="N32" s="29"/>
      <c r="O32" s="29"/>
      <c r="P32" s="151"/>
    </row>
    <row r="33" spans="2:16" x14ac:dyDescent="0.25">
      <c r="B33" s="55">
        <v>19</v>
      </c>
      <c r="C33" s="98"/>
      <c r="D33" s="29"/>
      <c r="E33" s="86"/>
      <c r="F33" s="86"/>
      <c r="G33" s="30"/>
      <c r="H33" s="29"/>
      <c r="I33" s="29"/>
      <c r="J33" s="29"/>
      <c r="K33" s="29"/>
      <c r="L33" s="29"/>
      <c r="M33" s="29"/>
      <c r="N33" s="29"/>
      <c r="O33" s="29"/>
      <c r="P33" s="151"/>
    </row>
    <row r="34" spans="2:16" x14ac:dyDescent="0.25">
      <c r="B34" s="55">
        <v>20</v>
      </c>
      <c r="C34" s="98"/>
      <c r="D34" s="29"/>
      <c r="E34" s="86"/>
      <c r="F34" s="86"/>
      <c r="G34" s="30"/>
      <c r="H34" s="29"/>
      <c r="I34" s="29"/>
      <c r="J34" s="29"/>
      <c r="K34" s="29"/>
      <c r="L34" s="29"/>
      <c r="M34" s="29"/>
      <c r="N34" s="29"/>
      <c r="O34" s="29"/>
      <c r="P34" s="151"/>
    </row>
    <row r="35" spans="2:16" x14ac:dyDescent="0.25">
      <c r="B35" s="55">
        <v>21</v>
      </c>
      <c r="C35" s="98"/>
      <c r="D35" s="29"/>
      <c r="E35" s="86"/>
      <c r="F35" s="86"/>
      <c r="G35" s="30"/>
      <c r="H35" s="29"/>
      <c r="I35" s="29"/>
      <c r="J35" s="29"/>
      <c r="K35" s="29"/>
      <c r="L35" s="29"/>
      <c r="M35" s="29"/>
      <c r="N35" s="29"/>
      <c r="O35" s="29"/>
      <c r="P35" s="151"/>
    </row>
    <row r="36" spans="2:16" x14ac:dyDescent="0.25">
      <c r="B36" s="55">
        <v>22</v>
      </c>
      <c r="C36" s="98"/>
      <c r="D36" s="29"/>
      <c r="E36" s="86"/>
      <c r="F36" s="86"/>
      <c r="G36" s="30"/>
      <c r="H36" s="29"/>
      <c r="I36" s="29"/>
      <c r="J36" s="29"/>
      <c r="K36" s="29"/>
      <c r="L36" s="29"/>
      <c r="M36" s="29"/>
      <c r="N36" s="29"/>
      <c r="O36" s="29"/>
      <c r="P36" s="151"/>
    </row>
    <row r="37" spans="2:16" x14ac:dyDescent="0.25">
      <c r="B37" s="55">
        <v>23</v>
      </c>
      <c r="C37" s="98"/>
      <c r="D37" s="29"/>
      <c r="E37" s="86"/>
      <c r="F37" s="86"/>
      <c r="G37" s="30"/>
      <c r="H37" s="29"/>
      <c r="I37" s="29"/>
      <c r="J37" s="29"/>
      <c r="K37" s="29"/>
      <c r="L37" s="29"/>
      <c r="M37" s="29"/>
      <c r="N37" s="29"/>
      <c r="O37" s="29"/>
      <c r="P37" s="151"/>
    </row>
    <row r="38" spans="2:16" x14ac:dyDescent="0.25">
      <c r="B38" s="55">
        <v>24</v>
      </c>
      <c r="C38" s="98"/>
      <c r="D38" s="29"/>
      <c r="E38" s="86"/>
      <c r="F38" s="86"/>
      <c r="G38" s="30"/>
      <c r="H38" s="29"/>
      <c r="I38" s="29"/>
      <c r="J38" s="29"/>
      <c r="K38" s="29"/>
      <c r="L38" s="29"/>
      <c r="M38" s="29"/>
      <c r="N38" s="29"/>
      <c r="O38" s="29"/>
      <c r="P38" s="151"/>
    </row>
    <row r="39" spans="2:16" x14ac:dyDescent="0.25">
      <c r="B39" s="55">
        <v>25</v>
      </c>
      <c r="C39" s="98"/>
      <c r="D39" s="29"/>
      <c r="E39" s="86"/>
      <c r="F39" s="86"/>
      <c r="G39" s="30"/>
      <c r="H39" s="29"/>
      <c r="I39" s="29"/>
      <c r="J39" s="29"/>
      <c r="K39" s="29"/>
      <c r="L39" s="29"/>
      <c r="M39" s="29"/>
      <c r="N39" s="29"/>
      <c r="O39" s="29"/>
      <c r="P39" s="151"/>
    </row>
    <row r="40" spans="2:16" x14ac:dyDescent="0.25">
      <c r="B40" s="55">
        <v>26</v>
      </c>
      <c r="C40" s="98"/>
      <c r="D40" s="29"/>
      <c r="E40" s="86"/>
      <c r="F40" s="86"/>
      <c r="G40" s="30"/>
      <c r="H40" s="29"/>
      <c r="I40" s="29"/>
      <c r="J40" s="29"/>
      <c r="K40" s="29"/>
      <c r="L40" s="29"/>
      <c r="M40" s="29"/>
      <c r="N40" s="29"/>
      <c r="O40" s="29"/>
      <c r="P40" s="151"/>
    </row>
    <row r="41" spans="2:16" x14ac:dyDescent="0.25">
      <c r="B41" s="55">
        <v>27</v>
      </c>
      <c r="C41" s="98"/>
      <c r="D41" s="29"/>
      <c r="E41" s="86"/>
      <c r="F41" s="86"/>
      <c r="G41" s="30"/>
      <c r="H41" s="29"/>
      <c r="I41" s="29"/>
      <c r="J41" s="29"/>
      <c r="K41" s="29"/>
      <c r="L41" s="29"/>
      <c r="M41" s="29"/>
      <c r="N41" s="29"/>
      <c r="O41" s="29"/>
      <c r="P41" s="151"/>
    </row>
    <row r="42" spans="2:16" x14ac:dyDescent="0.25">
      <c r="B42" s="55">
        <v>28</v>
      </c>
      <c r="C42" s="98"/>
      <c r="D42" s="29"/>
      <c r="E42" s="86"/>
      <c r="F42" s="86"/>
      <c r="G42" s="30"/>
      <c r="H42" s="29"/>
      <c r="I42" s="29"/>
      <c r="J42" s="29"/>
      <c r="K42" s="29"/>
      <c r="L42" s="29"/>
      <c r="M42" s="29"/>
      <c r="N42" s="29"/>
      <c r="O42" s="29"/>
      <c r="P42" s="151"/>
    </row>
    <row r="43" spans="2:16" x14ac:dyDescent="0.25">
      <c r="B43" s="55">
        <v>29</v>
      </c>
      <c r="C43" s="98"/>
      <c r="D43" s="29"/>
      <c r="E43" s="86"/>
      <c r="F43" s="86"/>
      <c r="G43" s="30"/>
      <c r="H43" s="29"/>
      <c r="I43" s="29"/>
      <c r="J43" s="29"/>
      <c r="K43" s="29"/>
      <c r="L43" s="29"/>
      <c r="M43" s="29"/>
      <c r="N43" s="29"/>
      <c r="O43" s="29"/>
      <c r="P43" s="151"/>
    </row>
    <row r="44" spans="2:16" x14ac:dyDescent="0.25">
      <c r="B44" s="53">
        <v>30</v>
      </c>
      <c r="C44" s="73"/>
      <c r="D44" s="87"/>
      <c r="E44" s="74"/>
      <c r="F44" s="74"/>
      <c r="G44" s="75"/>
      <c r="H44" s="87"/>
      <c r="I44" s="87"/>
      <c r="J44" s="87"/>
      <c r="K44" s="87"/>
      <c r="L44" s="87"/>
      <c r="M44" s="87"/>
      <c r="N44" s="87"/>
      <c r="O44" s="87"/>
      <c r="P44" s="152"/>
    </row>
    <row r="47" spans="2:16" ht="15" customHeight="1" x14ac:dyDescent="0.25">
      <c r="C47" s="220" t="s">
        <v>49</v>
      </c>
      <c r="D47" s="221"/>
      <c r="E47" s="221"/>
      <c r="F47" s="221"/>
      <c r="G47" s="221"/>
      <c r="H47" s="221"/>
      <c r="I47" s="221"/>
      <c r="J47" s="221"/>
      <c r="K47" s="221"/>
      <c r="L47" s="221"/>
      <c r="M47" s="221"/>
      <c r="N47" s="221"/>
      <c r="O47" s="221"/>
    </row>
    <row r="48" spans="2:16" x14ac:dyDescent="0.25">
      <c r="C48" s="229"/>
      <c r="D48" s="230"/>
      <c r="E48" s="230"/>
      <c r="F48" s="230"/>
      <c r="G48" s="230"/>
      <c r="H48" s="230"/>
      <c r="I48" s="230"/>
      <c r="J48" s="230"/>
      <c r="K48" s="230"/>
      <c r="L48" s="230"/>
      <c r="M48" s="230"/>
      <c r="N48" s="230"/>
      <c r="O48" s="230"/>
    </row>
    <row r="49" spans="3:15" x14ac:dyDescent="0.25">
      <c r="C49" s="229"/>
      <c r="D49" s="230"/>
      <c r="E49" s="230"/>
      <c r="F49" s="230"/>
      <c r="G49" s="230"/>
      <c r="H49" s="230"/>
      <c r="I49" s="230"/>
      <c r="J49" s="230"/>
      <c r="K49" s="230"/>
      <c r="L49" s="230"/>
      <c r="M49" s="230"/>
      <c r="N49" s="230"/>
      <c r="O49" s="230"/>
    </row>
    <row r="50" spans="3:15" x14ac:dyDescent="0.25">
      <c r="C50" s="229"/>
      <c r="D50" s="230"/>
      <c r="E50" s="230"/>
      <c r="F50" s="230"/>
      <c r="G50" s="230"/>
      <c r="H50" s="230"/>
      <c r="I50" s="230"/>
      <c r="J50" s="230"/>
      <c r="K50" s="230"/>
      <c r="L50" s="230"/>
      <c r="M50" s="230"/>
      <c r="N50" s="230"/>
      <c r="O50" s="230"/>
    </row>
    <row r="51" spans="3:15" x14ac:dyDescent="0.25">
      <c r="C51" s="223"/>
      <c r="D51" s="265"/>
      <c r="E51" s="265"/>
      <c r="F51" s="265"/>
      <c r="G51" s="265"/>
      <c r="H51" s="265"/>
      <c r="I51" s="265"/>
      <c r="J51" s="265"/>
      <c r="K51" s="265"/>
      <c r="L51" s="265"/>
      <c r="M51" s="265"/>
      <c r="N51" s="265"/>
      <c r="O51" s="265"/>
    </row>
    <row r="54" spans="3:15" x14ac:dyDescent="0.25">
      <c r="J54" s="4"/>
      <c r="K54" s="4"/>
      <c r="L54" s="4"/>
      <c r="M54" s="4"/>
      <c r="N54" s="4"/>
      <c r="O54" s="4"/>
    </row>
  </sheetData>
  <mergeCells count="5">
    <mergeCell ref="C47:O51"/>
    <mergeCell ref="L5:N9"/>
    <mergeCell ref="C7:I8"/>
    <mergeCell ref="C10:F11"/>
    <mergeCell ref="G10:G1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o_addTrades">
                <anchor moveWithCells="1">
                  <from>
                    <xdr:col>11</xdr:col>
                    <xdr:colOff>1143000</xdr:colOff>
                    <xdr:row>5</xdr:row>
                    <xdr:rowOff>171450</xdr:rowOff>
                  </from>
                  <to>
                    <xdr:col>13</xdr:col>
                    <xdr:colOff>47625</xdr:colOff>
                    <xdr:row>7</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D4FC2-6F52-4A86-B3E8-1D4FE6B767FC}">
  <sheetPr codeName="Sheet3"/>
  <dimension ref="B7:M51"/>
  <sheetViews>
    <sheetView zoomScale="80" zoomScaleNormal="80" workbookViewId="0">
      <selection activeCell="C14" sqref="C14"/>
    </sheetView>
  </sheetViews>
  <sheetFormatPr defaultColWidth="9.140625" defaultRowHeight="15" x14ac:dyDescent="0.25"/>
  <cols>
    <col min="1" max="1" width="7.7109375" customWidth="1"/>
    <col min="2" max="2" width="3.5703125" customWidth="1"/>
    <col min="3" max="3" width="38.140625" customWidth="1"/>
    <col min="4" max="4" width="21.7109375" customWidth="1"/>
    <col min="5" max="5" width="13" style="60" customWidth="1"/>
    <col min="6" max="6" width="14.28515625" customWidth="1"/>
    <col min="8" max="8" width="14.7109375" customWidth="1"/>
  </cols>
  <sheetData>
    <row r="7" spans="2:13" ht="15" customHeight="1" x14ac:dyDescent="0.25">
      <c r="C7" s="257" t="s">
        <v>123</v>
      </c>
      <c r="D7" s="259"/>
      <c r="E7" s="77"/>
    </row>
    <row r="8" spans="2:13" ht="15" customHeight="1" x14ac:dyDescent="0.25">
      <c r="C8" s="260"/>
      <c r="D8" s="262"/>
      <c r="E8" s="77"/>
    </row>
    <row r="9" spans="2:13" ht="15.75" x14ac:dyDescent="0.25">
      <c r="C9" s="52"/>
      <c r="D9" s="52"/>
      <c r="E9" s="61"/>
    </row>
    <row r="10" spans="2:13" ht="15" customHeight="1" x14ac:dyDescent="0.25">
      <c r="C10" s="298" t="s">
        <v>124</v>
      </c>
      <c r="D10" s="299"/>
      <c r="E10" s="140" t="s">
        <v>94</v>
      </c>
      <c r="F10" s="72">
        <f ca="1">TODAY()</f>
        <v>43517</v>
      </c>
      <c r="J10" s="183" t="s">
        <v>125</v>
      </c>
      <c r="K10" s="175"/>
      <c r="L10" s="175"/>
      <c r="M10" s="176"/>
    </row>
    <row r="11" spans="2:13" x14ac:dyDescent="0.25">
      <c r="C11" s="120"/>
      <c r="D11" s="120"/>
      <c r="E11" s="119"/>
      <c r="F11" s="57"/>
      <c r="J11" s="177"/>
      <c r="K11" s="178"/>
      <c r="L11" s="178"/>
      <c r="M11" s="179"/>
    </row>
    <row r="12" spans="2:13" x14ac:dyDescent="0.25">
      <c r="J12" s="177"/>
      <c r="K12" s="178"/>
      <c r="L12" s="178"/>
      <c r="M12" s="179"/>
    </row>
    <row r="13" spans="2:13" ht="15.75" thickBot="1" x14ac:dyDescent="0.3">
      <c r="C13" s="146" t="s">
        <v>39</v>
      </c>
      <c r="D13" s="147" t="s">
        <v>93</v>
      </c>
      <c r="E13" s="148" t="s">
        <v>92</v>
      </c>
      <c r="F13" s="148" t="s">
        <v>116</v>
      </c>
      <c r="G13" s="148" t="s">
        <v>148</v>
      </c>
      <c r="H13" s="185" t="s">
        <v>16</v>
      </c>
      <c r="J13" s="180"/>
      <c r="K13" s="181"/>
      <c r="L13" s="181"/>
      <c r="M13" s="182"/>
    </row>
    <row r="14" spans="2:13" ht="15.75" thickTop="1" x14ac:dyDescent="0.25">
      <c r="C14" s="98" t="str">
        <f>Setup!D14</f>
        <v/>
      </c>
      <c r="D14" s="29">
        <v>1</v>
      </c>
      <c r="E14" s="29">
        <v>300</v>
      </c>
      <c r="F14" s="29">
        <v>400</v>
      </c>
      <c r="G14" s="184" t="s">
        <v>100</v>
      </c>
      <c r="H14" s="150" t="s">
        <v>231</v>
      </c>
    </row>
    <row r="15" spans="2:13" x14ac:dyDescent="0.25">
      <c r="C15" s="98" t="str">
        <f>Setup!D15</f>
        <v/>
      </c>
      <c r="D15" s="29"/>
      <c r="E15" s="29"/>
      <c r="F15" s="29"/>
      <c r="G15" s="118"/>
      <c r="H15" s="151"/>
    </row>
    <row r="16" spans="2:13" x14ac:dyDescent="0.25">
      <c r="B16" s="54">
        <v>1</v>
      </c>
      <c r="C16" s="98" t="str">
        <f>Setup!D16</f>
        <v/>
      </c>
      <c r="D16" s="29"/>
      <c r="E16" s="29"/>
      <c r="F16" s="29"/>
      <c r="G16" s="118"/>
      <c r="H16" s="151"/>
    </row>
    <row r="17" spans="2:8" x14ac:dyDescent="0.25">
      <c r="B17" s="55">
        <v>2</v>
      </c>
      <c r="C17" s="98" t="str">
        <f>Setup!D17</f>
        <v/>
      </c>
      <c r="D17" s="29"/>
      <c r="E17" s="29"/>
      <c r="F17" s="29"/>
      <c r="G17" s="118"/>
      <c r="H17" s="151"/>
    </row>
    <row r="18" spans="2:8" x14ac:dyDescent="0.25">
      <c r="B18" s="55">
        <v>3</v>
      </c>
      <c r="C18" s="98" t="str">
        <f>Setup!D18</f>
        <v/>
      </c>
      <c r="D18" s="29"/>
      <c r="E18" s="29"/>
      <c r="F18" s="29"/>
      <c r="G18" s="118"/>
      <c r="H18" s="151"/>
    </row>
    <row r="19" spans="2:8" x14ac:dyDescent="0.25">
      <c r="B19" s="55">
        <v>4</v>
      </c>
      <c r="C19" s="98" t="str">
        <f>Setup!D19</f>
        <v/>
      </c>
      <c r="D19" s="29"/>
      <c r="E19" s="29"/>
      <c r="F19" s="29"/>
      <c r="G19" s="118"/>
      <c r="H19" s="151"/>
    </row>
    <row r="20" spans="2:8" x14ac:dyDescent="0.25">
      <c r="B20" s="55">
        <v>5</v>
      </c>
      <c r="C20" s="98" t="str">
        <f>Setup!D20</f>
        <v/>
      </c>
      <c r="D20" s="29"/>
      <c r="E20" s="29"/>
      <c r="F20" s="29"/>
      <c r="G20" s="118"/>
      <c r="H20" s="151"/>
    </row>
    <row r="21" spans="2:8" x14ac:dyDescent="0.25">
      <c r="B21" s="55">
        <v>6</v>
      </c>
      <c r="C21" s="98" t="str">
        <f>Setup!D21</f>
        <v/>
      </c>
      <c r="D21" s="29"/>
      <c r="E21" s="29"/>
      <c r="F21" s="29"/>
      <c r="G21" s="118"/>
      <c r="H21" s="151"/>
    </row>
    <row r="22" spans="2:8" x14ac:dyDescent="0.25">
      <c r="B22" s="55">
        <v>7</v>
      </c>
      <c r="C22" s="98" t="str">
        <f>Setup!D22</f>
        <v/>
      </c>
      <c r="D22" s="29"/>
      <c r="E22" s="29"/>
      <c r="F22" s="29"/>
      <c r="G22" s="118"/>
      <c r="H22" s="151"/>
    </row>
    <row r="23" spans="2:8" x14ac:dyDescent="0.25">
      <c r="B23" s="55">
        <v>8</v>
      </c>
      <c r="C23" s="98" t="str">
        <f>Setup!D23</f>
        <v/>
      </c>
      <c r="D23" s="29"/>
      <c r="E23" s="29"/>
      <c r="F23" s="29"/>
      <c r="G23" s="118"/>
      <c r="H23" s="151"/>
    </row>
    <row r="24" spans="2:8" x14ac:dyDescent="0.25">
      <c r="B24" s="55">
        <v>9</v>
      </c>
      <c r="C24" s="98" t="str">
        <f>Setup!D24</f>
        <v/>
      </c>
      <c r="D24" s="29"/>
      <c r="E24" s="29"/>
      <c r="F24" s="29"/>
      <c r="G24" s="118"/>
      <c r="H24" s="151"/>
    </row>
    <row r="25" spans="2:8" x14ac:dyDescent="0.25">
      <c r="B25" s="55">
        <v>10</v>
      </c>
      <c r="C25" s="98" t="str">
        <f>Setup!D25</f>
        <v/>
      </c>
      <c r="D25" s="29"/>
      <c r="E25" s="29"/>
      <c r="F25" s="29"/>
      <c r="G25" s="118"/>
      <c r="H25" s="151"/>
    </row>
    <row r="26" spans="2:8" x14ac:dyDescent="0.25">
      <c r="B26" s="55">
        <v>11</v>
      </c>
      <c r="C26" s="98" t="str">
        <f>Setup!D26</f>
        <v/>
      </c>
      <c r="D26" s="29"/>
      <c r="E26" s="29"/>
      <c r="F26" s="29"/>
      <c r="G26" s="118"/>
      <c r="H26" s="151"/>
    </row>
    <row r="27" spans="2:8" x14ac:dyDescent="0.25">
      <c r="B27" s="55">
        <v>12</v>
      </c>
      <c r="C27" s="98" t="str">
        <f>Setup!D27</f>
        <v/>
      </c>
      <c r="D27" s="29"/>
      <c r="E27" s="29"/>
      <c r="F27" s="29"/>
      <c r="G27" s="118"/>
      <c r="H27" s="151"/>
    </row>
    <row r="28" spans="2:8" x14ac:dyDescent="0.25">
      <c r="B28" s="55">
        <v>13</v>
      </c>
      <c r="C28" s="98" t="str">
        <f>Setup!D28</f>
        <v/>
      </c>
      <c r="D28" s="29"/>
      <c r="E28" s="29"/>
      <c r="F28" s="29"/>
      <c r="G28" s="118"/>
      <c r="H28" s="151"/>
    </row>
    <row r="29" spans="2:8" x14ac:dyDescent="0.25">
      <c r="B29" s="55">
        <v>14</v>
      </c>
      <c r="C29" s="98" t="str">
        <f>Setup!D29</f>
        <v/>
      </c>
      <c r="D29" s="29"/>
      <c r="E29" s="29"/>
      <c r="F29" s="29"/>
      <c r="G29" s="118"/>
      <c r="H29" s="151"/>
    </row>
    <row r="30" spans="2:8" x14ac:dyDescent="0.25">
      <c r="B30" s="55">
        <v>15</v>
      </c>
      <c r="C30" s="98" t="str">
        <f>Setup!D30</f>
        <v/>
      </c>
      <c r="D30" s="29"/>
      <c r="E30" s="29"/>
      <c r="F30" s="29"/>
      <c r="G30" s="118"/>
      <c r="H30" s="151"/>
    </row>
    <row r="31" spans="2:8" x14ac:dyDescent="0.25">
      <c r="B31" s="55">
        <v>16</v>
      </c>
      <c r="C31" s="98" t="str">
        <f>Setup!D31</f>
        <v/>
      </c>
      <c r="D31" s="29"/>
      <c r="E31" s="29"/>
      <c r="F31" s="29"/>
      <c r="G31" s="118"/>
      <c r="H31" s="151"/>
    </row>
    <row r="32" spans="2:8" x14ac:dyDescent="0.25">
      <c r="B32" s="55">
        <v>17</v>
      </c>
      <c r="C32" s="98" t="str">
        <f>Setup!D32</f>
        <v/>
      </c>
      <c r="D32" s="29"/>
      <c r="E32" s="29"/>
      <c r="F32" s="29"/>
      <c r="G32" s="118"/>
      <c r="H32" s="151"/>
    </row>
    <row r="33" spans="2:8" x14ac:dyDescent="0.25">
      <c r="B33" s="55">
        <v>18</v>
      </c>
      <c r="C33" s="98" t="str">
        <f>Setup!D33</f>
        <v/>
      </c>
      <c r="D33" s="29"/>
      <c r="E33" s="29"/>
      <c r="F33" s="29"/>
      <c r="G33" s="118"/>
      <c r="H33" s="151"/>
    </row>
    <row r="34" spans="2:8" x14ac:dyDescent="0.25">
      <c r="B34" s="55">
        <v>19</v>
      </c>
      <c r="C34" s="98" t="str">
        <f>Setup!D34</f>
        <v/>
      </c>
      <c r="D34" s="29"/>
      <c r="E34" s="29"/>
      <c r="F34" s="29"/>
      <c r="G34" s="118"/>
      <c r="H34" s="151"/>
    </row>
    <row r="35" spans="2:8" x14ac:dyDescent="0.25">
      <c r="B35" s="55">
        <v>20</v>
      </c>
      <c r="C35" s="98" t="str">
        <f>Setup!D35</f>
        <v/>
      </c>
      <c r="D35" s="29"/>
      <c r="E35" s="29"/>
      <c r="F35" s="29"/>
      <c r="G35" s="118"/>
      <c r="H35" s="151"/>
    </row>
    <row r="36" spans="2:8" x14ac:dyDescent="0.25">
      <c r="B36" s="55">
        <v>21</v>
      </c>
      <c r="C36" s="98"/>
      <c r="D36" s="29"/>
      <c r="E36" s="29"/>
      <c r="F36" s="29"/>
      <c r="G36" s="118"/>
      <c r="H36" s="151"/>
    </row>
    <row r="37" spans="2:8" x14ac:dyDescent="0.25">
      <c r="B37" s="55">
        <v>22</v>
      </c>
      <c r="C37" s="98"/>
      <c r="D37" s="29"/>
      <c r="E37" s="29"/>
      <c r="F37" s="29"/>
      <c r="G37" s="118"/>
      <c r="H37" s="151"/>
    </row>
    <row r="38" spans="2:8" x14ac:dyDescent="0.25">
      <c r="B38" s="55">
        <v>23</v>
      </c>
      <c r="C38" s="98"/>
      <c r="D38" s="29"/>
      <c r="E38" s="29"/>
      <c r="F38" s="29"/>
      <c r="G38" s="118"/>
      <c r="H38" s="151"/>
    </row>
    <row r="39" spans="2:8" x14ac:dyDescent="0.25">
      <c r="B39" s="55">
        <v>24</v>
      </c>
      <c r="C39" s="98"/>
      <c r="D39" s="29"/>
      <c r="E39" s="29"/>
      <c r="F39" s="29"/>
      <c r="G39" s="118"/>
      <c r="H39" s="151"/>
    </row>
    <row r="40" spans="2:8" x14ac:dyDescent="0.25">
      <c r="B40" s="55">
        <v>25</v>
      </c>
      <c r="C40" s="98"/>
      <c r="D40" s="29"/>
      <c r="E40" s="29"/>
      <c r="F40" s="29"/>
      <c r="G40" s="118"/>
      <c r="H40" s="151"/>
    </row>
    <row r="41" spans="2:8" x14ac:dyDescent="0.25">
      <c r="B41" s="55">
        <v>26</v>
      </c>
      <c r="C41" s="98"/>
      <c r="D41" s="29"/>
      <c r="E41" s="29"/>
      <c r="F41" s="29"/>
      <c r="G41" s="118"/>
      <c r="H41" s="151"/>
    </row>
    <row r="42" spans="2:8" x14ac:dyDescent="0.25">
      <c r="B42" s="55">
        <v>27</v>
      </c>
      <c r="C42" s="98"/>
      <c r="D42" s="29"/>
      <c r="E42" s="29"/>
      <c r="F42" s="29"/>
      <c r="G42" s="118"/>
      <c r="H42" s="151"/>
    </row>
    <row r="43" spans="2:8" x14ac:dyDescent="0.25">
      <c r="B43" s="55">
        <v>28</v>
      </c>
      <c r="C43" s="98"/>
      <c r="D43" s="29"/>
      <c r="E43" s="29"/>
      <c r="F43" s="29"/>
      <c r="G43" s="118"/>
      <c r="H43" s="151"/>
    </row>
    <row r="44" spans="2:8" x14ac:dyDescent="0.25">
      <c r="B44" s="55">
        <v>29</v>
      </c>
      <c r="C44" s="118"/>
      <c r="D44" s="118"/>
      <c r="E44" s="118"/>
      <c r="F44" s="118"/>
      <c r="G44" s="118"/>
      <c r="H44" s="151"/>
    </row>
    <row r="45" spans="2:8" x14ac:dyDescent="0.25">
      <c r="B45" s="53">
        <v>30</v>
      </c>
      <c r="C45" s="149"/>
      <c r="D45" s="149"/>
      <c r="E45" s="149"/>
      <c r="F45" s="149"/>
      <c r="G45" s="149"/>
      <c r="H45" s="152"/>
    </row>
    <row r="47" spans="2:8" x14ac:dyDescent="0.25">
      <c r="C47" s="220" t="s">
        <v>91</v>
      </c>
      <c r="D47" s="221"/>
      <c r="E47" s="221"/>
      <c r="F47" s="222"/>
    </row>
    <row r="48" spans="2:8" x14ac:dyDescent="0.25">
      <c r="C48" s="229"/>
      <c r="D48" s="230"/>
      <c r="E48" s="230"/>
      <c r="F48" s="231"/>
    </row>
    <row r="49" spans="3:6" ht="15" customHeight="1" x14ac:dyDescent="0.25">
      <c r="C49" s="229"/>
      <c r="D49" s="230"/>
      <c r="E49" s="230"/>
      <c r="F49" s="231"/>
    </row>
    <row r="50" spans="3:6" x14ac:dyDescent="0.25">
      <c r="C50" s="229"/>
      <c r="D50" s="230"/>
      <c r="E50" s="230"/>
      <c r="F50" s="231"/>
    </row>
    <row r="51" spans="3:6" x14ac:dyDescent="0.25">
      <c r="C51" s="223"/>
      <c r="D51" s="265"/>
      <c r="E51" s="265"/>
      <c r="F51" s="225"/>
    </row>
  </sheetData>
  <mergeCells count="3">
    <mergeCell ref="C7:D8"/>
    <mergeCell ref="C10:D10"/>
    <mergeCell ref="C47:F5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do_AdjustHoldings">
                <anchor moveWithCells="1">
                  <from>
                    <xdr:col>9</xdr:col>
                    <xdr:colOff>523875</xdr:colOff>
                    <xdr:row>10</xdr:row>
                    <xdr:rowOff>47625</xdr:rowOff>
                  </from>
                  <to>
                    <xdr:col>12</xdr:col>
                    <xdr:colOff>219075</xdr:colOff>
                    <xdr:row>12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6C8A8-884E-4F80-8F87-85D1A5D85139}">
  <sheetPr codeName="Sheet10"/>
  <dimension ref="A1:W56"/>
  <sheetViews>
    <sheetView zoomScale="80" zoomScaleNormal="80" workbookViewId="0">
      <selection activeCell="C16" sqref="C16:S22"/>
    </sheetView>
  </sheetViews>
  <sheetFormatPr defaultRowHeight="15" x14ac:dyDescent="0.25"/>
  <cols>
    <col min="3" max="3" width="15.28515625" bestFit="1" customWidth="1"/>
    <col min="4" max="4" width="16.5703125" bestFit="1" customWidth="1"/>
    <col min="5" max="5" width="18" style="57" bestFit="1" customWidth="1"/>
    <col min="6" max="6" width="17.28515625" style="57" bestFit="1" customWidth="1"/>
    <col min="7" max="7" width="17.85546875" bestFit="1" customWidth="1"/>
    <col min="8" max="8" width="29.5703125" bestFit="1" customWidth="1"/>
    <col min="9" max="9" width="21.5703125" bestFit="1" customWidth="1"/>
    <col min="10" max="10" width="7.7109375" bestFit="1" customWidth="1"/>
    <col min="11" max="11" width="18" bestFit="1" customWidth="1"/>
    <col min="12" max="12" width="20.85546875" bestFit="1" customWidth="1"/>
    <col min="13" max="13" width="15.28515625" bestFit="1" customWidth="1"/>
    <col min="14" max="14" width="16.42578125" bestFit="1" customWidth="1"/>
    <col min="15" max="15" width="12" bestFit="1" customWidth="1"/>
    <col min="16" max="16" width="22.140625" bestFit="1" customWidth="1"/>
    <col min="17" max="17" width="18.140625" bestFit="1" customWidth="1"/>
    <col min="18" max="18" width="16.42578125" bestFit="1" customWidth="1"/>
    <col min="19" max="19" width="12" bestFit="1" customWidth="1"/>
    <col min="20" max="20" width="18.140625" bestFit="1" customWidth="1"/>
    <col min="21" max="21" width="22.140625" bestFit="1" customWidth="1"/>
    <col min="22" max="22" width="36.7109375" bestFit="1" customWidth="1"/>
  </cols>
  <sheetData>
    <row r="1" spans="1:14" x14ac:dyDescent="0.25">
      <c r="A1" s="29"/>
    </row>
    <row r="7" spans="1:14" ht="15" customHeight="1" x14ac:dyDescent="0.25">
      <c r="C7" s="257" t="s">
        <v>90</v>
      </c>
      <c r="D7" s="258"/>
      <c r="E7" s="258"/>
      <c r="F7" s="258"/>
      <c r="G7" s="258"/>
      <c r="H7" s="258"/>
      <c r="I7" s="258"/>
      <c r="J7" s="258"/>
      <c r="K7" s="258"/>
      <c r="L7" s="258"/>
      <c r="M7" s="258"/>
      <c r="N7" s="259"/>
    </row>
    <row r="8" spans="1:14" ht="15" customHeight="1" x14ac:dyDescent="0.25">
      <c r="C8" s="260"/>
      <c r="D8" s="268"/>
      <c r="E8" s="268"/>
      <c r="F8" s="268"/>
      <c r="G8" s="268"/>
      <c r="H8" s="268"/>
      <c r="I8" s="268"/>
      <c r="J8" s="268"/>
      <c r="K8" s="268"/>
      <c r="L8" s="268"/>
      <c r="M8" s="268"/>
      <c r="N8" s="262"/>
    </row>
    <row r="9" spans="1:14" ht="15.75" x14ac:dyDescent="0.25">
      <c r="C9" s="52"/>
      <c r="D9" s="52"/>
      <c r="E9" s="56"/>
      <c r="F9" s="56"/>
      <c r="G9" s="52"/>
      <c r="H9" s="52"/>
      <c r="I9" s="52"/>
    </row>
    <row r="10" spans="1:14" ht="15.75" x14ac:dyDescent="0.25">
      <c r="C10" s="301" t="s">
        <v>50</v>
      </c>
      <c r="D10" s="302"/>
      <c r="E10" s="302"/>
      <c r="F10" s="303"/>
      <c r="G10" s="52"/>
      <c r="H10" s="313" t="s">
        <v>84</v>
      </c>
      <c r="I10" s="314"/>
      <c r="J10" s="314"/>
      <c r="K10" s="314"/>
      <c r="L10" s="314"/>
      <c r="M10" s="314"/>
      <c r="N10" s="315"/>
    </row>
    <row r="11" spans="1:14" ht="15.75" x14ac:dyDescent="0.25">
      <c r="C11" s="52"/>
      <c r="D11" s="52"/>
      <c r="E11" s="56"/>
      <c r="F11" s="56"/>
      <c r="G11" s="52"/>
      <c r="H11" s="316"/>
      <c r="I11" s="252"/>
      <c r="J11" s="252"/>
      <c r="K11" s="252"/>
      <c r="L11" s="252"/>
      <c r="M11" s="252"/>
      <c r="N11" s="317"/>
    </row>
    <row r="12" spans="1:14" x14ac:dyDescent="0.25">
      <c r="C12" s="304" t="s">
        <v>127</v>
      </c>
      <c r="D12" s="305"/>
      <c r="E12" s="305"/>
      <c r="F12" s="306"/>
      <c r="G12" s="300"/>
      <c r="H12" s="316"/>
      <c r="I12" s="252"/>
      <c r="J12" s="252"/>
      <c r="K12" s="252"/>
      <c r="L12" s="252"/>
      <c r="M12" s="252"/>
      <c r="N12" s="317"/>
    </row>
    <row r="13" spans="1:14" x14ac:dyDescent="0.25">
      <c r="C13" s="307"/>
      <c r="D13" s="308"/>
      <c r="E13" s="308"/>
      <c r="F13" s="309"/>
      <c r="G13" s="300"/>
      <c r="H13" s="316"/>
      <c r="I13" s="252"/>
      <c r="J13" s="252"/>
      <c r="K13" s="252"/>
      <c r="L13" s="252"/>
      <c r="M13" s="252"/>
      <c r="N13" s="317"/>
    </row>
    <row r="14" spans="1:14" x14ac:dyDescent="0.25">
      <c r="C14" s="310"/>
      <c r="D14" s="311"/>
      <c r="E14" s="311"/>
      <c r="F14" s="312"/>
      <c r="G14" s="76"/>
      <c r="H14" s="318"/>
      <c r="I14" s="319"/>
      <c r="J14" s="319"/>
      <c r="K14" s="319"/>
      <c r="L14" s="319"/>
      <c r="M14" s="319"/>
      <c r="N14" s="320"/>
    </row>
    <row r="15" spans="1:14" x14ac:dyDescent="0.25">
      <c r="G15" s="1"/>
    </row>
    <row r="16" spans="1:14" x14ac:dyDescent="0.25">
      <c r="E16"/>
      <c r="F16"/>
    </row>
    <row r="17" spans="2:23" x14ac:dyDescent="0.25">
      <c r="E17"/>
      <c r="F17"/>
      <c r="W17" s="99"/>
    </row>
    <row r="18" spans="2:23" x14ac:dyDescent="0.25">
      <c r="E18"/>
      <c r="F18"/>
      <c r="W18" s="99"/>
    </row>
    <row r="19" spans="2:23" x14ac:dyDescent="0.25">
      <c r="E19"/>
      <c r="F19"/>
      <c r="W19" s="99"/>
    </row>
    <row r="20" spans="2:23" x14ac:dyDescent="0.25">
      <c r="E20"/>
      <c r="F20"/>
      <c r="W20" s="99"/>
    </row>
    <row r="21" spans="2:23" x14ac:dyDescent="0.25">
      <c r="E21"/>
      <c r="F21"/>
      <c r="W21" s="99"/>
    </row>
    <row r="22" spans="2:23" x14ac:dyDescent="0.25">
      <c r="E22"/>
      <c r="F22"/>
      <c r="W22" s="99"/>
    </row>
    <row r="23" spans="2:23" x14ac:dyDescent="0.25">
      <c r="E23"/>
      <c r="F23"/>
      <c r="W23" s="99"/>
    </row>
    <row r="24" spans="2:23" x14ac:dyDescent="0.25">
      <c r="E24"/>
      <c r="F24"/>
      <c r="W24" s="99"/>
    </row>
    <row r="25" spans="2:23" x14ac:dyDescent="0.25">
      <c r="E25"/>
      <c r="F25"/>
      <c r="W25" s="99"/>
    </row>
    <row r="26" spans="2:23" x14ac:dyDescent="0.25">
      <c r="B26" s="20"/>
      <c r="E26"/>
      <c r="F26"/>
      <c r="T26" s="99"/>
      <c r="U26" s="99"/>
      <c r="V26" s="99"/>
      <c r="W26" s="99"/>
    </row>
    <row r="27" spans="2:23" x14ac:dyDescent="0.25">
      <c r="B27" s="20"/>
      <c r="E27"/>
      <c r="F27"/>
      <c r="T27" s="99"/>
      <c r="U27" s="99"/>
      <c r="V27" s="99"/>
      <c r="W27" s="99"/>
    </row>
    <row r="28" spans="2:23" x14ac:dyDescent="0.25">
      <c r="B28" s="20"/>
      <c r="E28"/>
      <c r="F28"/>
      <c r="T28" s="99"/>
      <c r="U28" s="99"/>
      <c r="V28" s="99"/>
      <c r="W28" s="99"/>
    </row>
    <row r="29" spans="2:23" x14ac:dyDescent="0.25">
      <c r="B29" s="20"/>
      <c r="E29"/>
      <c r="F29"/>
      <c r="T29" s="99"/>
      <c r="U29" s="99"/>
      <c r="V29" s="99"/>
      <c r="W29" s="99"/>
    </row>
    <row r="30" spans="2:23" x14ac:dyDescent="0.25">
      <c r="B30" s="20"/>
      <c r="E30"/>
      <c r="F30"/>
      <c r="T30" s="99"/>
      <c r="U30" s="99"/>
      <c r="V30" s="99"/>
      <c r="W30" s="99"/>
    </row>
    <row r="31" spans="2:23" x14ac:dyDescent="0.25">
      <c r="B31" s="20"/>
      <c r="E31"/>
      <c r="F31"/>
      <c r="T31" s="99"/>
      <c r="U31" s="99"/>
      <c r="V31" s="99"/>
      <c r="W31" s="99"/>
    </row>
    <row r="32" spans="2:23" x14ac:dyDescent="0.25">
      <c r="B32" s="20"/>
      <c r="E32"/>
      <c r="F32"/>
      <c r="T32" s="99"/>
      <c r="U32" s="99"/>
      <c r="V32" s="99"/>
      <c r="W32" s="99"/>
    </row>
    <row r="33" spans="2:23" x14ac:dyDescent="0.25">
      <c r="B33" s="20"/>
      <c r="E33"/>
      <c r="F33"/>
      <c r="T33" s="99"/>
      <c r="U33" s="99"/>
      <c r="V33" s="99"/>
      <c r="W33" s="99"/>
    </row>
    <row r="34" spans="2:23" x14ac:dyDescent="0.25">
      <c r="B34" s="20"/>
      <c r="E34"/>
      <c r="F34"/>
      <c r="T34" s="99"/>
      <c r="U34" s="99"/>
      <c r="V34" s="99"/>
      <c r="W34" s="99"/>
    </row>
    <row r="35" spans="2:23" x14ac:dyDescent="0.25">
      <c r="B35" s="20"/>
      <c r="E35"/>
      <c r="F35"/>
      <c r="T35" s="99"/>
      <c r="U35" s="99"/>
      <c r="V35" s="99"/>
      <c r="W35" s="99"/>
    </row>
    <row r="36" spans="2:23" x14ac:dyDescent="0.25">
      <c r="B36" s="20"/>
      <c r="E36"/>
      <c r="F36"/>
      <c r="T36" s="99"/>
      <c r="U36" s="99"/>
      <c r="V36" s="99"/>
      <c r="W36" s="99"/>
    </row>
    <row r="37" spans="2:23" x14ac:dyDescent="0.25">
      <c r="B37" s="20"/>
      <c r="E37"/>
      <c r="F37"/>
      <c r="T37" s="99"/>
      <c r="U37" s="99"/>
      <c r="V37" s="99"/>
      <c r="W37" s="99"/>
    </row>
    <row r="38" spans="2:23" x14ac:dyDescent="0.25">
      <c r="B38" s="20"/>
      <c r="E38"/>
      <c r="F38"/>
      <c r="T38" s="99"/>
      <c r="U38" s="99"/>
      <c r="V38" s="99"/>
      <c r="W38" s="99"/>
    </row>
    <row r="39" spans="2:23" x14ac:dyDescent="0.25">
      <c r="B39" s="20"/>
      <c r="E39"/>
      <c r="F39"/>
      <c r="T39" s="99"/>
      <c r="U39" s="99"/>
      <c r="V39" s="99"/>
      <c r="W39" s="99"/>
    </row>
    <row r="40" spans="2:23" x14ac:dyDescent="0.25">
      <c r="B40" s="20"/>
      <c r="E40"/>
      <c r="F40"/>
      <c r="T40" s="99"/>
      <c r="U40" s="99"/>
      <c r="V40" s="99"/>
      <c r="W40" s="99"/>
    </row>
    <row r="41" spans="2:23" x14ac:dyDescent="0.25">
      <c r="B41" s="20"/>
      <c r="E41"/>
      <c r="F41"/>
      <c r="T41" s="99"/>
      <c r="U41" s="99"/>
      <c r="V41" s="99"/>
      <c r="W41" s="99"/>
    </row>
    <row r="42" spans="2:23" x14ac:dyDescent="0.25">
      <c r="B42" s="20"/>
      <c r="E42"/>
      <c r="F42"/>
      <c r="T42" s="99"/>
      <c r="U42" s="99"/>
      <c r="V42" s="99"/>
      <c r="W42" s="99"/>
    </row>
    <row r="43" spans="2:23" x14ac:dyDescent="0.25">
      <c r="B43" s="20"/>
      <c r="E43"/>
      <c r="F43"/>
      <c r="T43" s="99"/>
      <c r="U43" s="99"/>
      <c r="V43" s="99"/>
      <c r="W43" s="99"/>
    </row>
    <row r="44" spans="2:23" x14ac:dyDescent="0.25">
      <c r="B44" s="20"/>
      <c r="E44"/>
      <c r="F44"/>
      <c r="T44" s="99"/>
      <c r="U44" s="99"/>
      <c r="V44" s="99"/>
      <c r="W44" s="99"/>
    </row>
    <row r="45" spans="2:23" x14ac:dyDescent="0.25">
      <c r="B45" s="20"/>
      <c r="E45"/>
      <c r="F45"/>
      <c r="T45" s="99"/>
      <c r="U45" s="99"/>
      <c r="V45" s="99"/>
      <c r="W45" s="99"/>
    </row>
    <row r="46" spans="2:23" x14ac:dyDescent="0.25">
      <c r="B46" s="20"/>
      <c r="E46"/>
      <c r="F46"/>
      <c r="T46" s="99"/>
      <c r="U46" s="99"/>
      <c r="V46" s="99"/>
      <c r="W46" s="99"/>
    </row>
    <row r="47" spans="2:23" x14ac:dyDescent="0.25">
      <c r="B47" s="20"/>
      <c r="E47"/>
      <c r="F47"/>
      <c r="T47" s="99"/>
      <c r="U47" s="99"/>
      <c r="V47" s="99"/>
      <c r="W47" s="99"/>
    </row>
    <row r="48" spans="2:23" x14ac:dyDescent="0.25">
      <c r="E48"/>
      <c r="F48"/>
    </row>
    <row r="49" spans="3:19" x14ac:dyDescent="0.25">
      <c r="E49"/>
      <c r="F49"/>
    </row>
    <row r="50" spans="3:19" x14ac:dyDescent="0.25">
      <c r="E50"/>
      <c r="F50"/>
    </row>
    <row r="51" spans="3:19" x14ac:dyDescent="0.25">
      <c r="E51"/>
      <c r="F51"/>
    </row>
    <row r="52" spans="3:19" x14ac:dyDescent="0.25">
      <c r="E52"/>
      <c r="F52"/>
    </row>
    <row r="53" spans="3:19" x14ac:dyDescent="0.25">
      <c r="E53"/>
      <c r="F53"/>
    </row>
    <row r="54" spans="3:19" x14ac:dyDescent="0.25">
      <c r="C54" s="4"/>
      <c r="D54" s="4"/>
      <c r="E54" s="4"/>
      <c r="F54" s="4"/>
      <c r="G54" s="4"/>
      <c r="H54" s="4"/>
      <c r="I54" s="4"/>
      <c r="J54" s="4"/>
      <c r="K54" s="4"/>
      <c r="L54" s="4"/>
      <c r="M54" s="4"/>
      <c r="N54" s="4"/>
      <c r="O54" s="4"/>
      <c r="P54" s="4"/>
      <c r="Q54" s="4"/>
      <c r="R54" s="4"/>
      <c r="S54" s="4"/>
    </row>
    <row r="55" spans="3:19" x14ac:dyDescent="0.25">
      <c r="C55" s="4"/>
      <c r="D55" s="4"/>
      <c r="E55" s="4"/>
      <c r="F55" s="4"/>
      <c r="G55" s="4"/>
      <c r="H55" s="4"/>
      <c r="I55" s="4"/>
      <c r="J55" s="4"/>
      <c r="K55" s="4"/>
      <c r="L55" s="4"/>
      <c r="M55" s="4"/>
      <c r="N55" s="4"/>
      <c r="O55" s="4"/>
      <c r="P55" s="4"/>
      <c r="Q55" s="4"/>
      <c r="R55" s="4"/>
      <c r="S55" s="4"/>
    </row>
    <row r="56" spans="3:19" x14ac:dyDescent="0.25">
      <c r="C56" s="4"/>
      <c r="D56" s="4"/>
      <c r="E56" s="4"/>
      <c r="F56" s="4"/>
      <c r="G56" s="4"/>
      <c r="H56" s="4"/>
      <c r="I56" s="4"/>
      <c r="J56" s="4"/>
      <c r="K56" s="4"/>
      <c r="L56" s="4"/>
      <c r="M56" s="4"/>
      <c r="N56" s="4"/>
      <c r="O56" s="4"/>
      <c r="P56" s="4"/>
      <c r="Q56" s="4"/>
      <c r="R56" s="4"/>
      <c r="S56" s="4"/>
    </row>
  </sheetData>
  <mergeCells count="5">
    <mergeCell ref="G12:G13"/>
    <mergeCell ref="C7:N8"/>
    <mergeCell ref="C10:F10"/>
    <mergeCell ref="C12:F14"/>
    <mergeCell ref="H10:N1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do_MasterTradesRefresh">
                <anchor moveWithCells="1">
                  <from>
                    <xdr:col>5</xdr:col>
                    <xdr:colOff>85725</xdr:colOff>
                    <xdr:row>11</xdr:row>
                    <xdr:rowOff>95250</xdr:rowOff>
                  </from>
                  <to>
                    <xdr:col>5</xdr:col>
                    <xdr:colOff>857250</xdr:colOff>
                    <xdr:row>13</xdr:row>
                    <xdr:rowOff>76200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51086-323D-487A-86C8-DBEFB1AEB3B1}">
  <sheetPr codeName="Sheet9"/>
  <dimension ref="B2:O16"/>
  <sheetViews>
    <sheetView zoomScale="80" zoomScaleNormal="80" workbookViewId="0">
      <selection activeCell="B17" sqref="B17:G20"/>
    </sheetView>
  </sheetViews>
  <sheetFormatPr defaultRowHeight="15" x14ac:dyDescent="0.25"/>
  <cols>
    <col min="2" max="2" width="16.5703125" bestFit="1" customWidth="1"/>
    <col min="3" max="3" width="13.85546875" bestFit="1" customWidth="1"/>
    <col min="4" max="4" width="6.42578125" bestFit="1" customWidth="1"/>
    <col min="5" max="5" width="13.42578125" bestFit="1" customWidth="1"/>
    <col min="6" max="6" width="5.28515625" bestFit="1" customWidth="1"/>
    <col min="7" max="7" width="16.7109375" bestFit="1" customWidth="1"/>
    <col min="8" max="8" width="20.85546875" bestFit="1" customWidth="1"/>
    <col min="9" max="9" width="15.5703125" bestFit="1" customWidth="1"/>
    <col min="10" max="10" width="15.7109375" bestFit="1" customWidth="1"/>
    <col min="11" max="11" width="17.140625" bestFit="1" customWidth="1"/>
    <col min="12" max="12" width="10.28515625" bestFit="1" customWidth="1"/>
    <col min="13" max="13" width="7.7109375" bestFit="1" customWidth="1"/>
    <col min="14" max="14" width="12" bestFit="1" customWidth="1"/>
    <col min="15" max="15" width="20.85546875" bestFit="1" customWidth="1"/>
    <col min="16" max="16" width="15.28515625" bestFit="1" customWidth="1"/>
    <col min="17" max="17" width="16.42578125" bestFit="1" customWidth="1"/>
    <col min="18" max="18" width="12" bestFit="1" customWidth="1"/>
    <col min="19" max="19" width="51.28515625" bestFit="1" customWidth="1"/>
    <col min="20" max="20" width="37.28515625" bestFit="1" customWidth="1"/>
  </cols>
  <sheetData>
    <row r="2" spans="2:15" x14ac:dyDescent="0.25">
      <c r="D2" s="57"/>
      <c r="E2" s="57"/>
    </row>
    <row r="3" spans="2:15" x14ac:dyDescent="0.25">
      <c r="D3" s="57"/>
      <c r="E3" s="57"/>
    </row>
    <row r="4" spans="2:15" x14ac:dyDescent="0.25">
      <c r="D4" s="57"/>
      <c r="E4" s="57"/>
    </row>
    <row r="5" spans="2:15" x14ac:dyDescent="0.25">
      <c r="D5" s="57"/>
      <c r="E5" s="57"/>
    </row>
    <row r="6" spans="2:15" x14ac:dyDescent="0.25">
      <c r="D6" s="57"/>
      <c r="E6" s="57"/>
    </row>
    <row r="7" spans="2:15" x14ac:dyDescent="0.25">
      <c r="B7" s="257" t="s">
        <v>89</v>
      </c>
      <c r="C7" s="258"/>
      <c r="D7" s="258"/>
      <c r="E7" s="258"/>
      <c r="F7" s="258"/>
      <c r="G7" s="258"/>
      <c r="H7" s="258"/>
      <c r="I7" s="258"/>
      <c r="J7" s="258"/>
      <c r="K7" s="258"/>
      <c r="L7" s="258"/>
      <c r="M7" s="259"/>
    </row>
    <row r="8" spans="2:15" x14ac:dyDescent="0.25">
      <c r="B8" s="260"/>
      <c r="C8" s="268"/>
      <c r="D8" s="268"/>
      <c r="E8" s="268"/>
      <c r="F8" s="268"/>
      <c r="G8" s="268"/>
      <c r="H8" s="268"/>
      <c r="I8" s="268"/>
      <c r="J8" s="268"/>
      <c r="K8" s="268"/>
      <c r="L8" s="268"/>
      <c r="M8" s="262"/>
    </row>
    <row r="9" spans="2:15" ht="15.75" x14ac:dyDescent="0.25">
      <c r="B9" s="52"/>
      <c r="C9" s="52"/>
      <c r="D9" s="56"/>
      <c r="E9" s="56"/>
      <c r="F9" s="52"/>
      <c r="G9" s="52"/>
      <c r="H9" s="56"/>
    </row>
    <row r="10" spans="2:15" ht="15.75" x14ac:dyDescent="0.25">
      <c r="B10" s="324" t="s">
        <v>75</v>
      </c>
      <c r="C10" s="325"/>
      <c r="D10" s="325"/>
      <c r="E10" s="325"/>
      <c r="F10" s="326"/>
      <c r="G10" s="52" t="s">
        <v>76</v>
      </c>
      <c r="H10" s="59">
        <f ca="1">TODAY()</f>
        <v>43517</v>
      </c>
    </row>
    <row r="11" spans="2:15" ht="15.75" x14ac:dyDescent="0.25">
      <c r="B11" s="52"/>
      <c r="C11" s="52"/>
      <c r="D11" s="56"/>
      <c r="E11" s="56"/>
      <c r="F11" s="52"/>
      <c r="G11" s="58"/>
      <c r="H11" s="58"/>
    </row>
    <row r="12" spans="2:15" ht="15.75" customHeight="1" x14ac:dyDescent="0.25">
      <c r="B12" s="52"/>
      <c r="C12" s="52"/>
      <c r="D12" s="56"/>
      <c r="E12" s="56"/>
      <c r="F12" s="52"/>
      <c r="G12" s="58"/>
      <c r="H12" s="58"/>
      <c r="I12" s="248" t="s">
        <v>79</v>
      </c>
      <c r="J12" s="249"/>
      <c r="K12" s="249"/>
      <c r="L12" s="249"/>
      <c r="M12" s="250"/>
      <c r="N12" s="77"/>
      <c r="O12" s="77"/>
    </row>
    <row r="13" spans="2:15" ht="15" customHeight="1" x14ac:dyDescent="0.25">
      <c r="B13" s="304" t="s">
        <v>51</v>
      </c>
      <c r="C13" s="305"/>
      <c r="D13" s="305"/>
      <c r="E13" s="306"/>
      <c r="F13" s="321"/>
      <c r="G13" s="322"/>
      <c r="H13" s="58"/>
      <c r="I13" s="251"/>
      <c r="J13" s="252"/>
      <c r="K13" s="252"/>
      <c r="L13" s="252"/>
      <c r="M13" s="253"/>
      <c r="N13" s="77"/>
      <c r="O13" s="77"/>
    </row>
    <row r="14" spans="2:15" ht="15" customHeight="1" x14ac:dyDescent="0.25">
      <c r="B14" s="310"/>
      <c r="C14" s="311"/>
      <c r="D14" s="311"/>
      <c r="E14" s="312"/>
      <c r="F14" s="321"/>
      <c r="G14" s="323"/>
      <c r="H14" s="58"/>
      <c r="I14" s="251"/>
      <c r="J14" s="252"/>
      <c r="K14" s="252"/>
      <c r="L14" s="252"/>
      <c r="M14" s="253"/>
      <c r="N14" s="77"/>
      <c r="O14" s="77"/>
    </row>
    <row r="15" spans="2:15" ht="15" customHeight="1" x14ac:dyDescent="0.25">
      <c r="D15" s="57"/>
      <c r="E15" s="57"/>
      <c r="F15" s="1"/>
      <c r="I15" s="251"/>
      <c r="J15" s="252"/>
      <c r="K15" s="252"/>
      <c r="L15" s="252"/>
      <c r="M15" s="253"/>
      <c r="N15" s="77"/>
      <c r="O15" s="77"/>
    </row>
    <row r="16" spans="2:15" ht="15" customHeight="1" x14ac:dyDescent="0.25">
      <c r="I16" s="254"/>
      <c r="J16" s="255"/>
      <c r="K16" s="255"/>
      <c r="L16" s="255"/>
      <c r="M16" s="256"/>
      <c r="N16" s="77"/>
      <c r="O16" s="77"/>
    </row>
  </sheetData>
  <mergeCells count="6">
    <mergeCell ref="B7:M8"/>
    <mergeCell ref="B13:E14"/>
    <mergeCell ref="F13:F14"/>
    <mergeCell ref="G13:G14"/>
    <mergeCell ref="B10:F10"/>
    <mergeCell ref="I12:M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do_MasterHoldingsRefresh">
                <anchor moveWithCells="1">
                  <from>
                    <xdr:col>6</xdr:col>
                    <xdr:colOff>200025</xdr:colOff>
                    <xdr:row>12</xdr:row>
                    <xdr:rowOff>76200</xdr:rowOff>
                  </from>
                  <to>
                    <xdr:col>6</xdr:col>
                    <xdr:colOff>990600</xdr:colOff>
                    <xdr:row>13</xdr:row>
                    <xdr:rowOff>152400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8ACB2-29B1-4EA9-94A0-D77BEA89E1AF}">
  <sheetPr codeName="Sheet12"/>
  <dimension ref="B2:O46"/>
  <sheetViews>
    <sheetView zoomScale="80" zoomScaleNormal="80" workbookViewId="0">
      <selection activeCell="E17" sqref="E17:E23"/>
    </sheetView>
  </sheetViews>
  <sheetFormatPr defaultRowHeight="15" x14ac:dyDescent="0.25"/>
  <cols>
    <col min="2" max="2" width="3.28515625" customWidth="1"/>
    <col min="3" max="3" width="25.85546875" customWidth="1"/>
    <col min="4" max="4" width="22.85546875" customWidth="1"/>
    <col min="5" max="5" width="33.5703125" customWidth="1"/>
  </cols>
  <sheetData>
    <row r="2" spans="3:15" x14ac:dyDescent="0.25">
      <c r="E2" s="60"/>
    </row>
    <row r="3" spans="3:15" x14ac:dyDescent="0.25">
      <c r="E3" s="60"/>
    </row>
    <row r="4" spans="3:15" x14ac:dyDescent="0.25">
      <c r="E4" s="60"/>
    </row>
    <row r="5" spans="3:15" x14ac:dyDescent="0.25">
      <c r="E5" s="60"/>
    </row>
    <row r="6" spans="3:15" x14ac:dyDescent="0.25">
      <c r="E6" s="60"/>
    </row>
    <row r="7" spans="3:15" ht="15" customHeight="1" x14ac:dyDescent="0.25">
      <c r="C7" s="248" t="s">
        <v>109</v>
      </c>
      <c r="D7" s="249"/>
      <c r="E7" s="249"/>
      <c r="F7" s="249"/>
      <c r="G7" s="249"/>
      <c r="H7" s="249"/>
      <c r="I7" s="249"/>
      <c r="J7" s="250"/>
      <c r="K7" s="70"/>
      <c r="L7" s="70"/>
      <c r="M7" s="70"/>
      <c r="N7" s="70"/>
      <c r="O7" s="70"/>
    </row>
    <row r="8" spans="3:15" ht="15" customHeight="1" x14ac:dyDescent="0.25">
      <c r="C8" s="254"/>
      <c r="D8" s="255"/>
      <c r="E8" s="255"/>
      <c r="F8" s="255"/>
      <c r="G8" s="255"/>
      <c r="H8" s="255"/>
      <c r="I8" s="255"/>
      <c r="J8" s="256"/>
      <c r="K8" s="70"/>
      <c r="L8" s="70"/>
      <c r="M8" s="70"/>
      <c r="N8" s="70"/>
      <c r="O8" s="70"/>
    </row>
    <row r="9" spans="3:15" ht="15.75" customHeight="1" x14ac:dyDescent="0.25">
      <c r="C9" s="139"/>
      <c r="D9" s="139"/>
      <c r="E9" s="139"/>
      <c r="F9" s="139"/>
      <c r="G9" s="139"/>
      <c r="H9" s="139"/>
      <c r="I9" s="139"/>
      <c r="J9" s="139"/>
    </row>
    <row r="10" spans="3:15" ht="15.75" x14ac:dyDescent="0.25">
      <c r="C10" s="301" t="s">
        <v>110</v>
      </c>
      <c r="D10" s="302"/>
      <c r="E10" s="302"/>
      <c r="F10" s="302"/>
      <c r="G10" s="302"/>
      <c r="H10" s="302"/>
      <c r="I10" s="302"/>
      <c r="J10" s="303"/>
    </row>
    <row r="11" spans="3:15" ht="15.75" x14ac:dyDescent="0.25">
      <c r="C11" s="52"/>
      <c r="D11" s="52"/>
      <c r="E11" s="61"/>
    </row>
    <row r="12" spans="3:15" ht="15" customHeight="1" x14ac:dyDescent="0.25">
      <c r="C12" s="335" t="s">
        <v>56</v>
      </c>
      <c r="D12" s="336"/>
      <c r="E12" s="336"/>
      <c r="F12" s="336"/>
      <c r="G12" s="336"/>
      <c r="H12" s="337"/>
    </row>
    <row r="13" spans="3:15" ht="15" customHeight="1" x14ac:dyDescent="0.25">
      <c r="C13" s="338"/>
      <c r="D13" s="339"/>
      <c r="E13" s="339"/>
      <c r="F13" s="339"/>
      <c r="G13" s="339"/>
      <c r="H13" s="340"/>
    </row>
    <row r="14" spans="3:15" ht="15" customHeight="1" x14ac:dyDescent="0.25"/>
    <row r="15" spans="3:15" ht="15" customHeight="1" x14ac:dyDescent="0.25"/>
    <row r="16" spans="3:15" ht="15" customHeight="1" x14ac:dyDescent="0.25">
      <c r="C16" s="186" t="s">
        <v>2</v>
      </c>
      <c r="D16" s="187" t="s">
        <v>55</v>
      </c>
      <c r="E16" s="143" t="s">
        <v>4</v>
      </c>
      <c r="G16" s="248" t="s">
        <v>80</v>
      </c>
      <c r="H16" s="249"/>
      <c r="I16" s="249"/>
      <c r="J16" s="249"/>
      <c r="K16" s="250"/>
    </row>
    <row r="17" spans="2:11" ht="15.75" customHeight="1" x14ac:dyDescent="0.25">
      <c r="B17" s="54">
        <v>1</v>
      </c>
      <c r="C17" s="188" t="str">
        <f>Scope</f>
        <v>DemoScope4</v>
      </c>
      <c r="D17" s="189">
        <f ca="1">Setup!G36</f>
        <v>43517</v>
      </c>
      <c r="E17" s="144"/>
      <c r="G17" s="251"/>
      <c r="H17" s="252"/>
      <c r="I17" s="252"/>
      <c r="J17" s="252"/>
      <c r="K17" s="253"/>
    </row>
    <row r="18" spans="2:11" ht="15.75" customHeight="1" x14ac:dyDescent="0.25">
      <c r="B18" s="55">
        <v>2</v>
      </c>
      <c r="C18" s="188" t="str">
        <f>_xlfn.CONCAT(Scope,"_FX")</f>
        <v>DemoScope4_FX</v>
      </c>
      <c r="D18" s="189">
        <f ca="1">Setup!G36</f>
        <v>43517</v>
      </c>
      <c r="E18" s="144"/>
      <c r="G18" s="251"/>
      <c r="H18" s="252"/>
      <c r="I18" s="252"/>
      <c r="J18" s="252"/>
      <c r="K18" s="253"/>
    </row>
    <row r="19" spans="2:11" ht="15.75" customHeight="1" x14ac:dyDescent="0.25">
      <c r="B19" s="55">
        <v>3</v>
      </c>
      <c r="C19" s="188" t="str">
        <f>_xlfn.CONCAT(Scope,"_Accrual")</f>
        <v>DemoScope4_Accrual</v>
      </c>
      <c r="D19" s="189">
        <f ca="1">TODAY()</f>
        <v>43517</v>
      </c>
      <c r="E19" s="144"/>
      <c r="G19" s="251"/>
      <c r="H19" s="252"/>
      <c r="I19" s="252"/>
      <c r="J19" s="252"/>
      <c r="K19" s="253"/>
    </row>
    <row r="20" spans="2:11" ht="15.75" customHeight="1" x14ac:dyDescent="0.25">
      <c r="B20" s="55">
        <v>4</v>
      </c>
      <c r="C20" s="188"/>
      <c r="D20" s="89"/>
      <c r="E20" s="144"/>
      <c r="G20" s="254"/>
      <c r="H20" s="255"/>
      <c r="I20" s="255"/>
      <c r="J20" s="255"/>
      <c r="K20" s="256"/>
    </row>
    <row r="21" spans="2:11" x14ac:dyDescent="0.25">
      <c r="B21" s="55">
        <v>5</v>
      </c>
      <c r="C21" s="188"/>
      <c r="D21" s="89"/>
      <c r="E21" s="144"/>
    </row>
    <row r="22" spans="2:11" x14ac:dyDescent="0.25">
      <c r="B22" s="55">
        <v>6</v>
      </c>
      <c r="C22" s="188"/>
      <c r="D22" s="89"/>
      <c r="E22" s="144"/>
    </row>
    <row r="23" spans="2:11" ht="15" customHeight="1" x14ac:dyDescent="0.25">
      <c r="B23" s="55">
        <v>7</v>
      </c>
      <c r="C23" s="188"/>
      <c r="D23" s="89"/>
      <c r="E23" s="144"/>
      <c r="G23" s="327" t="s">
        <v>126</v>
      </c>
      <c r="H23" s="328"/>
      <c r="I23" s="328"/>
      <c r="J23" s="329"/>
    </row>
    <row r="24" spans="2:11" x14ac:dyDescent="0.25">
      <c r="B24" s="55">
        <v>8</v>
      </c>
      <c r="C24" s="188"/>
      <c r="D24" s="89"/>
      <c r="E24" s="144"/>
      <c r="G24" s="330"/>
      <c r="H24" s="264"/>
      <c r="I24" s="264"/>
      <c r="J24" s="331"/>
    </row>
    <row r="25" spans="2:11" x14ac:dyDescent="0.25">
      <c r="B25" s="55">
        <v>9</v>
      </c>
      <c r="C25" s="188"/>
      <c r="D25" s="89"/>
      <c r="E25" s="144"/>
      <c r="G25" s="330"/>
      <c r="H25" s="264"/>
      <c r="I25" s="264"/>
      <c r="J25" s="331"/>
    </row>
    <row r="26" spans="2:11" x14ac:dyDescent="0.25">
      <c r="B26" s="55">
        <v>10</v>
      </c>
      <c r="C26" s="188"/>
      <c r="D26" s="89"/>
      <c r="E26" s="144"/>
      <c r="G26" s="330"/>
      <c r="H26" s="264"/>
      <c r="I26" s="264"/>
      <c r="J26" s="331"/>
    </row>
    <row r="27" spans="2:11" x14ac:dyDescent="0.25">
      <c r="B27" s="55">
        <v>11</v>
      </c>
      <c r="C27" s="188"/>
      <c r="D27" s="89"/>
      <c r="E27" s="144"/>
      <c r="G27" s="330"/>
      <c r="H27" s="264"/>
      <c r="I27" s="264"/>
      <c r="J27" s="331"/>
    </row>
    <row r="28" spans="2:11" x14ac:dyDescent="0.25">
      <c r="B28" s="55">
        <v>12</v>
      </c>
      <c r="C28" s="188"/>
      <c r="D28" s="89"/>
      <c r="E28" s="144"/>
      <c r="G28" s="330"/>
      <c r="H28" s="264"/>
      <c r="I28" s="264"/>
      <c r="J28" s="331"/>
    </row>
    <row r="29" spans="2:11" x14ac:dyDescent="0.25">
      <c r="B29" s="55">
        <v>13</v>
      </c>
      <c r="C29" s="188"/>
      <c r="D29" s="89"/>
      <c r="E29" s="144"/>
      <c r="G29" s="330"/>
      <c r="H29" s="264"/>
      <c r="I29" s="264"/>
      <c r="J29" s="331"/>
    </row>
    <row r="30" spans="2:11" x14ac:dyDescent="0.25">
      <c r="B30" s="55">
        <v>14</v>
      </c>
      <c r="C30" s="188"/>
      <c r="D30" s="89"/>
      <c r="E30" s="144"/>
      <c r="G30" s="330"/>
      <c r="H30" s="264"/>
      <c r="I30" s="264"/>
      <c r="J30" s="331"/>
    </row>
    <row r="31" spans="2:11" x14ac:dyDescent="0.25">
      <c r="B31" s="55">
        <v>15</v>
      </c>
      <c r="C31" s="188"/>
      <c r="D31" s="89"/>
      <c r="E31" s="144"/>
      <c r="G31" s="332"/>
      <c r="H31" s="333"/>
      <c r="I31" s="333"/>
      <c r="J31" s="334"/>
    </row>
    <row r="32" spans="2:11" x14ac:dyDescent="0.25">
      <c r="B32" s="55">
        <v>16</v>
      </c>
      <c r="C32" s="188"/>
      <c r="D32" s="89"/>
      <c r="E32" s="144"/>
    </row>
    <row r="33" spans="2:5" x14ac:dyDescent="0.25">
      <c r="B33" s="55">
        <v>17</v>
      </c>
      <c r="C33" s="188"/>
      <c r="D33" s="89"/>
      <c r="E33" s="144"/>
    </row>
    <row r="34" spans="2:5" x14ac:dyDescent="0.25">
      <c r="B34" s="55">
        <v>18</v>
      </c>
      <c r="C34" s="188"/>
      <c r="D34" s="89"/>
      <c r="E34" s="144"/>
    </row>
    <row r="35" spans="2:5" x14ac:dyDescent="0.25">
      <c r="B35" s="55">
        <v>19</v>
      </c>
      <c r="C35" s="188"/>
      <c r="D35" s="89"/>
      <c r="E35" s="144"/>
    </row>
    <row r="36" spans="2:5" x14ac:dyDescent="0.25">
      <c r="B36" s="55">
        <v>20</v>
      </c>
      <c r="C36" s="188"/>
      <c r="D36" s="89"/>
      <c r="E36" s="144"/>
    </row>
    <row r="37" spans="2:5" x14ac:dyDescent="0.25">
      <c r="B37" s="55">
        <v>21</v>
      </c>
      <c r="C37" s="188"/>
      <c r="D37" s="89"/>
      <c r="E37" s="144"/>
    </row>
    <row r="38" spans="2:5" x14ac:dyDescent="0.25">
      <c r="B38" s="55">
        <v>22</v>
      </c>
      <c r="C38" s="188"/>
      <c r="D38" s="89"/>
      <c r="E38" s="144"/>
    </row>
    <row r="39" spans="2:5" x14ac:dyDescent="0.25">
      <c r="B39" s="55">
        <v>23</v>
      </c>
      <c r="C39" s="188"/>
      <c r="D39" s="89"/>
      <c r="E39" s="144"/>
    </row>
    <row r="40" spans="2:5" x14ac:dyDescent="0.25">
      <c r="B40" s="55">
        <v>24</v>
      </c>
      <c r="C40" s="188"/>
      <c r="D40" s="89"/>
      <c r="E40" s="144"/>
    </row>
    <row r="41" spans="2:5" x14ac:dyDescent="0.25">
      <c r="B41" s="55">
        <v>25</v>
      </c>
      <c r="C41" s="188"/>
      <c r="D41" s="89"/>
      <c r="E41" s="144"/>
    </row>
    <row r="42" spans="2:5" x14ac:dyDescent="0.25">
      <c r="B42" s="55">
        <v>26</v>
      </c>
      <c r="C42" s="188"/>
      <c r="D42" s="89"/>
      <c r="E42" s="144"/>
    </row>
    <row r="43" spans="2:5" x14ac:dyDescent="0.25">
      <c r="B43" s="55">
        <v>27</v>
      </c>
      <c r="C43" s="188"/>
      <c r="D43" s="89"/>
      <c r="E43" s="144"/>
    </row>
    <row r="44" spans="2:5" x14ac:dyDescent="0.25">
      <c r="B44" s="55">
        <v>28</v>
      </c>
      <c r="C44" s="188"/>
      <c r="D44" s="89"/>
      <c r="E44" s="144"/>
    </row>
    <row r="45" spans="2:5" x14ac:dyDescent="0.25">
      <c r="B45" s="55">
        <v>29</v>
      </c>
      <c r="C45" s="188"/>
      <c r="D45" s="89"/>
      <c r="E45" s="144"/>
    </row>
    <row r="46" spans="2:5" x14ac:dyDescent="0.25">
      <c r="B46" s="53">
        <v>30</v>
      </c>
      <c r="C46" s="190"/>
      <c r="D46" s="191"/>
      <c r="E46" s="145"/>
    </row>
  </sheetData>
  <mergeCells count="5">
    <mergeCell ref="G23:J31"/>
    <mergeCell ref="C12:H13"/>
    <mergeCell ref="C10:J10"/>
    <mergeCell ref="C7:J8"/>
    <mergeCell ref="G16:K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do_UploadAnalyticsStores">
                <anchor moveWithCells="1">
                  <from>
                    <xdr:col>7</xdr:col>
                    <xdr:colOff>66675</xdr:colOff>
                    <xdr:row>24</xdr:row>
                    <xdr:rowOff>161925</xdr:rowOff>
                  </from>
                  <to>
                    <xdr:col>9</xdr:col>
                    <xdr:colOff>95250</xdr:colOff>
                    <xdr:row>28</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ADA4-C7ED-4A7A-BF8B-2BF28DDFAA80}">
  <sheetPr codeName="Sheet11"/>
  <dimension ref="C8:L56"/>
  <sheetViews>
    <sheetView topLeftCell="A7" zoomScale="80" zoomScaleNormal="80" workbookViewId="0">
      <selection activeCell="K17" sqref="K17"/>
    </sheetView>
  </sheetViews>
  <sheetFormatPr defaultRowHeight="15" x14ac:dyDescent="0.25"/>
  <cols>
    <col min="2" max="2" width="4.140625" customWidth="1"/>
    <col min="3" max="3" width="7.85546875" customWidth="1"/>
    <col min="4" max="4" width="5.7109375" customWidth="1"/>
    <col min="5" max="5" width="43.85546875" customWidth="1"/>
    <col min="6" max="6" width="21.28515625" style="60" customWidth="1"/>
    <col min="7" max="7" width="14.85546875" customWidth="1"/>
    <col min="8" max="8" width="11.5703125" bestFit="1" customWidth="1"/>
  </cols>
  <sheetData>
    <row r="8" spans="3:11" ht="15.75" customHeight="1" x14ac:dyDescent="0.25">
      <c r="C8" s="248" t="s">
        <v>108</v>
      </c>
      <c r="D8" s="249"/>
      <c r="E8" s="249"/>
      <c r="F8" s="249"/>
      <c r="G8" s="249"/>
      <c r="H8" s="250"/>
      <c r="I8" s="77"/>
      <c r="J8" s="341">
        <f ca="1">'Setup Analytics'!D17</f>
        <v>43517</v>
      </c>
      <c r="K8" s="342"/>
    </row>
    <row r="9" spans="3:11" ht="15" customHeight="1" x14ac:dyDescent="0.25">
      <c r="C9" s="254"/>
      <c r="D9" s="255"/>
      <c r="E9" s="255"/>
      <c r="F9" s="255"/>
      <c r="G9" s="255"/>
      <c r="H9" s="256"/>
      <c r="I9" s="77"/>
      <c r="J9" s="342"/>
      <c r="K9" s="342"/>
    </row>
    <row r="10" spans="3:11" ht="15" customHeight="1" x14ac:dyDescent="0.25">
      <c r="C10" s="52"/>
      <c r="D10" s="52"/>
      <c r="E10" s="52"/>
      <c r="F10" s="61"/>
    </row>
    <row r="11" spans="3:11" ht="15.75" x14ac:dyDescent="0.25">
      <c r="C11" s="301" t="s">
        <v>50</v>
      </c>
      <c r="D11" s="302"/>
      <c r="E11" s="302"/>
      <c r="F11" s="302"/>
      <c r="G11" s="302"/>
      <c r="H11" s="303"/>
    </row>
    <row r="12" spans="3:11" ht="15.75" x14ac:dyDescent="0.25">
      <c r="C12" s="52"/>
      <c r="D12" s="52"/>
      <c r="E12" s="52"/>
      <c r="F12" s="61"/>
    </row>
    <row r="13" spans="3:11" ht="15" customHeight="1" x14ac:dyDescent="0.25">
      <c r="C13" s="343" t="s">
        <v>111</v>
      </c>
      <c r="D13" s="344"/>
      <c r="E13" s="344"/>
      <c r="F13" s="344"/>
      <c r="G13" s="344"/>
      <c r="H13" s="345"/>
    </row>
    <row r="14" spans="3:11" x14ac:dyDescent="0.25">
      <c r="C14" s="346"/>
      <c r="D14" s="347"/>
      <c r="E14" s="347"/>
      <c r="F14" s="347"/>
      <c r="G14" s="347"/>
      <c r="H14" s="348"/>
    </row>
    <row r="16" spans="3:11" ht="15" customHeight="1" x14ac:dyDescent="0.25">
      <c r="C16" s="349" t="s">
        <v>57</v>
      </c>
      <c r="D16" s="350"/>
      <c r="E16" s="350"/>
      <c r="F16" s="350"/>
      <c r="G16" s="350"/>
      <c r="H16" s="351"/>
    </row>
    <row r="18" spans="3:12" ht="15.75" thickBot="1" x14ac:dyDescent="0.3">
      <c r="C18" s="2"/>
      <c r="D18" s="2"/>
      <c r="E18" s="62" t="s">
        <v>144</v>
      </c>
      <c r="F18" s="63" t="s">
        <v>53</v>
      </c>
      <c r="G18" s="63" t="s">
        <v>102</v>
      </c>
      <c r="H18" s="141" t="s">
        <v>16</v>
      </c>
    </row>
    <row r="19" spans="3:12" ht="15.75" thickTop="1" x14ac:dyDescent="0.25">
      <c r="D19" s="19">
        <v>1</v>
      </c>
      <c r="E19" s="188" t="e">
        <f>IF(Setup!D14="",NA(),Setup!D14)</f>
        <v>#N/A</v>
      </c>
      <c r="F19" s="195">
        <v>1</v>
      </c>
      <c r="G19" s="134" t="s">
        <v>100</v>
      </c>
      <c r="H19" s="38"/>
    </row>
    <row r="20" spans="3:12" x14ac:dyDescent="0.25">
      <c r="D20" s="19">
        <v>2</v>
      </c>
      <c r="E20" s="188" t="e">
        <f>IF(Setup!D15="",NA(),Setup!D15)</f>
        <v>#N/A</v>
      </c>
      <c r="F20" s="195">
        <v>1</v>
      </c>
      <c r="G20" s="134" t="s">
        <v>100</v>
      </c>
      <c r="H20" s="38"/>
    </row>
    <row r="21" spans="3:12" x14ac:dyDescent="0.25">
      <c r="D21" s="19">
        <v>3</v>
      </c>
      <c r="E21" s="188" t="e">
        <f>IF(Setup!D16="",NA(),Setup!D16)</f>
        <v>#N/A</v>
      </c>
      <c r="F21" s="195">
        <v>1</v>
      </c>
      <c r="G21" s="134" t="s">
        <v>100</v>
      </c>
      <c r="H21" s="38"/>
    </row>
    <row r="22" spans="3:12" x14ac:dyDescent="0.25">
      <c r="D22" s="19">
        <v>4</v>
      </c>
      <c r="E22" s="188" t="e">
        <f>IF(Setup!D17="",NA(),Setup!D17)</f>
        <v>#N/A</v>
      </c>
      <c r="F22" s="195">
        <v>1</v>
      </c>
      <c r="G22" s="134" t="s">
        <v>100</v>
      </c>
      <c r="H22" s="38"/>
    </row>
    <row r="23" spans="3:12" x14ac:dyDescent="0.25">
      <c r="D23" s="19">
        <v>5</v>
      </c>
      <c r="E23" s="188" t="e">
        <f>IF(Setup!D18="",NA(),Setup!D18)</f>
        <v>#N/A</v>
      </c>
      <c r="F23" s="195">
        <v>1</v>
      </c>
      <c r="G23" s="134" t="s">
        <v>100</v>
      </c>
      <c r="H23" s="38"/>
    </row>
    <row r="24" spans="3:12" x14ac:dyDescent="0.25">
      <c r="D24" s="19">
        <v>6</v>
      </c>
      <c r="E24" s="188" t="e">
        <f>IF(Setup!D19="",NA(),Setup!D19)</f>
        <v>#N/A</v>
      </c>
      <c r="F24" s="195">
        <v>1</v>
      </c>
      <c r="G24" s="134" t="s">
        <v>100</v>
      </c>
      <c r="H24" s="38"/>
    </row>
    <row r="25" spans="3:12" x14ac:dyDescent="0.25">
      <c r="D25" s="19">
        <v>7</v>
      </c>
      <c r="E25" s="188" t="e">
        <f>IF(Setup!D20="",NA(),Setup!D20)</f>
        <v>#N/A</v>
      </c>
      <c r="F25" s="195">
        <v>1</v>
      </c>
      <c r="G25" s="134" t="s">
        <v>100</v>
      </c>
      <c r="H25" s="38"/>
    </row>
    <row r="26" spans="3:12" x14ac:dyDescent="0.25">
      <c r="D26" s="19">
        <v>8</v>
      </c>
      <c r="E26" s="188" t="e">
        <f>IF(Setup!D21="",NA(),Setup!D21)</f>
        <v>#N/A</v>
      </c>
      <c r="F26" s="195">
        <v>1</v>
      </c>
      <c r="G26" s="134" t="s">
        <v>100</v>
      </c>
      <c r="H26" s="38"/>
    </row>
    <row r="27" spans="3:12" x14ac:dyDescent="0.25">
      <c r="D27" s="19">
        <v>9</v>
      </c>
      <c r="E27" s="188" t="e">
        <f>IF(Setup!D22="",NA(),Setup!D22)</f>
        <v>#N/A</v>
      </c>
      <c r="F27" s="195">
        <v>1</v>
      </c>
      <c r="G27" s="134" t="s">
        <v>100</v>
      </c>
      <c r="H27" s="38"/>
    </row>
    <row r="28" spans="3:12" x14ac:dyDescent="0.25">
      <c r="D28" s="19">
        <v>10</v>
      </c>
      <c r="E28" s="188" t="e">
        <f>IF(Setup!D23="",NA(),Setup!D23)</f>
        <v>#N/A</v>
      </c>
      <c r="F28" s="195">
        <v>1</v>
      </c>
      <c r="G28" s="134" t="s">
        <v>100</v>
      </c>
      <c r="H28" s="38"/>
    </row>
    <row r="29" spans="3:12" x14ac:dyDescent="0.25">
      <c r="D29" s="19">
        <v>11</v>
      </c>
      <c r="E29" s="188" t="e">
        <f>IF(Setup!D24="",NA(),Setup!D24)</f>
        <v>#N/A</v>
      </c>
      <c r="F29" s="195">
        <v>1</v>
      </c>
      <c r="G29" s="134" t="s">
        <v>100</v>
      </c>
      <c r="H29" s="38"/>
      <c r="J29" s="327" t="s">
        <v>58</v>
      </c>
      <c r="K29" s="328"/>
      <c r="L29" s="329"/>
    </row>
    <row r="30" spans="3:12" x14ac:dyDescent="0.25">
      <c r="D30" s="19">
        <v>12</v>
      </c>
      <c r="E30" s="188" t="e">
        <f>IF(Setup!D25="",NA(),Setup!D25)</f>
        <v>#N/A</v>
      </c>
      <c r="F30" s="195">
        <v>1</v>
      </c>
      <c r="G30" s="134" t="s">
        <v>100</v>
      </c>
      <c r="H30" s="38"/>
      <c r="J30" s="330"/>
      <c r="K30" s="264"/>
      <c r="L30" s="331"/>
    </row>
    <row r="31" spans="3:12" x14ac:dyDescent="0.25">
      <c r="D31" s="19">
        <v>13</v>
      </c>
      <c r="E31" s="188" t="e">
        <f>IF(Setup!D26="",NA(),Setup!D26)</f>
        <v>#N/A</v>
      </c>
      <c r="F31" s="195">
        <v>1</v>
      </c>
      <c r="G31" s="134" t="s">
        <v>100</v>
      </c>
      <c r="H31" s="38"/>
      <c r="J31" s="330"/>
      <c r="K31" s="264"/>
      <c r="L31" s="331"/>
    </row>
    <row r="32" spans="3:12" x14ac:dyDescent="0.25">
      <c r="D32" s="19">
        <v>14</v>
      </c>
      <c r="E32" s="188" t="e">
        <f>IF(Setup!D27="",NA(),Setup!D27)</f>
        <v>#N/A</v>
      </c>
      <c r="F32" s="195">
        <v>1</v>
      </c>
      <c r="G32" s="134" t="s">
        <v>100</v>
      </c>
      <c r="H32" s="38"/>
      <c r="J32" s="330"/>
      <c r="K32" s="264"/>
      <c r="L32" s="331"/>
    </row>
    <row r="33" spans="3:12" x14ac:dyDescent="0.25">
      <c r="D33" s="19">
        <v>15</v>
      </c>
      <c r="E33" s="188" t="e">
        <f>IF(Setup!D28="",NA(),Setup!D28)</f>
        <v>#N/A</v>
      </c>
      <c r="F33" s="195">
        <v>1</v>
      </c>
      <c r="G33" s="134" t="s">
        <v>100</v>
      </c>
      <c r="H33" s="38"/>
      <c r="J33" s="330"/>
      <c r="K33" s="264"/>
      <c r="L33" s="331"/>
    </row>
    <row r="34" spans="3:12" x14ac:dyDescent="0.25">
      <c r="D34" s="19">
        <v>16</v>
      </c>
      <c r="E34" s="188" t="e">
        <f>IF(Setup!D29="",NA(),Setup!D29)</f>
        <v>#N/A</v>
      </c>
      <c r="F34" s="195">
        <v>1</v>
      </c>
      <c r="G34" s="134" t="s">
        <v>100</v>
      </c>
      <c r="H34" s="38"/>
      <c r="J34" s="330"/>
      <c r="K34" s="264"/>
      <c r="L34" s="331"/>
    </row>
    <row r="35" spans="3:12" x14ac:dyDescent="0.25">
      <c r="D35" s="19">
        <v>17</v>
      </c>
      <c r="E35" s="188" t="e">
        <f>IF(Setup!D30="",NA(),Setup!D30)</f>
        <v>#N/A</v>
      </c>
      <c r="F35" s="195">
        <v>1</v>
      </c>
      <c r="G35" s="134" t="s">
        <v>100</v>
      </c>
      <c r="H35" s="38"/>
      <c r="J35" s="332"/>
      <c r="K35" s="333"/>
      <c r="L35" s="334"/>
    </row>
    <row r="36" spans="3:12" x14ac:dyDescent="0.25">
      <c r="D36" s="19">
        <v>18</v>
      </c>
      <c r="E36" s="188" t="e">
        <f>IF(Setup!D31="",NA(),Setup!D31)</f>
        <v>#N/A</v>
      </c>
      <c r="F36" s="195">
        <v>1</v>
      </c>
      <c r="G36" s="134" t="s">
        <v>100</v>
      </c>
      <c r="H36" s="38"/>
    </row>
    <row r="37" spans="3:12" x14ac:dyDescent="0.25">
      <c r="D37" s="19">
        <v>19</v>
      </c>
      <c r="E37" s="188" t="e">
        <f>IF(Setup!D32="",NA(),Setup!D32)</f>
        <v>#N/A</v>
      </c>
      <c r="F37" s="195">
        <v>1</v>
      </c>
      <c r="G37" s="134" t="s">
        <v>100</v>
      </c>
      <c r="H37" s="38"/>
    </row>
    <row r="38" spans="3:12" x14ac:dyDescent="0.25">
      <c r="D38" s="19">
        <v>20</v>
      </c>
      <c r="E38" s="188" t="e">
        <f>IF(Setup!D33="",NA(),Setup!D33)</f>
        <v>#N/A</v>
      </c>
      <c r="F38" s="195">
        <v>1</v>
      </c>
      <c r="G38" s="134" t="s">
        <v>100</v>
      </c>
      <c r="H38" s="38"/>
    </row>
    <row r="39" spans="3:12" x14ac:dyDescent="0.25">
      <c r="D39" s="19">
        <v>21</v>
      </c>
      <c r="E39" s="188" t="e">
        <f>IF(Setup!D34="",NA(),Setup!D34)</f>
        <v>#N/A</v>
      </c>
      <c r="F39" s="195">
        <v>1</v>
      </c>
      <c r="G39" s="134" t="s">
        <v>100</v>
      </c>
      <c r="H39" s="38"/>
    </row>
    <row r="40" spans="3:12" x14ac:dyDescent="0.25">
      <c r="D40" s="19">
        <v>22</v>
      </c>
      <c r="E40" s="188" t="e">
        <f>IF(Setup!D35="",NA(),Setup!D35)</f>
        <v>#N/A</v>
      </c>
      <c r="F40" s="195">
        <v>1</v>
      </c>
      <c r="G40" s="134" t="s">
        <v>100</v>
      </c>
      <c r="H40" s="38"/>
    </row>
    <row r="41" spans="3:12" x14ac:dyDescent="0.25">
      <c r="D41" s="19">
        <v>23</v>
      </c>
      <c r="E41" s="188" t="e">
        <f>IF(Setup!D36="",NA(),Setup!D36)</f>
        <v>#N/A</v>
      </c>
      <c r="F41" s="195">
        <v>1</v>
      </c>
      <c r="G41" s="134" t="s">
        <v>100</v>
      </c>
      <c r="H41" s="38"/>
    </row>
    <row r="42" spans="3:12" x14ac:dyDescent="0.25">
      <c r="D42" s="19">
        <v>24</v>
      </c>
      <c r="E42" s="188" t="e">
        <f>IF(Setup!D37="",NA(),Setup!D37)</f>
        <v>#N/A</v>
      </c>
      <c r="F42" s="195">
        <v>1</v>
      </c>
      <c r="G42" s="134" t="s">
        <v>100</v>
      </c>
      <c r="H42" s="38"/>
    </row>
    <row r="43" spans="3:12" x14ac:dyDescent="0.25">
      <c r="D43" s="19">
        <v>25</v>
      </c>
      <c r="E43" s="188" t="e">
        <f>IF(Setup!D38="",NA(),Setup!D38)</f>
        <v>#N/A</v>
      </c>
      <c r="F43" s="195">
        <v>1</v>
      </c>
      <c r="G43" s="134" t="s">
        <v>100</v>
      </c>
      <c r="H43" s="38"/>
    </row>
    <row r="44" spans="3:12" x14ac:dyDescent="0.25">
      <c r="D44" s="19">
        <v>26</v>
      </c>
      <c r="E44" s="188" t="e">
        <f>IF(Setup!D39="",NA(),Setup!D39)</f>
        <v>#N/A</v>
      </c>
      <c r="F44" s="195">
        <v>1</v>
      </c>
      <c r="G44" s="134" t="s">
        <v>100</v>
      </c>
      <c r="H44" s="38"/>
    </row>
    <row r="45" spans="3:12" x14ac:dyDescent="0.25">
      <c r="D45" s="19">
        <v>27</v>
      </c>
      <c r="E45" s="188" t="e">
        <f>IF(Setup!D40="",NA(),Setup!D40)</f>
        <v>#N/A</v>
      </c>
      <c r="F45" s="195"/>
      <c r="G45" s="134"/>
      <c r="H45" s="38"/>
    </row>
    <row r="46" spans="3:12" x14ac:dyDescent="0.25">
      <c r="D46" s="19">
        <v>28</v>
      </c>
      <c r="E46" s="188" t="e">
        <f>IF(Setup!D41="",NA(),Setup!D41)</f>
        <v>#N/A</v>
      </c>
      <c r="F46" s="195"/>
      <c r="G46" s="134"/>
      <c r="H46" s="38"/>
    </row>
    <row r="47" spans="3:12" x14ac:dyDescent="0.25">
      <c r="D47" s="19">
        <v>29</v>
      </c>
      <c r="E47" s="188" t="e">
        <f>IF(Setup!D42="",NA(),Setup!D42)</f>
        <v>#N/A</v>
      </c>
      <c r="F47" s="195"/>
      <c r="G47" s="64"/>
      <c r="H47" s="38"/>
    </row>
    <row r="48" spans="3:12" x14ac:dyDescent="0.25">
      <c r="C48" s="20"/>
      <c r="D48" s="19">
        <v>30</v>
      </c>
      <c r="E48" s="190" t="e">
        <f>IF(Setup!D43="",NA(),Setup!D43)</f>
        <v>#N/A</v>
      </c>
      <c r="F48" s="196"/>
      <c r="G48" s="108"/>
      <c r="H48" s="41"/>
    </row>
    <row r="52" spans="5:9" x14ac:dyDescent="0.25">
      <c r="E52" s="248" t="s">
        <v>81</v>
      </c>
      <c r="F52" s="249"/>
      <c r="G52" s="249"/>
      <c r="H52" s="249"/>
      <c r="I52" s="250"/>
    </row>
    <row r="53" spans="5:9" x14ac:dyDescent="0.25">
      <c r="E53" s="251"/>
      <c r="F53" s="252"/>
      <c r="G53" s="252"/>
      <c r="H53" s="252"/>
      <c r="I53" s="253"/>
    </row>
    <row r="54" spans="5:9" x14ac:dyDescent="0.25">
      <c r="E54" s="251"/>
      <c r="F54" s="252"/>
      <c r="G54" s="252"/>
      <c r="H54" s="252"/>
      <c r="I54" s="253"/>
    </row>
    <row r="55" spans="5:9" x14ac:dyDescent="0.25">
      <c r="E55" s="251"/>
      <c r="F55" s="252"/>
      <c r="G55" s="252"/>
      <c r="H55" s="252"/>
      <c r="I55" s="253"/>
    </row>
    <row r="56" spans="5:9" x14ac:dyDescent="0.25">
      <c r="E56" s="254"/>
      <c r="F56" s="255"/>
      <c r="G56" s="255"/>
      <c r="H56" s="255"/>
      <c r="I56" s="256"/>
    </row>
  </sheetData>
  <mergeCells count="7">
    <mergeCell ref="E52:I56"/>
    <mergeCell ref="J29:L35"/>
    <mergeCell ref="J8:K9"/>
    <mergeCell ref="C8:H9"/>
    <mergeCell ref="C11:H11"/>
    <mergeCell ref="C13:H14"/>
    <mergeCell ref="C16:H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do_ApplyAnalytics">
                <anchor moveWithCells="1">
                  <from>
                    <xdr:col>9</xdr:col>
                    <xdr:colOff>247650</xdr:colOff>
                    <xdr:row>30</xdr:row>
                    <xdr:rowOff>9525</xdr:rowOff>
                  </from>
                  <to>
                    <xdr:col>11</xdr:col>
                    <xdr:colOff>152400</xdr:colOff>
                    <xdr:row>32</xdr:row>
                    <xdr:rowOff>114300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6A5F5-DB2A-4B81-9DA7-D9BEBC93E0BE}">
  <sheetPr codeName="Sheet15"/>
  <dimension ref="B1:O183"/>
  <sheetViews>
    <sheetView zoomScale="80" zoomScaleNormal="80" workbookViewId="0">
      <selection activeCell="N22" sqref="N22"/>
    </sheetView>
  </sheetViews>
  <sheetFormatPr defaultRowHeight="15" x14ac:dyDescent="0.25"/>
  <cols>
    <col min="4" max="4" width="27.42578125" customWidth="1"/>
    <col min="5" max="5" width="10.42578125" customWidth="1"/>
    <col min="6" max="6" width="14.140625" customWidth="1"/>
  </cols>
  <sheetData>
    <row r="1" spans="2:15" x14ac:dyDescent="0.25">
      <c r="E1" s="60"/>
    </row>
    <row r="2" spans="2:15" x14ac:dyDescent="0.25">
      <c r="E2" s="60"/>
    </row>
    <row r="3" spans="2:15" x14ac:dyDescent="0.25">
      <c r="E3" s="60"/>
    </row>
    <row r="4" spans="2:15" x14ac:dyDescent="0.25">
      <c r="E4" s="60"/>
    </row>
    <row r="5" spans="2:15" x14ac:dyDescent="0.25">
      <c r="E5" s="60"/>
    </row>
    <row r="6" spans="2:15" x14ac:dyDescent="0.25">
      <c r="B6" s="257" t="s">
        <v>107</v>
      </c>
      <c r="C6" s="258"/>
      <c r="D6" s="258"/>
      <c r="E6" s="258"/>
      <c r="F6" s="258"/>
      <c r="G6" s="258"/>
      <c r="H6" s="258"/>
      <c r="I6" s="259"/>
      <c r="K6" s="341">
        <f ca="1">TODAY()</f>
        <v>43517</v>
      </c>
      <c r="L6" s="342"/>
    </row>
    <row r="7" spans="2:15" x14ac:dyDescent="0.25">
      <c r="B7" s="260"/>
      <c r="C7" s="268"/>
      <c r="D7" s="268"/>
      <c r="E7" s="268"/>
      <c r="F7" s="268"/>
      <c r="G7" s="268"/>
      <c r="H7" s="268"/>
      <c r="I7" s="262"/>
      <c r="K7" s="342"/>
      <c r="L7" s="342"/>
    </row>
    <row r="8" spans="2:15" ht="15.75" x14ac:dyDescent="0.25">
      <c r="B8" s="52"/>
      <c r="C8" s="52"/>
      <c r="D8" s="52"/>
      <c r="E8" s="61"/>
    </row>
    <row r="9" spans="2:15" ht="15.75" x14ac:dyDescent="0.25">
      <c r="B9" s="301" t="s">
        <v>98</v>
      </c>
      <c r="C9" s="302"/>
      <c r="D9" s="302"/>
      <c r="E9" s="302"/>
      <c r="F9" s="302"/>
      <c r="G9" s="302"/>
      <c r="H9" s="302"/>
      <c r="I9" s="303"/>
    </row>
    <row r="10" spans="2:15" ht="15.75" x14ac:dyDescent="0.25">
      <c r="B10" s="52"/>
      <c r="C10" s="52"/>
      <c r="D10" s="52"/>
      <c r="E10" s="61"/>
    </row>
    <row r="11" spans="2:15" ht="15" customHeight="1" x14ac:dyDescent="0.25">
      <c r="B11" s="343" t="s">
        <v>112</v>
      </c>
      <c r="C11" s="344"/>
      <c r="D11" s="344"/>
      <c r="E11" s="344"/>
      <c r="F11" s="344"/>
      <c r="G11" s="344"/>
      <c r="H11" s="344"/>
      <c r="I11" s="345"/>
    </row>
    <row r="12" spans="2:15" x14ac:dyDescent="0.25">
      <c r="B12" s="346"/>
      <c r="C12" s="347"/>
      <c r="D12" s="347"/>
      <c r="E12" s="347"/>
      <c r="F12" s="347"/>
      <c r="G12" s="347"/>
      <c r="H12" s="347"/>
      <c r="I12" s="348"/>
    </row>
    <row r="13" spans="2:15" x14ac:dyDescent="0.25">
      <c r="E13" s="60"/>
    </row>
    <row r="14" spans="2:15" ht="15" customHeight="1" x14ac:dyDescent="0.25">
      <c r="B14" s="349" t="s">
        <v>99</v>
      </c>
      <c r="C14" s="350"/>
      <c r="D14" s="350"/>
      <c r="E14" s="350"/>
      <c r="F14" s="350"/>
      <c r="G14" s="350"/>
      <c r="H14" s="350"/>
      <c r="I14" s="351"/>
    </row>
    <row r="15" spans="2:15" x14ac:dyDescent="0.25">
      <c r="E15" s="60"/>
      <c r="N15" s="135"/>
      <c r="O15" s="130"/>
    </row>
    <row r="16" spans="2:15" ht="15.75" thickBot="1" x14ac:dyDescent="0.3">
      <c r="B16" s="2"/>
      <c r="C16" s="2"/>
      <c r="D16" s="62" t="s">
        <v>144</v>
      </c>
      <c r="E16" s="63" t="s">
        <v>53</v>
      </c>
      <c r="F16" s="138" t="s">
        <v>102</v>
      </c>
      <c r="G16" s="142" t="s">
        <v>16</v>
      </c>
      <c r="N16" s="135"/>
      <c r="O16" s="130"/>
    </row>
    <row r="17" spans="3:15" ht="15.75" thickTop="1" x14ac:dyDescent="0.25">
      <c r="C17" s="19">
        <v>1</v>
      </c>
      <c r="D17" s="188" t="s">
        <v>96</v>
      </c>
      <c r="E17" s="195">
        <v>1</v>
      </c>
      <c r="F17" s="197"/>
      <c r="G17" s="96"/>
      <c r="N17" s="135"/>
      <c r="O17" s="130"/>
    </row>
    <row r="18" spans="3:15" x14ac:dyDescent="0.25">
      <c r="C18" s="19">
        <v>2</v>
      </c>
      <c r="D18" s="188" t="s">
        <v>95</v>
      </c>
      <c r="E18" s="195">
        <v>1.34</v>
      </c>
      <c r="F18" s="197"/>
      <c r="G18" s="38"/>
      <c r="N18" s="135"/>
      <c r="O18" s="130"/>
    </row>
    <row r="19" spans="3:15" x14ac:dyDescent="0.25">
      <c r="C19" s="19">
        <v>3</v>
      </c>
      <c r="D19" s="188" t="s">
        <v>101</v>
      </c>
      <c r="E19" s="195">
        <v>7.9000000000000001E-2</v>
      </c>
      <c r="F19" s="197"/>
      <c r="G19" s="38"/>
    </row>
    <row r="20" spans="3:15" x14ac:dyDescent="0.25">
      <c r="C20" s="19">
        <v>4</v>
      </c>
      <c r="D20" s="188" t="s">
        <v>97</v>
      </c>
      <c r="E20" s="195">
        <v>1.17</v>
      </c>
      <c r="F20" s="197"/>
      <c r="G20" s="38"/>
    </row>
    <row r="21" spans="3:15" x14ac:dyDescent="0.25">
      <c r="C21" s="19">
        <v>5</v>
      </c>
      <c r="D21" s="188"/>
      <c r="E21" s="195"/>
      <c r="F21" s="197"/>
      <c r="G21" s="38"/>
    </row>
    <row r="22" spans="3:15" x14ac:dyDescent="0.25">
      <c r="C22" s="19">
        <v>6</v>
      </c>
      <c r="D22" s="188"/>
      <c r="E22" s="195"/>
      <c r="F22" s="197"/>
      <c r="G22" s="38"/>
    </row>
    <row r="23" spans="3:15" x14ac:dyDescent="0.25">
      <c r="C23" s="19">
        <v>7</v>
      </c>
      <c r="D23" s="188"/>
      <c r="E23" s="195"/>
      <c r="F23" s="197"/>
      <c r="G23" s="38"/>
    </row>
    <row r="24" spans="3:15" x14ac:dyDescent="0.25">
      <c r="C24" s="19">
        <v>8</v>
      </c>
      <c r="D24" s="188"/>
      <c r="E24" s="195"/>
      <c r="F24" s="197"/>
      <c r="G24" s="38"/>
    </row>
    <row r="25" spans="3:15" x14ac:dyDescent="0.25">
      <c r="C25" s="19">
        <v>9</v>
      </c>
      <c r="D25" s="188"/>
      <c r="E25" s="195"/>
      <c r="F25" s="197"/>
      <c r="G25" s="38"/>
    </row>
    <row r="26" spans="3:15" x14ac:dyDescent="0.25">
      <c r="C26" s="19">
        <v>10</v>
      </c>
      <c r="D26" s="188"/>
      <c r="E26" s="195"/>
      <c r="F26" s="197"/>
      <c r="G26" s="38"/>
    </row>
    <row r="27" spans="3:15" x14ac:dyDescent="0.25">
      <c r="C27" s="19">
        <v>11</v>
      </c>
      <c r="D27" s="188"/>
      <c r="E27" s="195"/>
      <c r="F27" s="197"/>
      <c r="G27" s="38"/>
      <c r="I27" s="327" t="s">
        <v>58</v>
      </c>
      <c r="J27" s="328"/>
      <c r="K27" s="329"/>
    </row>
    <row r="28" spans="3:15" x14ac:dyDescent="0.25">
      <c r="C28" s="19">
        <v>12</v>
      </c>
      <c r="D28" s="188"/>
      <c r="E28" s="195"/>
      <c r="F28" s="197"/>
      <c r="G28" s="38"/>
      <c r="I28" s="330"/>
      <c r="J28" s="264"/>
      <c r="K28" s="331"/>
    </row>
    <row r="29" spans="3:15" x14ac:dyDescent="0.25">
      <c r="C29" s="19">
        <v>13</v>
      </c>
      <c r="D29" s="188"/>
      <c r="E29" s="195"/>
      <c r="F29" s="197"/>
      <c r="G29" s="38"/>
      <c r="I29" s="330"/>
      <c r="J29" s="264"/>
      <c r="K29" s="331"/>
    </row>
    <row r="30" spans="3:15" x14ac:dyDescent="0.25">
      <c r="C30" s="19">
        <v>14</v>
      </c>
      <c r="D30" s="188"/>
      <c r="E30" s="195"/>
      <c r="F30" s="197"/>
      <c r="G30" s="38"/>
      <c r="I30" s="330"/>
      <c r="J30" s="264"/>
      <c r="K30" s="331"/>
    </row>
    <row r="31" spans="3:15" x14ac:dyDescent="0.25">
      <c r="C31" s="19">
        <v>15</v>
      </c>
      <c r="D31" s="188"/>
      <c r="E31" s="195"/>
      <c r="F31" s="197"/>
      <c r="G31" s="38"/>
      <c r="I31" s="330"/>
      <c r="J31" s="264"/>
      <c r="K31" s="331"/>
    </row>
    <row r="32" spans="3:15" x14ac:dyDescent="0.25">
      <c r="C32" s="19">
        <v>16</v>
      </c>
      <c r="D32" s="188"/>
      <c r="E32" s="195"/>
      <c r="F32" s="197"/>
      <c r="G32" s="38"/>
      <c r="I32" s="330"/>
      <c r="J32" s="264"/>
      <c r="K32" s="331"/>
    </row>
    <row r="33" spans="2:11" x14ac:dyDescent="0.25">
      <c r="C33" s="19">
        <v>17</v>
      </c>
      <c r="D33" s="188"/>
      <c r="E33" s="195"/>
      <c r="F33" s="197"/>
      <c r="G33" s="38"/>
      <c r="I33" s="332"/>
      <c r="J33" s="333"/>
      <c r="K33" s="334"/>
    </row>
    <row r="34" spans="2:11" x14ac:dyDescent="0.25">
      <c r="C34" s="19">
        <v>18</v>
      </c>
      <c r="D34" s="188"/>
      <c r="E34" s="195"/>
      <c r="F34" s="197"/>
      <c r="G34" s="38"/>
    </row>
    <row r="35" spans="2:11" x14ac:dyDescent="0.25">
      <c r="C35" s="19">
        <v>19</v>
      </c>
      <c r="D35" s="188"/>
      <c r="E35" s="195"/>
      <c r="F35" s="197"/>
      <c r="G35" s="38"/>
    </row>
    <row r="36" spans="2:11" x14ac:dyDescent="0.25">
      <c r="C36" s="19">
        <v>20</v>
      </c>
      <c r="D36" s="188"/>
      <c r="E36" s="195"/>
      <c r="F36" s="197"/>
      <c r="G36" s="38"/>
    </row>
    <row r="37" spans="2:11" x14ac:dyDescent="0.25">
      <c r="C37" s="19">
        <v>21</v>
      </c>
      <c r="D37" s="188"/>
      <c r="E37" s="195"/>
      <c r="F37" s="197"/>
      <c r="G37" s="38"/>
    </row>
    <row r="38" spans="2:11" x14ac:dyDescent="0.25">
      <c r="C38" s="19">
        <v>22</v>
      </c>
      <c r="D38" s="188"/>
      <c r="E38" s="195"/>
      <c r="F38" s="197"/>
      <c r="G38" s="38"/>
    </row>
    <row r="39" spans="2:11" x14ac:dyDescent="0.25">
      <c r="C39" s="19">
        <v>23</v>
      </c>
      <c r="D39" s="188"/>
      <c r="E39" s="195"/>
      <c r="F39" s="197"/>
      <c r="G39" s="38"/>
    </row>
    <row r="40" spans="2:11" x14ac:dyDescent="0.25">
      <c r="C40" s="19">
        <v>24</v>
      </c>
      <c r="D40" s="188"/>
      <c r="E40" s="195"/>
      <c r="F40" s="197"/>
      <c r="G40" s="38"/>
    </row>
    <row r="41" spans="2:11" x14ac:dyDescent="0.25">
      <c r="C41" s="19">
        <v>25</v>
      </c>
      <c r="D41" s="188"/>
      <c r="E41" s="195"/>
      <c r="F41" s="197"/>
      <c r="G41" s="38"/>
    </row>
    <row r="42" spans="2:11" x14ac:dyDescent="0.25">
      <c r="C42" s="19">
        <v>26</v>
      </c>
      <c r="D42" s="188"/>
      <c r="E42" s="195"/>
      <c r="F42" s="197"/>
      <c r="G42" s="38"/>
    </row>
    <row r="43" spans="2:11" x14ac:dyDescent="0.25">
      <c r="C43" s="19">
        <v>27</v>
      </c>
      <c r="D43" s="188"/>
      <c r="E43" s="195"/>
      <c r="F43" s="197"/>
      <c r="G43" s="38"/>
    </row>
    <row r="44" spans="2:11" x14ac:dyDescent="0.25">
      <c r="C44" s="19">
        <v>28</v>
      </c>
      <c r="D44" s="188"/>
      <c r="E44" s="195"/>
      <c r="F44" s="197"/>
      <c r="G44" s="38"/>
    </row>
    <row r="45" spans="2:11" x14ac:dyDescent="0.25">
      <c r="C45" s="19">
        <v>29</v>
      </c>
      <c r="D45" s="188"/>
      <c r="E45" s="195"/>
      <c r="F45" s="197"/>
      <c r="G45" s="38"/>
    </row>
    <row r="46" spans="2:11" x14ac:dyDescent="0.25">
      <c r="B46" s="20"/>
      <c r="C46" s="19">
        <v>30</v>
      </c>
      <c r="D46" s="190"/>
      <c r="E46" s="196"/>
      <c r="F46" s="198"/>
      <c r="G46" s="41"/>
    </row>
    <row r="47" spans="2:11" x14ac:dyDescent="0.25">
      <c r="E47" s="130"/>
    </row>
    <row r="48" spans="2:11" x14ac:dyDescent="0.25">
      <c r="E48" s="130"/>
    </row>
    <row r="49" spans="4:8" x14ac:dyDescent="0.25">
      <c r="E49" s="130"/>
    </row>
    <row r="50" spans="4:8" ht="15" customHeight="1" x14ac:dyDescent="0.25">
      <c r="D50" s="121"/>
      <c r="E50" s="132"/>
      <c r="F50" s="122"/>
      <c r="G50" s="122"/>
      <c r="H50" s="123"/>
    </row>
    <row r="51" spans="4:8" ht="15" customHeight="1" x14ac:dyDescent="0.25">
      <c r="D51" s="124"/>
      <c r="E51" s="131"/>
      <c r="F51" s="125"/>
      <c r="G51" s="125"/>
      <c r="H51" s="126"/>
    </row>
    <row r="52" spans="4:8" ht="15" customHeight="1" x14ac:dyDescent="0.25">
      <c r="D52" s="124"/>
      <c r="E52" s="131"/>
      <c r="F52" s="125"/>
      <c r="G52" s="125"/>
      <c r="H52" s="126"/>
    </row>
    <row r="53" spans="4:8" ht="15" customHeight="1" x14ac:dyDescent="0.25">
      <c r="D53" s="124"/>
      <c r="E53" s="131"/>
      <c r="F53" s="125"/>
      <c r="G53" s="125"/>
      <c r="H53" s="126"/>
    </row>
    <row r="54" spans="4:8" ht="15" customHeight="1" x14ac:dyDescent="0.25">
      <c r="D54" s="127"/>
      <c r="E54" s="133"/>
      <c r="F54" s="128"/>
      <c r="G54" s="128"/>
      <c r="H54" s="129"/>
    </row>
    <row r="55" spans="4:8" x14ac:dyDescent="0.25">
      <c r="E55" s="130"/>
    </row>
    <row r="56" spans="4:8" x14ac:dyDescent="0.25">
      <c r="E56" s="130"/>
    </row>
    <row r="57" spans="4:8" x14ac:dyDescent="0.25">
      <c r="E57" s="130"/>
    </row>
    <row r="58" spans="4:8" x14ac:dyDescent="0.25">
      <c r="E58" s="130"/>
    </row>
    <row r="59" spans="4:8" x14ac:dyDescent="0.25">
      <c r="E59" s="130"/>
    </row>
    <row r="60" spans="4:8" x14ac:dyDescent="0.25">
      <c r="E60" s="130"/>
    </row>
    <row r="61" spans="4:8" x14ac:dyDescent="0.25">
      <c r="E61" s="130"/>
    </row>
    <row r="62" spans="4:8" x14ac:dyDescent="0.25">
      <c r="E62" s="130"/>
    </row>
    <row r="63" spans="4:8" x14ac:dyDescent="0.25">
      <c r="E63" s="130"/>
    </row>
    <row r="64" spans="4:8" x14ac:dyDescent="0.25">
      <c r="E64" s="130"/>
    </row>
    <row r="65" spans="5:5" x14ac:dyDescent="0.25">
      <c r="E65" s="130"/>
    </row>
    <row r="66" spans="5:5" x14ac:dyDescent="0.25">
      <c r="E66" s="130"/>
    </row>
    <row r="67" spans="5:5" x14ac:dyDescent="0.25">
      <c r="E67" s="130"/>
    </row>
    <row r="68" spans="5:5" x14ac:dyDescent="0.25">
      <c r="E68" s="130"/>
    </row>
    <row r="69" spans="5:5" x14ac:dyDescent="0.25">
      <c r="E69" s="130"/>
    </row>
    <row r="70" spans="5:5" x14ac:dyDescent="0.25">
      <c r="E70" s="130"/>
    </row>
    <row r="71" spans="5:5" x14ac:dyDescent="0.25">
      <c r="E71" s="130"/>
    </row>
    <row r="72" spans="5:5" x14ac:dyDescent="0.25">
      <c r="E72" s="130"/>
    </row>
    <row r="73" spans="5:5" x14ac:dyDescent="0.25">
      <c r="E73" s="130"/>
    </row>
    <row r="74" spans="5:5" x14ac:dyDescent="0.25">
      <c r="E74" s="130"/>
    </row>
    <row r="75" spans="5:5" x14ac:dyDescent="0.25">
      <c r="E75" s="130"/>
    </row>
    <row r="76" spans="5:5" x14ac:dyDescent="0.25">
      <c r="E76" s="130"/>
    </row>
    <row r="77" spans="5:5" x14ac:dyDescent="0.25">
      <c r="E77" s="130"/>
    </row>
    <row r="78" spans="5:5" x14ac:dyDescent="0.25">
      <c r="E78" s="130"/>
    </row>
    <row r="79" spans="5:5" x14ac:dyDescent="0.25">
      <c r="E79" s="130"/>
    </row>
    <row r="80" spans="5:5" x14ac:dyDescent="0.25">
      <c r="E80" s="130"/>
    </row>
    <row r="81" spans="5:5" x14ac:dyDescent="0.25">
      <c r="E81" s="130"/>
    </row>
    <row r="82" spans="5:5" x14ac:dyDescent="0.25">
      <c r="E82" s="130"/>
    </row>
    <row r="83" spans="5:5" x14ac:dyDescent="0.25">
      <c r="E83" s="130"/>
    </row>
    <row r="84" spans="5:5" x14ac:dyDescent="0.25">
      <c r="E84" s="130"/>
    </row>
    <row r="85" spans="5:5" x14ac:dyDescent="0.25">
      <c r="E85" s="130"/>
    </row>
    <row r="86" spans="5:5" x14ac:dyDescent="0.25">
      <c r="E86" s="130"/>
    </row>
    <row r="87" spans="5:5" x14ac:dyDescent="0.25">
      <c r="E87" s="130"/>
    </row>
    <row r="88" spans="5:5" x14ac:dyDescent="0.25">
      <c r="E88" s="130"/>
    </row>
    <row r="89" spans="5:5" x14ac:dyDescent="0.25">
      <c r="E89" s="130"/>
    </row>
    <row r="90" spans="5:5" x14ac:dyDescent="0.25">
      <c r="E90" s="130"/>
    </row>
    <row r="91" spans="5:5" x14ac:dyDescent="0.25">
      <c r="E91" s="130"/>
    </row>
    <row r="92" spans="5:5" x14ac:dyDescent="0.25">
      <c r="E92" s="130"/>
    </row>
    <row r="93" spans="5:5" x14ac:dyDescent="0.25">
      <c r="E93" s="130"/>
    </row>
    <row r="94" spans="5:5" x14ac:dyDescent="0.25">
      <c r="E94" s="130"/>
    </row>
    <row r="95" spans="5:5" x14ac:dyDescent="0.25">
      <c r="E95" s="130"/>
    </row>
    <row r="96" spans="5:5" x14ac:dyDescent="0.25">
      <c r="E96" s="130"/>
    </row>
    <row r="97" spans="5:5" x14ac:dyDescent="0.25">
      <c r="E97" s="130"/>
    </row>
    <row r="98" spans="5:5" x14ac:dyDescent="0.25">
      <c r="E98" s="130"/>
    </row>
    <row r="99" spans="5:5" x14ac:dyDescent="0.25">
      <c r="E99" s="130"/>
    </row>
    <row r="100" spans="5:5" x14ac:dyDescent="0.25">
      <c r="E100" s="130"/>
    </row>
    <row r="101" spans="5:5" x14ac:dyDescent="0.25">
      <c r="E101" s="130"/>
    </row>
    <row r="102" spans="5:5" x14ac:dyDescent="0.25">
      <c r="E102" s="130"/>
    </row>
    <row r="103" spans="5:5" x14ac:dyDescent="0.25">
      <c r="E103" s="130"/>
    </row>
    <row r="104" spans="5:5" x14ac:dyDescent="0.25">
      <c r="E104" s="130"/>
    </row>
    <row r="105" spans="5:5" x14ac:dyDescent="0.25">
      <c r="E105" s="130"/>
    </row>
    <row r="106" spans="5:5" x14ac:dyDescent="0.25">
      <c r="E106" s="130"/>
    </row>
    <row r="107" spans="5:5" x14ac:dyDescent="0.25">
      <c r="E107" s="130"/>
    </row>
    <row r="108" spans="5:5" x14ac:dyDescent="0.25">
      <c r="E108" s="130"/>
    </row>
    <row r="109" spans="5:5" x14ac:dyDescent="0.25">
      <c r="E109" s="130"/>
    </row>
    <row r="110" spans="5:5" x14ac:dyDescent="0.25">
      <c r="E110" s="130"/>
    </row>
    <row r="111" spans="5:5" x14ac:dyDescent="0.25">
      <c r="E111" s="130"/>
    </row>
    <row r="112" spans="5:5" x14ac:dyDescent="0.25">
      <c r="E112" s="130"/>
    </row>
    <row r="113" spans="5:5" x14ac:dyDescent="0.25">
      <c r="E113" s="130"/>
    </row>
    <row r="114" spans="5:5" x14ac:dyDescent="0.25">
      <c r="E114" s="130"/>
    </row>
    <row r="115" spans="5:5" x14ac:dyDescent="0.25">
      <c r="E115" s="130"/>
    </row>
    <row r="116" spans="5:5" x14ac:dyDescent="0.25">
      <c r="E116" s="130"/>
    </row>
    <row r="117" spans="5:5" x14ac:dyDescent="0.25">
      <c r="E117" s="130"/>
    </row>
    <row r="118" spans="5:5" x14ac:dyDescent="0.25">
      <c r="E118" s="130"/>
    </row>
    <row r="119" spans="5:5" x14ac:dyDescent="0.25">
      <c r="E119" s="130"/>
    </row>
    <row r="120" spans="5:5" x14ac:dyDescent="0.25">
      <c r="E120" s="130"/>
    </row>
    <row r="121" spans="5:5" x14ac:dyDescent="0.25">
      <c r="E121" s="130"/>
    </row>
    <row r="122" spans="5:5" x14ac:dyDescent="0.25">
      <c r="E122" s="130"/>
    </row>
    <row r="123" spans="5:5" x14ac:dyDescent="0.25">
      <c r="E123" s="130"/>
    </row>
    <row r="124" spans="5:5" x14ac:dyDescent="0.25">
      <c r="E124" s="130"/>
    </row>
    <row r="125" spans="5:5" x14ac:dyDescent="0.25">
      <c r="E125" s="130"/>
    </row>
    <row r="126" spans="5:5" x14ac:dyDescent="0.25">
      <c r="E126" s="130"/>
    </row>
    <row r="127" spans="5:5" x14ac:dyDescent="0.25">
      <c r="E127" s="130"/>
    </row>
    <row r="128" spans="5:5" x14ac:dyDescent="0.25">
      <c r="E128" s="130"/>
    </row>
    <row r="129" spans="5:5" x14ac:dyDescent="0.25">
      <c r="E129" s="130"/>
    </row>
    <row r="130" spans="5:5" x14ac:dyDescent="0.25">
      <c r="E130" s="130"/>
    </row>
    <row r="131" spans="5:5" x14ac:dyDescent="0.25">
      <c r="E131" s="130"/>
    </row>
    <row r="132" spans="5:5" x14ac:dyDescent="0.25">
      <c r="E132" s="130"/>
    </row>
    <row r="133" spans="5:5" x14ac:dyDescent="0.25">
      <c r="E133" s="130"/>
    </row>
    <row r="134" spans="5:5" x14ac:dyDescent="0.25">
      <c r="E134" s="130"/>
    </row>
    <row r="135" spans="5:5" x14ac:dyDescent="0.25">
      <c r="E135" s="130"/>
    </row>
    <row r="136" spans="5:5" x14ac:dyDescent="0.25">
      <c r="E136" s="130"/>
    </row>
    <row r="137" spans="5:5" x14ac:dyDescent="0.25">
      <c r="E137" s="130"/>
    </row>
    <row r="138" spans="5:5" x14ac:dyDescent="0.25">
      <c r="E138" s="130"/>
    </row>
    <row r="139" spans="5:5" x14ac:dyDescent="0.25">
      <c r="E139" s="130"/>
    </row>
    <row r="140" spans="5:5" x14ac:dyDescent="0.25">
      <c r="E140" s="130"/>
    </row>
    <row r="141" spans="5:5" x14ac:dyDescent="0.25">
      <c r="E141" s="130"/>
    </row>
    <row r="142" spans="5:5" x14ac:dyDescent="0.25">
      <c r="E142" s="130"/>
    </row>
    <row r="143" spans="5:5" x14ac:dyDescent="0.25">
      <c r="E143" s="130"/>
    </row>
    <row r="144" spans="5:5" x14ac:dyDescent="0.25">
      <c r="E144" s="130"/>
    </row>
    <row r="145" spans="5:5" x14ac:dyDescent="0.25">
      <c r="E145" s="130"/>
    </row>
    <row r="146" spans="5:5" x14ac:dyDescent="0.25">
      <c r="E146" s="130"/>
    </row>
    <row r="147" spans="5:5" x14ac:dyDescent="0.25">
      <c r="E147" s="130"/>
    </row>
    <row r="148" spans="5:5" x14ac:dyDescent="0.25">
      <c r="E148" s="130"/>
    </row>
    <row r="149" spans="5:5" x14ac:dyDescent="0.25">
      <c r="E149" s="130"/>
    </row>
    <row r="150" spans="5:5" x14ac:dyDescent="0.25">
      <c r="E150" s="130"/>
    </row>
    <row r="151" spans="5:5" x14ac:dyDescent="0.25">
      <c r="E151" s="130"/>
    </row>
    <row r="152" spans="5:5" x14ac:dyDescent="0.25">
      <c r="E152" s="130"/>
    </row>
    <row r="153" spans="5:5" x14ac:dyDescent="0.25">
      <c r="E153" s="130"/>
    </row>
    <row r="154" spans="5:5" x14ac:dyDescent="0.25">
      <c r="E154" s="130"/>
    </row>
    <row r="155" spans="5:5" x14ac:dyDescent="0.25">
      <c r="E155" s="130"/>
    </row>
    <row r="156" spans="5:5" x14ac:dyDescent="0.25">
      <c r="E156" s="130"/>
    </row>
    <row r="157" spans="5:5" x14ac:dyDescent="0.25">
      <c r="E157" s="130"/>
    </row>
    <row r="158" spans="5:5" x14ac:dyDescent="0.25">
      <c r="E158" s="130"/>
    </row>
    <row r="159" spans="5:5" x14ac:dyDescent="0.25">
      <c r="E159" s="130"/>
    </row>
    <row r="160" spans="5:5" x14ac:dyDescent="0.25">
      <c r="E160" s="130"/>
    </row>
    <row r="161" spans="5:5" x14ac:dyDescent="0.25">
      <c r="E161" s="130"/>
    </row>
    <row r="162" spans="5:5" x14ac:dyDescent="0.25">
      <c r="E162" s="130"/>
    </row>
    <row r="163" spans="5:5" x14ac:dyDescent="0.25">
      <c r="E163" s="130"/>
    </row>
    <row r="164" spans="5:5" x14ac:dyDescent="0.25">
      <c r="E164" s="130"/>
    </row>
    <row r="165" spans="5:5" x14ac:dyDescent="0.25">
      <c r="E165" s="130"/>
    </row>
    <row r="166" spans="5:5" x14ac:dyDescent="0.25">
      <c r="E166" s="130"/>
    </row>
    <row r="167" spans="5:5" x14ac:dyDescent="0.25">
      <c r="E167" s="130"/>
    </row>
    <row r="168" spans="5:5" x14ac:dyDescent="0.25">
      <c r="E168" s="130"/>
    </row>
    <row r="169" spans="5:5" x14ac:dyDescent="0.25">
      <c r="E169" s="130"/>
    </row>
    <row r="170" spans="5:5" x14ac:dyDescent="0.25">
      <c r="E170" s="130"/>
    </row>
    <row r="171" spans="5:5" x14ac:dyDescent="0.25">
      <c r="E171" s="130"/>
    </row>
    <row r="172" spans="5:5" x14ac:dyDescent="0.25">
      <c r="E172" s="130"/>
    </row>
    <row r="173" spans="5:5" x14ac:dyDescent="0.25">
      <c r="E173" s="130"/>
    </row>
    <row r="174" spans="5:5" x14ac:dyDescent="0.25">
      <c r="E174" s="130"/>
    </row>
    <row r="175" spans="5:5" x14ac:dyDescent="0.25">
      <c r="E175" s="130"/>
    </row>
    <row r="176" spans="5:5" x14ac:dyDescent="0.25">
      <c r="E176" s="130"/>
    </row>
    <row r="177" spans="5:5" x14ac:dyDescent="0.25">
      <c r="E177" s="130"/>
    </row>
    <row r="178" spans="5:5" x14ac:dyDescent="0.25">
      <c r="E178" s="130"/>
    </row>
    <row r="179" spans="5:5" x14ac:dyDescent="0.25">
      <c r="E179" s="130"/>
    </row>
    <row r="180" spans="5:5" x14ac:dyDescent="0.25">
      <c r="E180" s="130"/>
    </row>
    <row r="181" spans="5:5" x14ac:dyDescent="0.25">
      <c r="E181" s="130"/>
    </row>
    <row r="182" spans="5:5" x14ac:dyDescent="0.25">
      <c r="E182" s="130"/>
    </row>
    <row r="183" spans="5:5" x14ac:dyDescent="0.25">
      <c r="E183" s="130"/>
    </row>
  </sheetData>
  <mergeCells count="6">
    <mergeCell ref="I27:K33"/>
    <mergeCell ref="B6:I7"/>
    <mergeCell ref="K6:L7"/>
    <mergeCell ref="B9:I9"/>
    <mergeCell ref="B11:I12"/>
    <mergeCell ref="B14:I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do_ApplyFXRates">
                <anchor moveWithCells="1">
                  <from>
                    <xdr:col>8</xdr:col>
                    <xdr:colOff>247650</xdr:colOff>
                    <xdr:row>28</xdr:row>
                    <xdr:rowOff>9525</xdr:rowOff>
                  </from>
                  <to>
                    <xdr:col>10</xdr:col>
                    <xdr:colOff>152400</xdr:colOff>
                    <xdr:row>30</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5C6BC-009C-468A-9842-83353218384D}">
  <sheetPr codeName="Sheet16"/>
  <dimension ref="B1:O183"/>
  <sheetViews>
    <sheetView zoomScale="80" zoomScaleNormal="80" workbookViewId="0">
      <selection activeCell="N19" sqref="N19"/>
    </sheetView>
  </sheetViews>
  <sheetFormatPr defaultColWidth="9.140625" defaultRowHeight="15" x14ac:dyDescent="0.25"/>
  <cols>
    <col min="4" max="4" width="27.42578125" customWidth="1"/>
    <col min="5" max="5" width="10.42578125" customWidth="1"/>
    <col min="6" max="6" width="15.28515625" customWidth="1"/>
  </cols>
  <sheetData>
    <row r="1" spans="2:15" x14ac:dyDescent="0.25">
      <c r="E1" s="60"/>
    </row>
    <row r="2" spans="2:15" x14ac:dyDescent="0.25">
      <c r="E2" s="60"/>
    </row>
    <row r="3" spans="2:15" x14ac:dyDescent="0.25">
      <c r="E3" s="60"/>
    </row>
    <row r="4" spans="2:15" x14ac:dyDescent="0.25">
      <c r="E4" s="60"/>
    </row>
    <row r="5" spans="2:15" x14ac:dyDescent="0.25">
      <c r="E5" s="60"/>
    </row>
    <row r="6" spans="2:15" x14ac:dyDescent="0.25">
      <c r="B6" s="257" t="s">
        <v>114</v>
      </c>
      <c r="C6" s="258"/>
      <c r="D6" s="258"/>
      <c r="E6" s="258"/>
      <c r="F6" s="258"/>
      <c r="G6" s="258"/>
      <c r="H6" s="258"/>
      <c r="I6" s="259"/>
      <c r="K6" s="341">
        <f ca="1">TODAY()</f>
        <v>43517</v>
      </c>
      <c r="L6" s="342"/>
    </row>
    <row r="7" spans="2:15" x14ac:dyDescent="0.25">
      <c r="B7" s="260"/>
      <c r="C7" s="268"/>
      <c r="D7" s="268"/>
      <c r="E7" s="268"/>
      <c r="F7" s="268"/>
      <c r="G7" s="268"/>
      <c r="H7" s="268"/>
      <c r="I7" s="262"/>
      <c r="K7" s="342"/>
      <c r="L7" s="342"/>
    </row>
    <row r="8" spans="2:15" ht="15.75" x14ac:dyDescent="0.25">
      <c r="B8" s="52"/>
      <c r="C8" s="52"/>
      <c r="D8" s="52"/>
      <c r="E8" s="61"/>
    </row>
    <row r="9" spans="2:15" ht="15.75" x14ac:dyDescent="0.25">
      <c r="B9" s="301" t="s">
        <v>104</v>
      </c>
      <c r="C9" s="302"/>
      <c r="D9" s="302"/>
      <c r="E9" s="302"/>
      <c r="F9" s="302"/>
      <c r="G9" s="302"/>
      <c r="H9" s="302"/>
      <c r="I9" s="303"/>
    </row>
    <row r="10" spans="2:15" ht="15.75" x14ac:dyDescent="0.25">
      <c r="B10" s="52"/>
      <c r="C10" s="52"/>
      <c r="D10" s="52"/>
      <c r="E10" s="61"/>
    </row>
    <row r="11" spans="2:15" ht="15" customHeight="1" x14ac:dyDescent="0.25">
      <c r="B11" s="343" t="s">
        <v>113</v>
      </c>
      <c r="C11" s="344"/>
      <c r="D11" s="344"/>
      <c r="E11" s="344"/>
      <c r="F11" s="344"/>
      <c r="G11" s="344"/>
      <c r="H11" s="344"/>
      <c r="I11" s="345"/>
    </row>
    <row r="12" spans="2:15" x14ac:dyDescent="0.25">
      <c r="B12" s="346"/>
      <c r="C12" s="347"/>
      <c r="D12" s="347"/>
      <c r="E12" s="347"/>
      <c r="F12" s="347"/>
      <c r="G12" s="347"/>
      <c r="H12" s="347"/>
      <c r="I12" s="348"/>
    </row>
    <row r="13" spans="2:15" x14ac:dyDescent="0.25">
      <c r="E13" s="60"/>
    </row>
    <row r="14" spans="2:15" ht="15" customHeight="1" x14ac:dyDescent="0.25">
      <c r="B14" s="349" t="s">
        <v>105</v>
      </c>
      <c r="C14" s="350"/>
      <c r="D14" s="350"/>
      <c r="E14" s="350"/>
      <c r="F14" s="350"/>
      <c r="G14" s="350"/>
      <c r="H14" s="350"/>
      <c r="I14" s="351"/>
    </row>
    <row r="15" spans="2:15" x14ac:dyDescent="0.25">
      <c r="E15" s="60"/>
      <c r="N15" s="135"/>
      <c r="O15" s="130"/>
    </row>
    <row r="16" spans="2:15" ht="15.75" thickBot="1" x14ac:dyDescent="0.3">
      <c r="B16" s="2"/>
      <c r="C16" s="2"/>
      <c r="D16" s="137" t="s">
        <v>144</v>
      </c>
      <c r="E16" s="63" t="s">
        <v>53</v>
      </c>
      <c r="F16" s="138" t="s">
        <v>102</v>
      </c>
      <c r="G16" s="142" t="s">
        <v>16</v>
      </c>
      <c r="N16" s="135"/>
      <c r="O16" s="130"/>
    </row>
    <row r="17" spans="3:15" ht="15.75" thickTop="1" x14ac:dyDescent="0.25">
      <c r="C17" s="19">
        <v>1</v>
      </c>
      <c r="D17" s="65" t="e">
        <f>IF(Setup!D14="",NA(),Setup!D14)</f>
        <v>#N/A</v>
      </c>
      <c r="E17" s="195">
        <v>1</v>
      </c>
      <c r="F17" s="197"/>
      <c r="G17" s="96"/>
      <c r="N17" s="135"/>
      <c r="O17" s="130"/>
    </row>
    <row r="18" spans="3:15" x14ac:dyDescent="0.25">
      <c r="C18" s="19">
        <v>2</v>
      </c>
      <c r="D18" s="65"/>
      <c r="E18" s="195"/>
      <c r="F18" s="197"/>
      <c r="G18" s="38"/>
      <c r="N18" s="135"/>
      <c r="O18" s="130"/>
    </row>
    <row r="19" spans="3:15" x14ac:dyDescent="0.25">
      <c r="C19" s="19">
        <v>3</v>
      </c>
      <c r="D19" s="65"/>
      <c r="E19" s="195"/>
      <c r="F19" s="197"/>
      <c r="G19" s="38"/>
    </row>
    <row r="20" spans="3:15" x14ac:dyDescent="0.25">
      <c r="C20" s="19">
        <v>4</v>
      </c>
      <c r="D20" s="65"/>
      <c r="E20" s="195"/>
      <c r="F20" s="197"/>
      <c r="G20" s="38"/>
    </row>
    <row r="21" spans="3:15" x14ac:dyDescent="0.25">
      <c r="C21" s="19">
        <v>5</v>
      </c>
      <c r="D21" s="65"/>
      <c r="E21" s="195"/>
      <c r="F21" s="197"/>
      <c r="G21" s="38"/>
    </row>
    <row r="22" spans="3:15" x14ac:dyDescent="0.25">
      <c r="C22" s="19">
        <v>6</v>
      </c>
      <c r="D22" s="65"/>
      <c r="E22" s="195"/>
      <c r="F22" s="197"/>
      <c r="G22" s="38"/>
    </row>
    <row r="23" spans="3:15" x14ac:dyDescent="0.25">
      <c r="C23" s="19">
        <v>7</v>
      </c>
      <c r="D23" s="65"/>
      <c r="E23" s="195"/>
      <c r="F23" s="197"/>
      <c r="G23" s="38"/>
    </row>
    <row r="24" spans="3:15" x14ac:dyDescent="0.25">
      <c r="C24" s="19">
        <v>8</v>
      </c>
      <c r="D24" s="65"/>
      <c r="E24" s="195"/>
      <c r="F24" s="197"/>
      <c r="G24" s="38"/>
    </row>
    <row r="25" spans="3:15" x14ac:dyDescent="0.25">
      <c r="C25" s="19">
        <v>9</v>
      </c>
      <c r="D25" s="65"/>
      <c r="E25" s="195"/>
      <c r="F25" s="197"/>
      <c r="G25" s="38"/>
    </row>
    <row r="26" spans="3:15" x14ac:dyDescent="0.25">
      <c r="C26" s="19">
        <v>10</v>
      </c>
      <c r="D26" s="65"/>
      <c r="E26" s="195"/>
      <c r="F26" s="197"/>
      <c r="G26" s="38"/>
    </row>
    <row r="27" spans="3:15" x14ac:dyDescent="0.25">
      <c r="C27" s="19">
        <v>11</v>
      </c>
      <c r="D27" s="65"/>
      <c r="E27" s="195"/>
      <c r="F27" s="197"/>
      <c r="G27" s="38"/>
      <c r="I27" s="327" t="s">
        <v>103</v>
      </c>
      <c r="J27" s="328"/>
      <c r="K27" s="329"/>
    </row>
    <row r="28" spans="3:15" x14ac:dyDescent="0.25">
      <c r="C28" s="19">
        <v>12</v>
      </c>
      <c r="D28" s="65"/>
      <c r="E28" s="195"/>
      <c r="F28" s="197"/>
      <c r="G28" s="38"/>
      <c r="I28" s="330"/>
      <c r="J28" s="264"/>
      <c r="K28" s="331"/>
    </row>
    <row r="29" spans="3:15" x14ac:dyDescent="0.25">
      <c r="C29" s="19">
        <v>13</v>
      </c>
      <c r="D29" s="65"/>
      <c r="E29" s="195"/>
      <c r="F29" s="197"/>
      <c r="G29" s="38"/>
      <c r="I29" s="330"/>
      <c r="J29" s="264"/>
      <c r="K29" s="331"/>
    </row>
    <row r="30" spans="3:15" x14ac:dyDescent="0.25">
      <c r="C30" s="19">
        <v>14</v>
      </c>
      <c r="D30" s="65"/>
      <c r="E30" s="195"/>
      <c r="F30" s="197"/>
      <c r="G30" s="38"/>
      <c r="I30" s="330"/>
      <c r="J30" s="264"/>
      <c r="K30" s="331"/>
    </row>
    <row r="31" spans="3:15" x14ac:dyDescent="0.25">
      <c r="C31" s="19">
        <v>15</v>
      </c>
      <c r="D31" s="65"/>
      <c r="E31" s="195"/>
      <c r="F31" s="197"/>
      <c r="G31" s="38"/>
      <c r="I31" s="330"/>
      <c r="J31" s="264"/>
      <c r="K31" s="331"/>
    </row>
    <row r="32" spans="3:15" x14ac:dyDescent="0.25">
      <c r="C32" s="19">
        <v>16</v>
      </c>
      <c r="D32" s="65"/>
      <c r="E32" s="195"/>
      <c r="F32" s="197"/>
      <c r="G32" s="38"/>
      <c r="I32" s="330"/>
      <c r="J32" s="264"/>
      <c r="K32" s="331"/>
    </row>
    <row r="33" spans="2:11" x14ac:dyDescent="0.25">
      <c r="C33" s="19">
        <v>17</v>
      </c>
      <c r="D33" s="65"/>
      <c r="E33" s="195"/>
      <c r="F33" s="197"/>
      <c r="G33" s="38"/>
      <c r="I33" s="332"/>
      <c r="J33" s="333"/>
      <c r="K33" s="334"/>
    </row>
    <row r="34" spans="2:11" x14ac:dyDescent="0.25">
      <c r="C34" s="19">
        <v>18</v>
      </c>
      <c r="D34" s="65"/>
      <c r="E34" s="195"/>
      <c r="F34" s="197"/>
      <c r="G34" s="38"/>
    </row>
    <row r="35" spans="2:11" x14ac:dyDescent="0.25">
      <c r="C35" s="19">
        <v>19</v>
      </c>
      <c r="D35" s="65"/>
      <c r="E35" s="195"/>
      <c r="F35" s="197"/>
      <c r="G35" s="38"/>
    </row>
    <row r="36" spans="2:11" x14ac:dyDescent="0.25">
      <c r="C36" s="19">
        <v>20</v>
      </c>
      <c r="D36" s="65"/>
      <c r="E36" s="195"/>
      <c r="F36" s="197"/>
      <c r="G36" s="38"/>
    </row>
    <row r="37" spans="2:11" x14ac:dyDescent="0.25">
      <c r="C37" s="19">
        <v>21</v>
      </c>
      <c r="D37" s="65"/>
      <c r="E37" s="195"/>
      <c r="F37" s="197"/>
      <c r="G37" s="38"/>
    </row>
    <row r="38" spans="2:11" x14ac:dyDescent="0.25">
      <c r="C38" s="19">
        <v>22</v>
      </c>
      <c r="D38" s="65"/>
      <c r="E38" s="195"/>
      <c r="F38" s="197"/>
      <c r="G38" s="38"/>
    </row>
    <row r="39" spans="2:11" x14ac:dyDescent="0.25">
      <c r="C39" s="19">
        <v>23</v>
      </c>
      <c r="D39" s="65"/>
      <c r="E39" s="195"/>
      <c r="F39" s="197"/>
      <c r="G39" s="38"/>
    </row>
    <row r="40" spans="2:11" x14ac:dyDescent="0.25">
      <c r="C40" s="19">
        <v>24</v>
      </c>
      <c r="D40" s="65"/>
      <c r="E40" s="195"/>
      <c r="F40" s="197"/>
      <c r="G40" s="38"/>
    </row>
    <row r="41" spans="2:11" x14ac:dyDescent="0.25">
      <c r="C41" s="19">
        <v>25</v>
      </c>
      <c r="D41" s="65"/>
      <c r="E41" s="195"/>
      <c r="F41" s="197"/>
      <c r="G41" s="38"/>
    </row>
    <row r="42" spans="2:11" x14ac:dyDescent="0.25">
      <c r="C42" s="19">
        <v>26</v>
      </c>
      <c r="D42" s="65"/>
      <c r="E42" s="195"/>
      <c r="F42" s="197"/>
      <c r="G42" s="38"/>
    </row>
    <row r="43" spans="2:11" x14ac:dyDescent="0.25">
      <c r="C43" s="19">
        <v>27</v>
      </c>
      <c r="D43" s="65"/>
      <c r="E43" s="195"/>
      <c r="F43" s="197"/>
      <c r="G43" s="38"/>
    </row>
    <row r="44" spans="2:11" x14ac:dyDescent="0.25">
      <c r="C44" s="19">
        <v>28</v>
      </c>
      <c r="D44" s="65"/>
      <c r="E44" s="195"/>
      <c r="F44" s="197"/>
      <c r="G44" s="38"/>
    </row>
    <row r="45" spans="2:11" x14ac:dyDescent="0.25">
      <c r="C45" s="19">
        <v>29</v>
      </c>
      <c r="D45" s="65"/>
      <c r="E45" s="195"/>
      <c r="F45" s="197"/>
      <c r="G45" s="38"/>
    </row>
    <row r="46" spans="2:11" x14ac:dyDescent="0.25">
      <c r="B46" s="20"/>
      <c r="C46" s="19">
        <v>30</v>
      </c>
      <c r="D46" s="66"/>
      <c r="E46" s="196"/>
      <c r="F46" s="198"/>
      <c r="G46" s="41"/>
    </row>
    <row r="47" spans="2:11" x14ac:dyDescent="0.25">
      <c r="E47" s="130"/>
    </row>
    <row r="48" spans="2:11" x14ac:dyDescent="0.25">
      <c r="E48" s="130"/>
    </row>
    <row r="49" spans="3:8" x14ac:dyDescent="0.25">
      <c r="E49" s="130"/>
    </row>
    <row r="50" spans="3:8" ht="15" customHeight="1" x14ac:dyDescent="0.25">
      <c r="C50" s="248" t="s">
        <v>106</v>
      </c>
      <c r="D50" s="249"/>
      <c r="E50" s="249"/>
      <c r="F50" s="249"/>
      <c r="G50" s="249"/>
      <c r="H50" s="250"/>
    </row>
    <row r="51" spans="3:8" ht="15" customHeight="1" x14ac:dyDescent="0.25">
      <c r="C51" s="251"/>
      <c r="D51" s="252"/>
      <c r="E51" s="252"/>
      <c r="F51" s="252"/>
      <c r="G51" s="252"/>
      <c r="H51" s="253"/>
    </row>
    <row r="52" spans="3:8" ht="15" customHeight="1" x14ac:dyDescent="0.25">
      <c r="C52" s="251"/>
      <c r="D52" s="252"/>
      <c r="E52" s="252"/>
      <c r="F52" s="252"/>
      <c r="G52" s="252"/>
      <c r="H52" s="253"/>
    </row>
    <row r="53" spans="3:8" ht="15" customHeight="1" x14ac:dyDescent="0.25">
      <c r="C53" s="251"/>
      <c r="D53" s="252"/>
      <c r="E53" s="252"/>
      <c r="F53" s="252"/>
      <c r="G53" s="252"/>
      <c r="H53" s="253"/>
    </row>
    <row r="54" spans="3:8" ht="15" customHeight="1" x14ac:dyDescent="0.25">
      <c r="C54" s="254"/>
      <c r="D54" s="255"/>
      <c r="E54" s="255"/>
      <c r="F54" s="255"/>
      <c r="G54" s="255"/>
      <c r="H54" s="256"/>
    </row>
    <row r="55" spans="3:8" x14ac:dyDescent="0.25">
      <c r="E55" s="130"/>
    </row>
    <row r="56" spans="3:8" x14ac:dyDescent="0.25">
      <c r="E56" s="130"/>
    </row>
    <row r="57" spans="3:8" x14ac:dyDescent="0.25">
      <c r="E57" s="130"/>
    </row>
    <row r="58" spans="3:8" x14ac:dyDescent="0.25">
      <c r="E58" s="130"/>
    </row>
    <row r="59" spans="3:8" x14ac:dyDescent="0.25">
      <c r="E59" s="130"/>
    </row>
    <row r="60" spans="3:8" x14ac:dyDescent="0.25">
      <c r="E60" s="130"/>
    </row>
    <row r="61" spans="3:8" x14ac:dyDescent="0.25">
      <c r="E61" s="130"/>
    </row>
    <row r="62" spans="3:8" x14ac:dyDescent="0.25">
      <c r="E62" s="130"/>
    </row>
    <row r="63" spans="3:8" x14ac:dyDescent="0.25">
      <c r="E63" s="130"/>
    </row>
    <row r="64" spans="3:8" x14ac:dyDescent="0.25">
      <c r="E64" s="130"/>
    </row>
    <row r="65" spans="5:5" x14ac:dyDescent="0.25">
      <c r="E65" s="130"/>
    </row>
    <row r="66" spans="5:5" x14ac:dyDescent="0.25">
      <c r="E66" s="130"/>
    </row>
    <row r="67" spans="5:5" x14ac:dyDescent="0.25">
      <c r="E67" s="130"/>
    </row>
    <row r="68" spans="5:5" x14ac:dyDescent="0.25">
      <c r="E68" s="130"/>
    </row>
    <row r="69" spans="5:5" x14ac:dyDescent="0.25">
      <c r="E69" s="130"/>
    </row>
    <row r="70" spans="5:5" x14ac:dyDescent="0.25">
      <c r="E70" s="130"/>
    </row>
    <row r="71" spans="5:5" x14ac:dyDescent="0.25">
      <c r="E71" s="130"/>
    </row>
    <row r="72" spans="5:5" x14ac:dyDescent="0.25">
      <c r="E72" s="130"/>
    </row>
    <row r="73" spans="5:5" x14ac:dyDescent="0.25">
      <c r="E73" s="130"/>
    </row>
    <row r="74" spans="5:5" x14ac:dyDescent="0.25">
      <c r="E74" s="130"/>
    </row>
    <row r="75" spans="5:5" x14ac:dyDescent="0.25">
      <c r="E75" s="130"/>
    </row>
    <row r="76" spans="5:5" x14ac:dyDescent="0.25">
      <c r="E76" s="130"/>
    </row>
    <row r="77" spans="5:5" x14ac:dyDescent="0.25">
      <c r="E77" s="130"/>
    </row>
    <row r="78" spans="5:5" x14ac:dyDescent="0.25">
      <c r="E78" s="130"/>
    </row>
    <row r="79" spans="5:5" x14ac:dyDescent="0.25">
      <c r="E79" s="130"/>
    </row>
    <row r="80" spans="5:5" x14ac:dyDescent="0.25">
      <c r="E80" s="130"/>
    </row>
    <row r="81" spans="5:5" x14ac:dyDescent="0.25">
      <c r="E81" s="130"/>
    </row>
    <row r="82" spans="5:5" x14ac:dyDescent="0.25">
      <c r="E82" s="130"/>
    </row>
    <row r="83" spans="5:5" x14ac:dyDescent="0.25">
      <c r="E83" s="130"/>
    </row>
    <row r="84" spans="5:5" x14ac:dyDescent="0.25">
      <c r="E84" s="130"/>
    </row>
    <row r="85" spans="5:5" x14ac:dyDescent="0.25">
      <c r="E85" s="130"/>
    </row>
    <row r="86" spans="5:5" x14ac:dyDescent="0.25">
      <c r="E86" s="130"/>
    </row>
    <row r="87" spans="5:5" x14ac:dyDescent="0.25">
      <c r="E87" s="130"/>
    </row>
    <row r="88" spans="5:5" x14ac:dyDescent="0.25">
      <c r="E88" s="130"/>
    </row>
    <row r="89" spans="5:5" x14ac:dyDescent="0.25">
      <c r="E89" s="130"/>
    </row>
    <row r="90" spans="5:5" x14ac:dyDescent="0.25">
      <c r="E90" s="130"/>
    </row>
    <row r="91" spans="5:5" x14ac:dyDescent="0.25">
      <c r="E91" s="130"/>
    </row>
    <row r="92" spans="5:5" x14ac:dyDescent="0.25">
      <c r="E92" s="130"/>
    </row>
    <row r="93" spans="5:5" x14ac:dyDescent="0.25">
      <c r="E93" s="130"/>
    </row>
    <row r="94" spans="5:5" x14ac:dyDescent="0.25">
      <c r="E94" s="130"/>
    </row>
    <row r="95" spans="5:5" x14ac:dyDescent="0.25">
      <c r="E95" s="130"/>
    </row>
    <row r="96" spans="5:5" x14ac:dyDescent="0.25">
      <c r="E96" s="130"/>
    </row>
    <row r="97" spans="5:5" x14ac:dyDescent="0.25">
      <c r="E97" s="130"/>
    </row>
    <row r="98" spans="5:5" x14ac:dyDescent="0.25">
      <c r="E98" s="130"/>
    </row>
    <row r="99" spans="5:5" x14ac:dyDescent="0.25">
      <c r="E99" s="130"/>
    </row>
    <row r="100" spans="5:5" x14ac:dyDescent="0.25">
      <c r="E100" s="130"/>
    </row>
    <row r="101" spans="5:5" x14ac:dyDescent="0.25">
      <c r="E101" s="130"/>
    </row>
    <row r="102" spans="5:5" x14ac:dyDescent="0.25">
      <c r="E102" s="130"/>
    </row>
    <row r="103" spans="5:5" x14ac:dyDescent="0.25">
      <c r="E103" s="130"/>
    </row>
    <row r="104" spans="5:5" x14ac:dyDescent="0.25">
      <c r="E104" s="130"/>
    </row>
    <row r="105" spans="5:5" x14ac:dyDescent="0.25">
      <c r="E105" s="130"/>
    </row>
    <row r="106" spans="5:5" x14ac:dyDescent="0.25">
      <c r="E106" s="130"/>
    </row>
    <row r="107" spans="5:5" x14ac:dyDescent="0.25">
      <c r="E107" s="130"/>
    </row>
    <row r="108" spans="5:5" x14ac:dyDescent="0.25">
      <c r="E108" s="130"/>
    </row>
    <row r="109" spans="5:5" x14ac:dyDescent="0.25">
      <c r="E109" s="130"/>
    </row>
    <row r="110" spans="5:5" x14ac:dyDescent="0.25">
      <c r="E110" s="130"/>
    </row>
    <row r="111" spans="5:5" x14ac:dyDescent="0.25">
      <c r="E111" s="130"/>
    </row>
    <row r="112" spans="5:5" x14ac:dyDescent="0.25">
      <c r="E112" s="130"/>
    </row>
    <row r="113" spans="5:5" x14ac:dyDescent="0.25">
      <c r="E113" s="130"/>
    </row>
    <row r="114" spans="5:5" x14ac:dyDescent="0.25">
      <c r="E114" s="130"/>
    </row>
    <row r="115" spans="5:5" x14ac:dyDescent="0.25">
      <c r="E115" s="130"/>
    </row>
    <row r="116" spans="5:5" x14ac:dyDescent="0.25">
      <c r="E116" s="130"/>
    </row>
    <row r="117" spans="5:5" x14ac:dyDescent="0.25">
      <c r="E117" s="130"/>
    </row>
    <row r="118" spans="5:5" x14ac:dyDescent="0.25">
      <c r="E118" s="130"/>
    </row>
    <row r="119" spans="5:5" x14ac:dyDescent="0.25">
      <c r="E119" s="130"/>
    </row>
    <row r="120" spans="5:5" x14ac:dyDescent="0.25">
      <c r="E120" s="130"/>
    </row>
    <row r="121" spans="5:5" x14ac:dyDescent="0.25">
      <c r="E121" s="130"/>
    </row>
    <row r="122" spans="5:5" x14ac:dyDescent="0.25">
      <c r="E122" s="130"/>
    </row>
    <row r="123" spans="5:5" x14ac:dyDescent="0.25">
      <c r="E123" s="130"/>
    </row>
    <row r="124" spans="5:5" x14ac:dyDescent="0.25">
      <c r="E124" s="130"/>
    </row>
    <row r="125" spans="5:5" x14ac:dyDescent="0.25">
      <c r="E125" s="130"/>
    </row>
    <row r="126" spans="5:5" x14ac:dyDescent="0.25">
      <c r="E126" s="130"/>
    </row>
    <row r="127" spans="5:5" x14ac:dyDescent="0.25">
      <c r="E127" s="130"/>
    </row>
    <row r="128" spans="5:5" x14ac:dyDescent="0.25">
      <c r="E128" s="130"/>
    </row>
    <row r="129" spans="5:5" x14ac:dyDescent="0.25">
      <c r="E129" s="130"/>
    </row>
    <row r="130" spans="5:5" x14ac:dyDescent="0.25">
      <c r="E130" s="130"/>
    </row>
    <row r="131" spans="5:5" x14ac:dyDescent="0.25">
      <c r="E131" s="130"/>
    </row>
    <row r="132" spans="5:5" x14ac:dyDescent="0.25">
      <c r="E132" s="130"/>
    </row>
    <row r="133" spans="5:5" x14ac:dyDescent="0.25">
      <c r="E133" s="130"/>
    </row>
    <row r="134" spans="5:5" x14ac:dyDescent="0.25">
      <c r="E134" s="130"/>
    </row>
    <row r="135" spans="5:5" x14ac:dyDescent="0.25">
      <c r="E135" s="130"/>
    </row>
    <row r="136" spans="5:5" x14ac:dyDescent="0.25">
      <c r="E136" s="130"/>
    </row>
    <row r="137" spans="5:5" x14ac:dyDescent="0.25">
      <c r="E137" s="130"/>
    </row>
    <row r="138" spans="5:5" x14ac:dyDescent="0.25">
      <c r="E138" s="130"/>
    </row>
    <row r="139" spans="5:5" x14ac:dyDescent="0.25">
      <c r="E139" s="130"/>
    </row>
    <row r="140" spans="5:5" x14ac:dyDescent="0.25">
      <c r="E140" s="130"/>
    </row>
    <row r="141" spans="5:5" x14ac:dyDescent="0.25">
      <c r="E141" s="130"/>
    </row>
    <row r="142" spans="5:5" x14ac:dyDescent="0.25">
      <c r="E142" s="130"/>
    </row>
    <row r="143" spans="5:5" x14ac:dyDescent="0.25">
      <c r="E143" s="130"/>
    </row>
    <row r="144" spans="5:5" x14ac:dyDescent="0.25">
      <c r="E144" s="130"/>
    </row>
    <row r="145" spans="5:5" x14ac:dyDescent="0.25">
      <c r="E145" s="130"/>
    </row>
    <row r="146" spans="5:5" x14ac:dyDescent="0.25">
      <c r="E146" s="130"/>
    </row>
    <row r="147" spans="5:5" x14ac:dyDescent="0.25">
      <c r="E147" s="130"/>
    </row>
    <row r="148" spans="5:5" x14ac:dyDescent="0.25">
      <c r="E148" s="130"/>
    </row>
    <row r="149" spans="5:5" x14ac:dyDescent="0.25">
      <c r="E149" s="130"/>
    </row>
    <row r="150" spans="5:5" x14ac:dyDescent="0.25">
      <c r="E150" s="130"/>
    </row>
    <row r="151" spans="5:5" x14ac:dyDescent="0.25">
      <c r="E151" s="130"/>
    </row>
    <row r="152" spans="5:5" x14ac:dyDescent="0.25">
      <c r="E152" s="130"/>
    </row>
    <row r="153" spans="5:5" x14ac:dyDescent="0.25">
      <c r="E153" s="130"/>
    </row>
    <row r="154" spans="5:5" x14ac:dyDescent="0.25">
      <c r="E154" s="130"/>
    </row>
    <row r="155" spans="5:5" x14ac:dyDescent="0.25">
      <c r="E155" s="130"/>
    </row>
    <row r="156" spans="5:5" x14ac:dyDescent="0.25">
      <c r="E156" s="130"/>
    </row>
    <row r="157" spans="5:5" x14ac:dyDescent="0.25">
      <c r="E157" s="130"/>
    </row>
    <row r="158" spans="5:5" x14ac:dyDescent="0.25">
      <c r="E158" s="130"/>
    </row>
    <row r="159" spans="5:5" x14ac:dyDescent="0.25">
      <c r="E159" s="130"/>
    </row>
    <row r="160" spans="5:5" x14ac:dyDescent="0.25">
      <c r="E160" s="130"/>
    </row>
    <row r="161" spans="5:5" x14ac:dyDescent="0.25">
      <c r="E161" s="130"/>
    </row>
    <row r="162" spans="5:5" x14ac:dyDescent="0.25">
      <c r="E162" s="130"/>
    </row>
    <row r="163" spans="5:5" x14ac:dyDescent="0.25">
      <c r="E163" s="130"/>
    </row>
    <row r="164" spans="5:5" x14ac:dyDescent="0.25">
      <c r="E164" s="130"/>
    </row>
    <row r="165" spans="5:5" x14ac:dyDescent="0.25">
      <c r="E165" s="130"/>
    </row>
    <row r="166" spans="5:5" x14ac:dyDescent="0.25">
      <c r="E166" s="130"/>
    </row>
    <row r="167" spans="5:5" x14ac:dyDescent="0.25">
      <c r="E167" s="130"/>
    </row>
    <row r="168" spans="5:5" x14ac:dyDescent="0.25">
      <c r="E168" s="130"/>
    </row>
    <row r="169" spans="5:5" x14ac:dyDescent="0.25">
      <c r="E169" s="130"/>
    </row>
    <row r="170" spans="5:5" x14ac:dyDescent="0.25">
      <c r="E170" s="130"/>
    </row>
    <row r="171" spans="5:5" x14ac:dyDescent="0.25">
      <c r="E171" s="130"/>
    </row>
    <row r="172" spans="5:5" x14ac:dyDescent="0.25">
      <c r="E172" s="130"/>
    </row>
    <row r="173" spans="5:5" x14ac:dyDescent="0.25">
      <c r="E173" s="130"/>
    </row>
    <row r="174" spans="5:5" x14ac:dyDescent="0.25">
      <c r="E174" s="130"/>
    </row>
    <row r="175" spans="5:5" x14ac:dyDescent="0.25">
      <c r="E175" s="130"/>
    </row>
    <row r="176" spans="5:5" x14ac:dyDescent="0.25">
      <c r="E176" s="130"/>
    </row>
    <row r="177" spans="5:5" x14ac:dyDescent="0.25">
      <c r="E177" s="130"/>
    </row>
    <row r="178" spans="5:5" x14ac:dyDescent="0.25">
      <c r="E178" s="130"/>
    </row>
    <row r="179" spans="5:5" x14ac:dyDescent="0.25">
      <c r="E179" s="130"/>
    </row>
    <row r="180" spans="5:5" x14ac:dyDescent="0.25">
      <c r="E180" s="130"/>
    </row>
    <row r="181" spans="5:5" x14ac:dyDescent="0.25">
      <c r="E181" s="130"/>
    </row>
    <row r="182" spans="5:5" x14ac:dyDescent="0.25">
      <c r="E182" s="130"/>
    </row>
    <row r="183" spans="5:5" x14ac:dyDescent="0.25">
      <c r="E183" s="130"/>
    </row>
  </sheetData>
  <mergeCells count="7">
    <mergeCell ref="C50:H54"/>
    <mergeCell ref="B6:I7"/>
    <mergeCell ref="K6:L7"/>
    <mergeCell ref="I27:K33"/>
    <mergeCell ref="B14:I14"/>
    <mergeCell ref="B9:I9"/>
    <mergeCell ref="B11:I1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do_ApplyAccrualAmounts">
                <anchor moveWithCells="1">
                  <from>
                    <xdr:col>8</xdr:col>
                    <xdr:colOff>247650</xdr:colOff>
                    <xdr:row>28</xdr:row>
                    <xdr:rowOff>9525</xdr:rowOff>
                  </from>
                  <to>
                    <xdr:col>10</xdr:col>
                    <xdr:colOff>152400</xdr:colOff>
                    <xdr:row>30</xdr:row>
                    <xdr:rowOff>114300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7BE58-732E-42F7-A2BA-F546DB397F12}">
  <sheetPr codeName="Sheet13"/>
  <dimension ref="B2:N34"/>
  <sheetViews>
    <sheetView zoomScale="80" zoomScaleNormal="80" workbookViewId="0">
      <selection activeCell="K31" sqref="K31"/>
    </sheetView>
  </sheetViews>
  <sheetFormatPr defaultRowHeight="15" x14ac:dyDescent="0.25"/>
  <cols>
    <col min="2" max="2" width="34.5703125" bestFit="1" customWidth="1"/>
    <col min="3" max="3" width="85.7109375" customWidth="1"/>
    <col min="4" max="4" width="9.42578125" bestFit="1" customWidth="1"/>
    <col min="5" max="5" width="13.85546875" bestFit="1" customWidth="1"/>
    <col min="10" max="10" width="20.140625" customWidth="1"/>
    <col min="11" max="11" width="83.85546875" customWidth="1"/>
  </cols>
  <sheetData>
    <row r="2" spans="2:14" x14ac:dyDescent="0.25">
      <c r="D2" s="60"/>
    </row>
    <row r="3" spans="2:14" x14ac:dyDescent="0.25">
      <c r="D3" s="60"/>
    </row>
    <row r="4" spans="2:14" x14ac:dyDescent="0.25">
      <c r="D4" s="60"/>
    </row>
    <row r="5" spans="2:14" x14ac:dyDescent="0.25">
      <c r="D5" s="60"/>
    </row>
    <row r="6" spans="2:14" ht="15" customHeight="1" x14ac:dyDescent="0.25">
      <c r="B6" s="248" t="s">
        <v>72</v>
      </c>
      <c r="C6" s="249"/>
      <c r="D6" s="249"/>
      <c r="E6" s="249"/>
      <c r="F6" s="249"/>
      <c r="G6" s="249"/>
      <c r="H6" s="250"/>
      <c r="I6" s="70"/>
      <c r="L6" s="70"/>
      <c r="M6" s="70"/>
      <c r="N6" s="70"/>
    </row>
    <row r="7" spans="2:14" ht="15" customHeight="1" x14ac:dyDescent="0.25">
      <c r="B7" s="251"/>
      <c r="C7" s="252"/>
      <c r="D7" s="252"/>
      <c r="E7" s="252"/>
      <c r="F7" s="252"/>
      <c r="G7" s="252"/>
      <c r="H7" s="253"/>
      <c r="I7" s="70"/>
      <c r="L7" s="70"/>
      <c r="M7" s="70"/>
      <c r="N7" s="70"/>
    </row>
    <row r="8" spans="2:14" ht="15.75" customHeight="1" x14ac:dyDescent="0.25">
      <c r="B8" s="254"/>
      <c r="C8" s="255"/>
      <c r="D8" s="255"/>
      <c r="E8" s="255"/>
      <c r="F8" s="255"/>
      <c r="G8" s="255"/>
      <c r="H8" s="256"/>
    </row>
    <row r="10" spans="2:14" ht="15.75" customHeight="1" x14ac:dyDescent="0.25">
      <c r="B10" s="352" t="s">
        <v>71</v>
      </c>
      <c r="C10" s="353"/>
      <c r="D10" s="353"/>
      <c r="E10" s="353"/>
      <c r="F10" s="353"/>
      <c r="G10" s="353"/>
      <c r="H10" s="354"/>
      <c r="I10" s="52"/>
    </row>
    <row r="11" spans="2:14" ht="15.75" x14ac:dyDescent="0.25">
      <c r="B11" s="355"/>
      <c r="C11" s="356"/>
      <c r="D11" s="356"/>
      <c r="E11" s="356"/>
      <c r="F11" s="356"/>
      <c r="G11" s="356"/>
      <c r="H11" s="357"/>
      <c r="I11" s="52"/>
    </row>
    <row r="12" spans="2:14" ht="15.75" x14ac:dyDescent="0.25">
      <c r="D12" s="52"/>
      <c r="E12" s="52"/>
      <c r="F12" s="52"/>
      <c r="G12" s="52"/>
      <c r="H12" s="52"/>
      <c r="I12" s="52"/>
    </row>
    <row r="13" spans="2:14" ht="16.5" customHeight="1" thickBot="1" x14ac:dyDescent="0.3">
      <c r="B13" s="67" t="s">
        <v>0</v>
      </c>
      <c r="C13" s="68" t="s">
        <v>53</v>
      </c>
      <c r="D13" s="52"/>
      <c r="E13" s="248" t="s">
        <v>82</v>
      </c>
      <c r="F13" s="249"/>
      <c r="G13" s="249"/>
      <c r="H13" s="250"/>
      <c r="I13" s="77"/>
    </row>
    <row r="14" spans="2:14" ht="16.5" customHeight="1" thickTop="1" x14ac:dyDescent="0.25">
      <c r="B14" s="65" t="s">
        <v>59</v>
      </c>
      <c r="C14" s="199" t="str">
        <f>Scope</f>
        <v>DemoScope4</v>
      </c>
      <c r="D14" s="52"/>
      <c r="E14" s="251"/>
      <c r="F14" s="252"/>
      <c r="G14" s="252"/>
      <c r="H14" s="253"/>
      <c r="I14" s="77"/>
    </row>
    <row r="15" spans="2:14" ht="15.75" customHeight="1" x14ac:dyDescent="0.25">
      <c r="B15" s="65" t="s">
        <v>60</v>
      </c>
      <c r="C15" s="200" t="s">
        <v>145</v>
      </c>
      <c r="D15" s="52"/>
      <c r="E15" s="251"/>
      <c r="F15" s="252"/>
      <c r="G15" s="252"/>
      <c r="H15" s="253"/>
      <c r="I15" s="77"/>
    </row>
    <row r="16" spans="2:14" ht="15.75" customHeight="1" x14ac:dyDescent="0.25">
      <c r="B16" s="65" t="s">
        <v>61</v>
      </c>
      <c r="C16" s="65" t="s">
        <v>62</v>
      </c>
      <c r="D16" s="52"/>
      <c r="E16" s="251"/>
      <c r="F16" s="252"/>
      <c r="G16" s="252"/>
      <c r="H16" s="253"/>
      <c r="I16" s="77"/>
    </row>
    <row r="17" spans="2:10" ht="15.75" customHeight="1" x14ac:dyDescent="0.25">
      <c r="B17" s="65" t="s">
        <v>63</v>
      </c>
      <c r="C17" s="188" t="str">
        <f t="array" ref="C17">TRANSPOSE(IF(ClassificationKeys="","",ClassificationKeys))</f>
        <v>Instrument/DemoScope4/MySecurityClassification42462</v>
      </c>
      <c r="D17" s="52"/>
      <c r="E17" s="251"/>
      <c r="F17" s="252"/>
      <c r="G17" s="252"/>
      <c r="H17" s="253"/>
      <c r="I17" s="77"/>
      <c r="J17" s="100"/>
    </row>
    <row r="18" spans="2:10" ht="15.75" customHeight="1" x14ac:dyDescent="0.25">
      <c r="B18" s="65" t="s">
        <v>14</v>
      </c>
      <c r="C18" s="201" t="s">
        <v>64</v>
      </c>
      <c r="D18" s="52"/>
      <c r="E18" s="251"/>
      <c r="F18" s="252"/>
      <c r="G18" s="252"/>
      <c r="H18" s="253"/>
      <c r="I18" s="52"/>
      <c r="J18" s="78"/>
    </row>
    <row r="19" spans="2:10" ht="15.75" customHeight="1" x14ac:dyDescent="0.25">
      <c r="B19" s="66" t="s">
        <v>65</v>
      </c>
      <c r="C19" s="69">
        <f ca="1">AnalyticsStoreDate</f>
        <v>43517</v>
      </c>
      <c r="D19" s="52"/>
      <c r="E19" s="254"/>
      <c r="F19" s="255"/>
      <c r="G19" s="255"/>
      <c r="H19" s="256"/>
      <c r="I19" s="52"/>
    </row>
    <row r="20" spans="2:10" ht="15.75" x14ac:dyDescent="0.25">
      <c r="D20" s="52"/>
      <c r="E20" s="52"/>
      <c r="F20" s="52"/>
      <c r="G20" s="52"/>
      <c r="H20" s="52"/>
      <c r="I20" s="52"/>
    </row>
    <row r="21" spans="2:10" ht="15.75" x14ac:dyDescent="0.25">
      <c r="D21" s="52"/>
      <c r="E21" s="52"/>
      <c r="F21" s="52"/>
      <c r="G21" s="52"/>
      <c r="H21" s="52"/>
      <c r="I21" s="52"/>
    </row>
    <row r="22" spans="2:10" ht="15.75" customHeight="1" x14ac:dyDescent="0.25">
      <c r="B22" s="304" t="s">
        <v>70</v>
      </c>
      <c r="C22" s="305"/>
      <c r="D22" s="305"/>
      <c r="E22" s="306"/>
      <c r="F22" s="58"/>
      <c r="G22" s="58"/>
      <c r="H22" s="52"/>
      <c r="I22" s="52"/>
    </row>
    <row r="23" spans="2:10" ht="15.75" customHeight="1" x14ac:dyDescent="0.25">
      <c r="B23" s="307"/>
      <c r="C23" s="308"/>
      <c r="D23" s="308"/>
      <c r="E23" s="309"/>
      <c r="F23" s="58"/>
      <c r="G23" s="58"/>
      <c r="H23" s="52"/>
      <c r="I23" s="52"/>
    </row>
    <row r="24" spans="2:10" ht="15.75" x14ac:dyDescent="0.25">
      <c r="B24" s="310"/>
      <c r="C24" s="311"/>
      <c r="D24" s="311"/>
      <c r="E24" s="312"/>
      <c r="F24" s="58"/>
      <c r="G24" s="58"/>
      <c r="H24" s="52"/>
      <c r="I24" s="52"/>
    </row>
    <row r="25" spans="2:10" ht="15.75" x14ac:dyDescent="0.25">
      <c r="D25" s="52"/>
      <c r="E25" s="52"/>
      <c r="F25" s="52"/>
      <c r="G25" s="52"/>
      <c r="H25" s="52"/>
      <c r="I25" s="52"/>
    </row>
    <row r="26" spans="2:10" ht="15.75" x14ac:dyDescent="0.25">
      <c r="B26" s="136" t="s">
        <v>73</v>
      </c>
      <c r="D26" s="52"/>
      <c r="E26" s="52"/>
      <c r="F26" s="52"/>
      <c r="G26" s="52"/>
      <c r="H26" s="52"/>
      <c r="I26" s="52"/>
    </row>
    <row r="27" spans="2:10" ht="15.75" x14ac:dyDescent="0.25">
      <c r="G27" s="52"/>
      <c r="H27" s="52"/>
      <c r="I27" s="52"/>
    </row>
    <row r="28" spans="2:10" ht="15.75" x14ac:dyDescent="0.25">
      <c r="B28" s="13"/>
      <c r="C28" s="13"/>
      <c r="D28" s="13"/>
      <c r="E28" s="13"/>
      <c r="G28" s="52"/>
      <c r="H28" s="52"/>
      <c r="I28" s="52"/>
    </row>
    <row r="29" spans="2:10" ht="15.75" x14ac:dyDescent="0.25">
      <c r="B29" s="13"/>
      <c r="C29" s="13"/>
      <c r="D29" s="13"/>
      <c r="E29" s="13"/>
      <c r="G29" s="52"/>
      <c r="H29" s="52"/>
      <c r="I29" s="52"/>
    </row>
    <row r="30" spans="2:10" ht="15.75" x14ac:dyDescent="0.25">
      <c r="B30" s="13"/>
      <c r="C30" s="13"/>
      <c r="D30" s="13"/>
      <c r="E30" s="13"/>
      <c r="G30" s="52"/>
      <c r="H30" s="52"/>
      <c r="I30" s="52"/>
    </row>
    <row r="31" spans="2:10" x14ac:dyDescent="0.25">
      <c r="B31" s="13"/>
      <c r="C31" s="13"/>
      <c r="D31" s="13"/>
      <c r="E31" s="13"/>
    </row>
    <row r="32" spans="2:10" x14ac:dyDescent="0.25">
      <c r="B32" s="13"/>
      <c r="C32" s="13"/>
      <c r="D32" s="13"/>
      <c r="E32" s="13"/>
    </row>
    <row r="34" ht="15" customHeight="1" x14ac:dyDescent="0.25"/>
  </sheetData>
  <mergeCells count="4">
    <mergeCell ref="B6:H8"/>
    <mergeCell ref="B22:E24"/>
    <mergeCell ref="B10:H11"/>
    <mergeCell ref="E13:H1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do_GetAggregation">
                <anchor moveWithCells="1">
                  <from>
                    <xdr:col>2</xdr:col>
                    <xdr:colOff>409575</xdr:colOff>
                    <xdr:row>21</xdr:row>
                    <xdr:rowOff>114300</xdr:rowOff>
                  </from>
                  <to>
                    <xdr:col>2</xdr:col>
                    <xdr:colOff>1600200</xdr:colOff>
                    <xdr:row>23</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53</vt:i4>
      </vt:variant>
    </vt:vector>
  </HeadingPairs>
  <TitlesOfParts>
    <vt:vector size="70" baseType="lpstr">
      <vt:lpstr>LICENSE</vt:lpstr>
      <vt:lpstr>Setup</vt:lpstr>
      <vt:lpstr>Define New Securities</vt:lpstr>
      <vt:lpstr>Define Portfolio</vt:lpstr>
      <vt:lpstr>Define Classifications</vt:lpstr>
      <vt:lpstr>Apply classifications to sec</vt:lpstr>
      <vt:lpstr>Master Securities View</vt:lpstr>
      <vt:lpstr>Sheet2</vt:lpstr>
      <vt:lpstr>Add Trades On Security</vt:lpstr>
      <vt:lpstr>Adjust Holdings</vt:lpstr>
      <vt:lpstr>Master Trades View</vt:lpstr>
      <vt:lpstr>Master Holdings View</vt:lpstr>
      <vt:lpstr>Setup Analytics</vt:lpstr>
      <vt:lpstr>Insert Analytics</vt:lpstr>
      <vt:lpstr>Insert FX Rates</vt:lpstr>
      <vt:lpstr>Insert Accrual amounts</vt:lpstr>
      <vt:lpstr>Aggregation</vt:lpstr>
      <vt:lpstr>AccrualDate</vt:lpstr>
      <vt:lpstr>AccuralAmountsUploadArea</vt:lpstr>
      <vt:lpstr>AccuralAmountsUploadResult</vt:lpstr>
      <vt:lpstr>AccuralDate</vt:lpstr>
      <vt:lpstr>AddTradesResults</vt:lpstr>
      <vt:lpstr>AddTradesSelection</vt:lpstr>
      <vt:lpstr>AdjustHoldingsUploadData</vt:lpstr>
      <vt:lpstr>AdjustHoldingsUploadDataDate</vt:lpstr>
      <vt:lpstr>AdjustHoldingsUploadDataResult</vt:lpstr>
      <vt:lpstr>AggregationParameters</vt:lpstr>
      <vt:lpstr>AnalyticsStoreDate</vt:lpstr>
      <vt:lpstr>AnalyticsStoreUploadData</vt:lpstr>
      <vt:lpstr>AnalyticsStoreUploadDataResults</vt:lpstr>
      <vt:lpstr>ApplyAnalyticsUploadData</vt:lpstr>
      <vt:lpstr>ApplyAnalyticsUploadDataResult</vt:lpstr>
      <vt:lpstr>ApplyClassificationsResult</vt:lpstr>
      <vt:lpstr>ApplyClassificationUploadData</vt:lpstr>
      <vt:lpstr>BluePortfoliosRange</vt:lpstr>
      <vt:lpstr>BlueSecuritiesRange</vt:lpstr>
      <vt:lpstr>ClassificationKeys</vt:lpstr>
      <vt:lpstr>CreateSecurityPropertiesUploadData</vt:lpstr>
      <vt:lpstr>DELETEME</vt:lpstr>
      <vt:lpstr>'Insert Accrual amounts'!fbnAnalytics_Template_ref</vt:lpstr>
      <vt:lpstr>'Insert Analytics'!fbnAnalytics_Template_ref</vt:lpstr>
      <vt:lpstr>'Insert FX Rates'!fbnAnalytics_Template_ref</vt:lpstr>
      <vt:lpstr>'Setup Analytics'!fbnAnalyticsStore_Template_ref</vt:lpstr>
      <vt:lpstr>'Apply classifications to sec'!fbnClassifications_Template_ref</vt:lpstr>
      <vt:lpstr>'Define New Securities'!fbnClassifications_Template_ref</vt:lpstr>
      <vt:lpstr>'Insert Analytics'!fbnClassifications_Template_ref</vt:lpstr>
      <vt:lpstr>'Adjust Holdings'!fbnHoldings_Template_ref</vt:lpstr>
      <vt:lpstr>'Define Portfolio'!fbnPortfoliosAdd_Template_ref</vt:lpstr>
      <vt:lpstr>'Define Classifications'!fbnPropertiesAdd_Template_ref</vt:lpstr>
      <vt:lpstr>Sheet2!fbnPropertiesAdd_Template_ref</vt:lpstr>
      <vt:lpstr>'Define New Securities'!fbnSecurities_Template_ref</vt:lpstr>
      <vt:lpstr>'Master Securities View'!fbnSecurities_Template_ref</vt:lpstr>
      <vt:lpstr>Sheet2!fbnSecurities_Template_ref</vt:lpstr>
      <vt:lpstr>'Add Trades On Security'!fbnTradesAdd_Template_ref</vt:lpstr>
      <vt:lpstr>FxDate</vt:lpstr>
      <vt:lpstr>FXRateUploadArea</vt:lpstr>
      <vt:lpstr>FXRateUploadResult</vt:lpstr>
      <vt:lpstr>MasterAggregationUpdateView</vt:lpstr>
      <vt:lpstr>MasterHoldingsUpdateView</vt:lpstr>
      <vt:lpstr>MasterSecurityUpdateView</vt:lpstr>
      <vt:lpstr>MasterTradesUpdateView</vt:lpstr>
      <vt:lpstr>PortfolioCode</vt:lpstr>
      <vt:lpstr>PortfolioName</vt:lpstr>
      <vt:lpstr>PortfoliosCreatedResults</vt:lpstr>
      <vt:lpstr>RawSecuritiesRange</vt:lpstr>
      <vt:lpstr>Scope</vt:lpstr>
      <vt:lpstr>SecurityCreatedResult</vt:lpstr>
      <vt:lpstr>SecurityMasterUid</vt:lpstr>
      <vt:lpstr>SecurityPropertyNames</vt:lpstr>
      <vt:lpstr>UploadResults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Stuart Mathews</dc:creator>
  <cp:lastModifiedBy>Stuart Mathews</cp:lastModifiedBy>
  <dcterms:created xsi:type="dcterms:W3CDTF">2018-03-27T09:49:44Z</dcterms:created>
  <dcterms:modified xsi:type="dcterms:W3CDTF">2019-02-21T10:50:06Z</dcterms:modified>
</cp:coreProperties>
</file>