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StuartMathews\work\sample-excel\"/>
    </mc:Choice>
  </mc:AlternateContent>
  <xr:revisionPtr revIDLastSave="0" documentId="8_{E2640ED5-B52E-4399-998C-3C65DD4459BB}" xr6:coauthVersionLast="41" xr6:coauthVersionMax="41" xr10:uidLastSave="{00000000-0000-0000-0000-000000000000}"/>
  <bookViews>
    <workbookView xWindow="-120" yWindow="-120" windowWidth="29040" windowHeight="15840" tabRatio="915" firstSheet="1" activeTab="3" xr2:uid="{00000000-000D-0000-FFFF-FFFF00000000}"/>
  </bookViews>
  <sheets>
    <sheet name="LICENSE" sheetId="15" r:id="rId1"/>
    <sheet name="Setup" sheetId="1" r:id="rId2"/>
    <sheet name="Define New Securities" sheetId="2" r:id="rId3"/>
    <sheet name="Define Portfolio" sheetId="4" r:id="rId4"/>
    <sheet name="Define Classifications" sheetId="6" r:id="rId5"/>
    <sheet name="Apply classifications to sec" sheetId="5" r:id="rId6"/>
    <sheet name="Master Securities View" sheetId="7" r:id="rId7"/>
    <sheet name="Add Trades On Security" sheetId="8" r:id="rId8"/>
    <sheet name="Master Trades View" sheetId="10" r:id="rId9"/>
    <sheet name="Adjust Holdings" sheetId="16" r:id="rId10"/>
    <sheet name="Master Holdings View" sheetId="11" r:id="rId11"/>
    <sheet name="Setup Analytics" sheetId="13" r:id="rId12"/>
    <sheet name="Insert Analytics" sheetId="12" r:id="rId13"/>
    <sheet name="Insert FX Rates" sheetId="17" r:id="rId14"/>
    <sheet name="Insert Accrual amounts" sheetId="18" r:id="rId15"/>
    <sheet name="Aggregation" sheetId="14" r:id="rId16"/>
  </sheets>
  <functionGroups builtInGroupCount="19"/>
  <definedNames>
    <definedName name="AccrualDate">'Insert Accrual amounts'!$K$6</definedName>
    <definedName name="AccuralAmountsUploadArea">'Insert Accrual amounts'!$D$16:$F$46</definedName>
    <definedName name="AccuralAmountsUploadResult">'Insert Accrual amounts'!$G$16:$G$46</definedName>
    <definedName name="AccuralDate">'Insert Accrual amounts'!$K$6</definedName>
    <definedName name="AddTradesResults">'Add Trades On Security'!$P$14:$P$44</definedName>
    <definedName name="AddTradesSelection">'Add Trades On Security'!$C$14:$O$44</definedName>
    <definedName name="AdjustHoldingsUploadData">'Adjust Holdings'!$C$13:$G$45</definedName>
    <definedName name="AdjustHoldingsUploadDataDate">'Adjust Holdings'!$F$10</definedName>
    <definedName name="AdjustHoldingsUploadDataResult">'Adjust Holdings'!$K$13:$K$48</definedName>
    <definedName name="AggregationParameters">Aggregation!$B$13:$C$19</definedName>
    <definedName name="AnalyticsStoreDate">Setup!$G$36</definedName>
    <definedName name="AnalyticsStoreUploadData">'Setup Analytics'!$C$16:$D$46</definedName>
    <definedName name="AnalyticsStoreUploadDataResults">'Setup Analytics'!$E$16:$E$46</definedName>
    <definedName name="ApplyAnalyticsUploadData">'Insert Analytics'!$E$18:$G$48</definedName>
    <definedName name="ApplyAnalyticsUploadDataResult">'Insert Analytics'!$H$18:$H$48</definedName>
    <definedName name="ApplyClassificationsResult">'Apply classifications to sec'!$J$15:$J$44</definedName>
    <definedName name="ApplyClassificationUploadData">'Apply classifications to sec'!$C$14:$J$44</definedName>
    <definedName name="BluePortfoliosRange">'Define Portfolio'!$C$13:$J$40</definedName>
    <definedName name="BlueSecuritiesRange">'Define New Securities'!$C$13:$I$35</definedName>
    <definedName name="ClassificationKeys">'Define Classifications'!$O$15:$O$43</definedName>
    <definedName name="CreateSecurityPropertiesUploadData">'Define Classifications'!$E$14:$L$43</definedName>
    <definedName name="CustomSecuritiesMasterViewUpdate">'Master Securities View'!#REF!</definedName>
    <definedName name="DELETEME">'Apply classifications to sec'!$C$15:$I$49</definedName>
    <definedName name="ExistingSecuritiesLookup">#REF!</definedName>
    <definedName name="ExistingSecuritiesLookupResults">#REF!</definedName>
    <definedName name="fbnAnalytics_Template_ref" localSheetId="14">'Insert Accrual amounts'!$D$16:$F$16</definedName>
    <definedName name="fbnAnalytics_Template_ref" localSheetId="12">'Insert Analytics'!$E$18:$G$18</definedName>
    <definedName name="fbnAnalytics_Template_ref" localSheetId="13">'Insert FX Rates'!$D$16:$F$16</definedName>
    <definedName name="fbnAnalyticsStore_Template_ref" localSheetId="11">'Setup Analytics'!$C$16:$D$16</definedName>
    <definedName name="fbnClassifications_Template_ref" localSheetId="5">'Apply classifications to sec'!$C$14:$D$14</definedName>
    <definedName name="fbnClassifications_Template_ref" localSheetId="2">'Define New Securities'!$B$48:$B$48</definedName>
    <definedName name="fbnClassifications_Template_ref" localSheetId="12">'Insert Analytics'!$E$18:$F$18</definedName>
    <definedName name="fbnHoldings_Template_ref" localSheetId="7">'Add Trades On Security'!#REF!</definedName>
    <definedName name="fbnHoldings_Template_ref" localSheetId="9">'Adjust Holdings'!$C$13:$J$13</definedName>
    <definedName name="fbnPortfoliosAdd_Template_ref" localSheetId="7">'Add Trades On Security'!#REF!</definedName>
    <definedName name="fbnPortfoliosAdd_Template_ref" localSheetId="3">'Define Portfolio'!$C$13:$J$13</definedName>
    <definedName name="fbnPropertiesAdd_Template_ref" localSheetId="7">'Add Trades On Security'!#REF!</definedName>
    <definedName name="fbnPropertiesAdd_Template_ref" localSheetId="4">'Define Classifications'!$E$14:$L$14</definedName>
    <definedName name="fbnSecurities_Template_ref" localSheetId="2">'Define New Securities'!$C$13:$I$13</definedName>
    <definedName name="fbnSecurities_Template_ref" localSheetId="6">'Master Securities View'!$C$13:$E$13</definedName>
    <definedName name="fbnTradesAdd_Template_ref" localSheetId="7">'Add Trades On Security'!$C$14:$O$14</definedName>
    <definedName name="FxDate">'Insert FX Rates'!$K$6</definedName>
    <definedName name="FXRateUploadArea">'Insert FX Rates'!$D$16:$F$46</definedName>
    <definedName name="FXRateUploadResult">'Insert FX Rates'!$G$16:$G$46</definedName>
    <definedName name="MasterAggregationUpdateView">Aggregation!$B$28:$F$43</definedName>
    <definedName name="MasterHoldingsUpdateView">'Master Holdings View'!$B$17:$M$31</definedName>
    <definedName name="MasterSecurityUpdateView">'Master Securities View'!$C$12:$I$42</definedName>
    <definedName name="MasterTradesUpdateView">'Master Trades View'!$C$17:$S$47</definedName>
    <definedName name="PortfolioCode">Setup!$G$34</definedName>
    <definedName name="PortfolioName">Setup!$G$33</definedName>
    <definedName name="PortfoliosCreatedResults">'Define Portfolio'!$L$14:$L$40</definedName>
    <definedName name="PropertyKeys">'Define Classifications'!#REF!</definedName>
    <definedName name="RawSecuritiesRange">Setup!$B$14:$B$40</definedName>
    <definedName name="Scope">Setup!$G$32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Securities'!$K$14:$K$35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6" i="16" l="1"/>
  <c r="J16" i="16" s="1"/>
  <c r="D39" i="18"/>
  <c r="D40" i="18"/>
  <c r="E40" i="18" s="1"/>
  <c r="D41" i="18"/>
  <c r="D42" i="18"/>
  <c r="D43" i="18"/>
  <c r="E43" i="18" s="1"/>
  <c r="D44" i="18"/>
  <c r="E44" i="18" s="1"/>
  <c r="D45" i="18"/>
  <c r="D46" i="18"/>
  <c r="F46" i="18" s="1"/>
  <c r="D17" i="18"/>
  <c r="D18" i="18"/>
  <c r="F18" i="18" s="1"/>
  <c r="D19" i="18"/>
  <c r="D20" i="18"/>
  <c r="D21" i="18"/>
  <c r="D22" i="18"/>
  <c r="F22" i="18" s="1"/>
  <c r="D23" i="18"/>
  <c r="D24" i="18"/>
  <c r="E24" i="18" s="1"/>
  <c r="D25" i="18"/>
  <c r="D26" i="18"/>
  <c r="D27" i="18"/>
  <c r="D28" i="18"/>
  <c r="D29" i="18"/>
  <c r="D30" i="18"/>
  <c r="F30" i="18" s="1"/>
  <c r="D31" i="18"/>
  <c r="D32" i="18"/>
  <c r="F32" i="18" s="1"/>
  <c r="D33" i="18"/>
  <c r="D34" i="18"/>
  <c r="E34" i="18" s="1"/>
  <c r="D35" i="18"/>
  <c r="D36" i="18"/>
  <c r="D37" i="18"/>
  <c r="E39" i="18"/>
  <c r="D38" i="18"/>
  <c r="E19" i="18"/>
  <c r="E20" i="18"/>
  <c r="E23" i="18"/>
  <c r="E26" i="18"/>
  <c r="E27" i="18"/>
  <c r="E28" i="18"/>
  <c r="E31" i="18"/>
  <c r="E35" i="18"/>
  <c r="E36" i="18"/>
  <c r="F40" i="18"/>
  <c r="E42" i="18"/>
  <c r="F19" i="18"/>
  <c r="F21" i="18"/>
  <c r="F23" i="18"/>
  <c r="F25" i="18"/>
  <c r="F27" i="18"/>
  <c r="F29" i="18"/>
  <c r="F31" i="18"/>
  <c r="F33" i="18"/>
  <c r="F35" i="18"/>
  <c r="F37" i="18"/>
  <c r="F38" i="18"/>
  <c r="F39" i="18"/>
  <c r="F41" i="18"/>
  <c r="F45" i="18"/>
  <c r="F17" i="18"/>
  <c r="E21" i="18"/>
  <c r="E22" i="18"/>
  <c r="E25" i="18"/>
  <c r="E29" i="18"/>
  <c r="E33" i="18"/>
  <c r="E37" i="18"/>
  <c r="E38" i="18"/>
  <c r="E41" i="18"/>
  <c r="E45" i="18"/>
  <c r="E46" i="18"/>
  <c r="E17" i="18"/>
  <c r="F37" i="17"/>
  <c r="F38" i="17"/>
  <c r="F39" i="17"/>
  <c r="F40" i="17"/>
  <c r="F41" i="17"/>
  <c r="F42" i="17"/>
  <c r="F43" i="17"/>
  <c r="F44" i="17"/>
  <c r="F45" i="17"/>
  <c r="F46" i="17"/>
  <c r="F21" i="17"/>
  <c r="F22" i="17"/>
  <c r="F23" i="17"/>
  <c r="F24" i="17"/>
  <c r="F25" i="17"/>
  <c r="F26" i="17"/>
  <c r="F27" i="17"/>
  <c r="F28" i="17"/>
  <c r="F29" i="17"/>
  <c r="F30" i="17"/>
  <c r="F31" i="17"/>
  <c r="F32" i="17"/>
  <c r="F33" i="17"/>
  <c r="F34" i="17"/>
  <c r="F35" i="17"/>
  <c r="F36" i="17"/>
  <c r="F18" i="17"/>
  <c r="F19" i="17"/>
  <c r="F20" i="17"/>
  <c r="F17" i="17"/>
  <c r="G41" i="12"/>
  <c r="G42" i="12"/>
  <c r="G43" i="12"/>
  <c r="G44" i="12"/>
  <c r="G45" i="12"/>
  <c r="G46" i="12"/>
  <c r="G47" i="12"/>
  <c r="G48" i="12"/>
  <c r="G20" i="12"/>
  <c r="G21" i="12"/>
  <c r="G22" i="12"/>
  <c r="G23" i="12"/>
  <c r="G24" i="12"/>
  <c r="G25" i="12"/>
  <c r="G26" i="12"/>
  <c r="G27" i="12"/>
  <c r="G28" i="12"/>
  <c r="G29" i="12"/>
  <c r="G30" i="12"/>
  <c r="G31" i="12"/>
  <c r="G32" i="12"/>
  <c r="G33" i="12"/>
  <c r="G34" i="12"/>
  <c r="G35" i="12"/>
  <c r="G36" i="12"/>
  <c r="G37" i="12"/>
  <c r="G38" i="12"/>
  <c r="G39" i="12"/>
  <c r="G40" i="12"/>
  <c r="G19" i="12"/>
  <c r="F19" i="12"/>
  <c r="F20" i="12"/>
  <c r="F21" i="12"/>
  <c r="F22" i="12"/>
  <c r="F23" i="12"/>
  <c r="F24" i="12"/>
  <c r="F25" i="12"/>
  <c r="F26" i="12"/>
  <c r="F27" i="12"/>
  <c r="F28" i="12"/>
  <c r="F29" i="12"/>
  <c r="F30" i="12"/>
  <c r="F31" i="12"/>
  <c r="F32" i="12"/>
  <c r="F33" i="12"/>
  <c r="F34" i="12"/>
  <c r="F35" i="12"/>
  <c r="F36" i="12"/>
  <c r="F37" i="12"/>
  <c r="F38" i="12"/>
  <c r="F39" i="12"/>
  <c r="F41" i="12"/>
  <c r="F42" i="12"/>
  <c r="F43" i="12"/>
  <c r="F44" i="12"/>
  <c r="F45" i="12"/>
  <c r="F46" i="12"/>
  <c r="F47" i="12"/>
  <c r="F48" i="12"/>
  <c r="F40" i="12"/>
  <c r="E42" i="12"/>
  <c r="E43" i="12"/>
  <c r="E44" i="12"/>
  <c r="E45" i="12"/>
  <c r="E46" i="12"/>
  <c r="E47" i="12"/>
  <c r="E48" i="12"/>
  <c r="E41" i="12"/>
  <c r="C15" i="16"/>
  <c r="J15" i="16"/>
  <c r="J17" i="16"/>
  <c r="J18" i="16"/>
  <c r="J19" i="16"/>
  <c r="J20" i="16"/>
  <c r="J21" i="16"/>
  <c r="J22" i="16"/>
  <c r="J23" i="16"/>
  <c r="J24" i="16"/>
  <c r="J25" i="16"/>
  <c r="J26" i="16"/>
  <c r="J27" i="16"/>
  <c r="J28" i="16"/>
  <c r="J29" i="16"/>
  <c r="J30" i="16"/>
  <c r="J31" i="16"/>
  <c r="J32" i="16"/>
  <c r="J33" i="16"/>
  <c r="J34" i="16"/>
  <c r="J35" i="16"/>
  <c r="J14" i="16"/>
  <c r="I15" i="16"/>
  <c r="I16" i="16"/>
  <c r="I17" i="16"/>
  <c r="I18" i="16"/>
  <c r="I19" i="16"/>
  <c r="I20" i="16"/>
  <c r="I21" i="16"/>
  <c r="I22" i="16"/>
  <c r="I23" i="16"/>
  <c r="I24" i="16"/>
  <c r="I25" i="16"/>
  <c r="I26" i="16"/>
  <c r="I27" i="16"/>
  <c r="I28" i="16"/>
  <c r="I29" i="16"/>
  <c r="I30" i="16"/>
  <c r="I31" i="16"/>
  <c r="I32" i="16"/>
  <c r="I33" i="16"/>
  <c r="I34" i="16"/>
  <c r="I35" i="16"/>
  <c r="I14" i="16"/>
  <c r="F15" i="16"/>
  <c r="F16" i="16"/>
  <c r="F17" i="16"/>
  <c r="F18" i="16"/>
  <c r="F19" i="16"/>
  <c r="F20" i="16"/>
  <c r="F21" i="16"/>
  <c r="F22" i="16"/>
  <c r="F23" i="16"/>
  <c r="F24" i="16"/>
  <c r="F25" i="16"/>
  <c r="F26" i="16"/>
  <c r="F27" i="16"/>
  <c r="F28" i="16"/>
  <c r="F29" i="16"/>
  <c r="F30" i="16"/>
  <c r="F31" i="16"/>
  <c r="F32" i="16"/>
  <c r="F33" i="16"/>
  <c r="F34" i="16"/>
  <c r="F35" i="16"/>
  <c r="F14" i="16"/>
  <c r="E15" i="16"/>
  <c r="E17" i="16"/>
  <c r="E18" i="16"/>
  <c r="E19" i="16"/>
  <c r="E20" i="16"/>
  <c r="E21" i="16"/>
  <c r="E22" i="16"/>
  <c r="E23" i="16"/>
  <c r="E24" i="16"/>
  <c r="E25" i="16"/>
  <c r="E26" i="16"/>
  <c r="E27" i="16"/>
  <c r="E28" i="16"/>
  <c r="E29" i="16"/>
  <c r="E30" i="16"/>
  <c r="E31" i="16"/>
  <c r="E32" i="16"/>
  <c r="E33" i="16"/>
  <c r="E34" i="16"/>
  <c r="E35" i="16"/>
  <c r="E14" i="16"/>
  <c r="D14" i="16"/>
  <c r="D15" i="16"/>
  <c r="D17" i="16"/>
  <c r="D18" i="16"/>
  <c r="D19" i="16"/>
  <c r="D20" i="16"/>
  <c r="D21" i="16"/>
  <c r="D22" i="16"/>
  <c r="D23" i="16"/>
  <c r="D24" i="16"/>
  <c r="D25" i="16"/>
  <c r="D26" i="16"/>
  <c r="D27" i="16"/>
  <c r="D28" i="16"/>
  <c r="D29" i="16"/>
  <c r="D30" i="16"/>
  <c r="D31" i="16"/>
  <c r="D32" i="16"/>
  <c r="D33" i="16"/>
  <c r="D34" i="16"/>
  <c r="D35" i="16"/>
  <c r="D15" i="8"/>
  <c r="E15" i="8" s="1"/>
  <c r="F15" i="8" s="1"/>
  <c r="L15" i="8" s="1"/>
  <c r="I16" i="8"/>
  <c r="I17" i="8"/>
  <c r="I18" i="8"/>
  <c r="I19" i="8"/>
  <c r="I20" i="8"/>
  <c r="I21" i="8"/>
  <c r="I22" i="8"/>
  <c r="I23" i="8"/>
  <c r="I24" i="8"/>
  <c r="I25" i="8"/>
  <c r="I26" i="8"/>
  <c r="I27" i="8"/>
  <c r="I28" i="8"/>
  <c r="I29" i="8"/>
  <c r="I30" i="8"/>
  <c r="I31" i="8"/>
  <c r="I32" i="8"/>
  <c r="I33" i="8"/>
  <c r="I34" i="8"/>
  <c r="I35" i="8"/>
  <c r="I36" i="8"/>
  <c r="I37" i="8"/>
  <c r="I38" i="8"/>
  <c r="I15" i="8"/>
  <c r="D16" i="8"/>
  <c r="E16" i="8" s="1"/>
  <c r="F16" i="8" s="1"/>
  <c r="L16" i="8" s="1"/>
  <c r="D17" i="8"/>
  <c r="E17" i="8" s="1"/>
  <c r="F17" i="8" s="1"/>
  <c r="L17" i="8" s="1"/>
  <c r="D18" i="8"/>
  <c r="E18" i="8" s="1"/>
  <c r="F18" i="8" s="1"/>
  <c r="L18" i="8" s="1"/>
  <c r="D19" i="8"/>
  <c r="E19" i="8" s="1"/>
  <c r="F19" i="8" s="1"/>
  <c r="L19" i="8" s="1"/>
  <c r="D20" i="8"/>
  <c r="E20" i="8" s="1"/>
  <c r="F20" i="8" s="1"/>
  <c r="L20" i="8" s="1"/>
  <c r="D21" i="8"/>
  <c r="E21" i="8" s="1"/>
  <c r="F21" i="8" s="1"/>
  <c r="L21" i="8" s="1"/>
  <c r="D22" i="8"/>
  <c r="E22" i="8" s="1"/>
  <c r="F22" i="8" s="1"/>
  <c r="L22" i="8" s="1"/>
  <c r="D23" i="8"/>
  <c r="E23" i="8" s="1"/>
  <c r="F23" i="8" s="1"/>
  <c r="L23" i="8" s="1"/>
  <c r="D24" i="8"/>
  <c r="E24" i="8" s="1"/>
  <c r="F24" i="8" s="1"/>
  <c r="L24" i="8" s="1"/>
  <c r="D25" i="8"/>
  <c r="E25" i="8" s="1"/>
  <c r="F25" i="8" s="1"/>
  <c r="L25" i="8" s="1"/>
  <c r="D26" i="8"/>
  <c r="E26" i="8" s="1"/>
  <c r="F26" i="8" s="1"/>
  <c r="L26" i="8" s="1"/>
  <c r="D27" i="8"/>
  <c r="E27" i="8" s="1"/>
  <c r="F27" i="8" s="1"/>
  <c r="L27" i="8" s="1"/>
  <c r="D28" i="8"/>
  <c r="E28" i="8" s="1"/>
  <c r="F28" i="8" s="1"/>
  <c r="L28" i="8" s="1"/>
  <c r="D29" i="8"/>
  <c r="E29" i="8" s="1"/>
  <c r="F29" i="8" s="1"/>
  <c r="L29" i="8" s="1"/>
  <c r="D30" i="8"/>
  <c r="E30" i="8" s="1"/>
  <c r="F30" i="8" s="1"/>
  <c r="L30" i="8" s="1"/>
  <c r="D31" i="8"/>
  <c r="E31" i="8" s="1"/>
  <c r="F31" i="8" s="1"/>
  <c r="L31" i="8" s="1"/>
  <c r="D32" i="8"/>
  <c r="E32" i="8" s="1"/>
  <c r="F32" i="8" s="1"/>
  <c r="L32" i="8" s="1"/>
  <c r="D33" i="8"/>
  <c r="E33" i="8" s="1"/>
  <c r="F33" i="8" s="1"/>
  <c r="L33" i="8" s="1"/>
  <c r="D34" i="8"/>
  <c r="E34" i="8" s="1"/>
  <c r="F34" i="8" s="1"/>
  <c r="L34" i="8" s="1"/>
  <c r="D35" i="8"/>
  <c r="E35" i="8" s="1"/>
  <c r="F35" i="8" s="1"/>
  <c r="L35" i="8" s="1"/>
  <c r="D36" i="8"/>
  <c r="E36" i="8" s="1"/>
  <c r="F36" i="8" s="1"/>
  <c r="L36" i="8" s="1"/>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15" i="6"/>
  <c r="F16" i="6"/>
  <c r="F17" i="6"/>
  <c r="F18" i="6"/>
  <c r="F19" i="6"/>
  <c r="F20" i="6"/>
  <c r="F21" i="6"/>
  <c r="F22" i="6"/>
  <c r="F23" i="6"/>
  <c r="F24" i="6"/>
  <c r="F25" i="6"/>
  <c r="F26" i="6"/>
  <c r="F27" i="6"/>
  <c r="F28" i="6"/>
  <c r="F29" i="6"/>
  <c r="F30" i="6"/>
  <c r="F31" i="6"/>
  <c r="F32" i="6"/>
  <c r="F33" i="6"/>
  <c r="F34" i="6"/>
  <c r="F35" i="6"/>
  <c r="F36" i="6"/>
  <c r="F37" i="6"/>
  <c r="F38" i="6"/>
  <c r="F39" i="6"/>
  <c r="F40" i="6"/>
  <c r="F41" i="6"/>
  <c r="F42"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15" i="6"/>
  <c r="K15" i="6"/>
  <c r="C14" i="4"/>
  <c r="G14" i="4"/>
  <c r="C14" i="16"/>
  <c r="C12" i="16"/>
  <c r="C13" i="8"/>
  <c r="E16" i="16" l="1"/>
  <c r="D16" i="16"/>
  <c r="F43" i="18"/>
  <c r="F24" i="18"/>
  <c r="E32" i="18"/>
  <c r="E30" i="18"/>
  <c r="F44" i="18"/>
  <c r="F36" i="18"/>
  <c r="F28" i="18"/>
  <c r="F20" i="18"/>
  <c r="F42" i="18"/>
  <c r="F34" i="18"/>
  <c r="F26" i="18"/>
  <c r="E18" i="18"/>
  <c r="K31" i="8"/>
  <c r="K25" i="8"/>
  <c r="K23" i="8"/>
  <c r="K17" i="8"/>
  <c r="K16" i="8"/>
  <c r="K30" i="8"/>
  <c r="K22" i="8"/>
  <c r="K29" i="8"/>
  <c r="K21" i="8"/>
  <c r="K36" i="8"/>
  <c r="K28" i="8"/>
  <c r="K20" i="8"/>
  <c r="K35" i="8"/>
  <c r="K27" i="8"/>
  <c r="K19" i="8"/>
  <c r="K34" i="8"/>
  <c r="K26" i="8"/>
  <c r="K18" i="8"/>
  <c r="K33" i="8"/>
  <c r="K32" i="8"/>
  <c r="K24" i="8"/>
  <c r="K15" i="8"/>
  <c r="J31" i="8"/>
  <c r="J30" i="8"/>
  <c r="J23" i="8"/>
  <c r="J22" i="8"/>
  <c r="J29" i="8"/>
  <c r="J21" i="8"/>
  <c r="J36" i="8"/>
  <c r="J28" i="8"/>
  <c r="J20" i="8"/>
  <c r="J35" i="8"/>
  <c r="J27" i="8"/>
  <c r="J19" i="8"/>
  <c r="J34" i="8"/>
  <c r="J26" i="8"/>
  <c r="J18" i="8"/>
  <c r="J33" i="8"/>
  <c r="J25" i="8"/>
  <c r="J17" i="8"/>
  <c r="J32" i="8"/>
  <c r="J24" i="8"/>
  <c r="J16" i="8"/>
  <c r="J15" i="8"/>
  <c r="G33" i="8"/>
  <c r="H33" i="8" s="1"/>
  <c r="G29" i="8"/>
  <c r="H29" i="8" s="1"/>
  <c r="G25" i="8"/>
  <c r="H25" i="8" s="1"/>
  <c r="G21" i="8"/>
  <c r="H21" i="8" s="1"/>
  <c r="G17" i="8"/>
  <c r="H17" i="8" s="1"/>
  <c r="G16" i="8"/>
  <c r="H16" i="8" s="1"/>
  <c r="G32" i="8"/>
  <c r="H32" i="8" s="1"/>
  <c r="G24" i="8"/>
  <c r="H24" i="8" s="1"/>
  <c r="G31" i="8"/>
  <c r="H31" i="8" s="1"/>
  <c r="G23" i="8"/>
  <c r="H23" i="8" s="1"/>
  <c r="G30" i="8"/>
  <c r="H30" i="8" s="1"/>
  <c r="G22" i="8"/>
  <c r="H22" i="8" s="1"/>
  <c r="G20" i="8"/>
  <c r="H20" i="8" s="1"/>
  <c r="G35" i="8"/>
  <c r="H35" i="8" s="1"/>
  <c r="G27" i="8"/>
  <c r="H27" i="8" s="1"/>
  <c r="G19" i="8"/>
  <c r="H19" i="8" s="1"/>
  <c r="G36" i="8"/>
  <c r="H36" i="8" s="1"/>
  <c r="G28" i="8"/>
  <c r="H28" i="8" s="1"/>
  <c r="G34" i="8"/>
  <c r="H34" i="8" s="1"/>
  <c r="G26" i="8"/>
  <c r="H26" i="8" s="1"/>
  <c r="G18" i="8"/>
  <c r="H18" i="8" s="1"/>
  <c r="G15" i="8"/>
  <c r="H15" i="8" s="1"/>
  <c r="F15" i="2"/>
  <c r="F16" i="2"/>
  <c r="F17" i="2"/>
  <c r="F18" i="2"/>
  <c r="F19" i="2"/>
  <c r="F20" i="2"/>
  <c r="F21" i="2"/>
  <c r="F22" i="2"/>
  <c r="F23" i="2"/>
  <c r="F24" i="2"/>
  <c r="F25" i="2"/>
  <c r="F26" i="2"/>
  <c r="F27" i="2"/>
  <c r="F28" i="2"/>
  <c r="F29" i="2"/>
  <c r="F30" i="2"/>
  <c r="F31" i="2"/>
  <c r="F32" i="2"/>
  <c r="F33" i="2"/>
  <c r="F34" i="2"/>
  <c r="F35" i="2"/>
  <c r="F14" i="2"/>
  <c r="C15" i="2"/>
  <c r="C16" i="2"/>
  <c r="C17" i="2"/>
  <c r="C18" i="2"/>
  <c r="C19" i="2"/>
  <c r="C20" i="2"/>
  <c r="C21" i="2"/>
  <c r="C22" i="2"/>
  <c r="C23" i="2"/>
  <c r="C24" i="2"/>
  <c r="C25" i="2"/>
  <c r="C26" i="2"/>
  <c r="C27" i="2"/>
  <c r="C28" i="2"/>
  <c r="C29" i="2"/>
  <c r="C30" i="2"/>
  <c r="C31" i="2"/>
  <c r="C32" i="2"/>
  <c r="C33" i="2"/>
  <c r="C34" i="2"/>
  <c r="C35" i="2"/>
  <c r="D15" i="2"/>
  <c r="D16" i="2"/>
  <c r="D17" i="2"/>
  <c r="D18" i="2"/>
  <c r="D19" i="2"/>
  <c r="D20" i="2"/>
  <c r="D21" i="2"/>
  <c r="D22" i="2"/>
  <c r="D23" i="2"/>
  <c r="D24" i="2"/>
  <c r="D25" i="2"/>
  <c r="D26" i="2"/>
  <c r="D27" i="2"/>
  <c r="D28" i="2"/>
  <c r="D29" i="2"/>
  <c r="D30" i="2"/>
  <c r="D31" i="2"/>
  <c r="D32" i="2"/>
  <c r="D33" i="2"/>
  <c r="D34" i="2"/>
  <c r="D35" i="2"/>
  <c r="C14" i="2"/>
  <c r="D14" i="2"/>
  <c r="C13" i="5"/>
  <c r="C12" i="2"/>
  <c r="D20" i="1"/>
  <c r="D33" i="1"/>
  <c r="D32" i="1"/>
  <c r="D19" i="1"/>
  <c r="D15" i="1"/>
  <c r="D35" i="1"/>
  <c r="D24" i="1"/>
  <c r="D17" i="1"/>
  <c r="D34" i="1"/>
  <c r="D18" i="1"/>
  <c r="D27" i="1"/>
  <c r="D31" i="1"/>
  <c r="D28" i="1"/>
  <c r="D29" i="1"/>
  <c r="D25" i="1"/>
  <c r="D22" i="1"/>
  <c r="D23" i="1"/>
  <c r="D26" i="1"/>
  <c r="D16" i="1"/>
  <c r="D21" i="1"/>
  <c r="D14" i="1"/>
  <c r="D30" i="1"/>
  <c r="C17" i="14" l="1" a="1"/>
  <c r="C17" i="14" s="1"/>
  <c r="I14" i="4" l="1"/>
  <c r="H15" i="6" l="1"/>
  <c r="C19" i="13" l="1"/>
  <c r="K6" i="18" l="1"/>
  <c r="D19" i="13"/>
  <c r="C18" i="13"/>
  <c r="C17" i="13" l="1"/>
  <c r="K6" i="17"/>
  <c r="F10" i="16" l="1"/>
  <c r="C14" i="14" l="1"/>
  <c r="G36" i="1"/>
  <c r="E19" i="12" l="1"/>
  <c r="D17" i="13"/>
  <c r="J8" i="12" s="1"/>
  <c r="D18" i="13"/>
  <c r="C21" i="5"/>
  <c r="D21" i="5" s="1"/>
  <c r="E25" i="12"/>
  <c r="C17" i="5"/>
  <c r="D17" i="5" s="1"/>
  <c r="E21" i="12"/>
  <c r="C38" i="5"/>
  <c r="C42" i="5"/>
  <c r="C33" i="5"/>
  <c r="D33" i="5" s="1"/>
  <c r="E37" i="12"/>
  <c r="E22" i="12"/>
  <c r="C18" i="5"/>
  <c r="D18" i="5" s="1"/>
  <c r="C16" i="5"/>
  <c r="D16" i="5" s="1"/>
  <c r="E20" i="12"/>
  <c r="E30" i="12"/>
  <c r="C26" i="5"/>
  <c r="D26" i="5" s="1"/>
  <c r="C22" i="5"/>
  <c r="D22" i="5" s="1"/>
  <c r="E26" i="12"/>
  <c r="C25" i="5"/>
  <c r="D25" i="5" s="1"/>
  <c r="E29" i="12"/>
  <c r="C40" i="5"/>
  <c r="C24" i="5"/>
  <c r="D24" i="5" s="1"/>
  <c r="E28" i="12"/>
  <c r="C23" i="5"/>
  <c r="D23" i="5" s="1"/>
  <c r="E27" i="12"/>
  <c r="E39" i="12"/>
  <c r="C35" i="5"/>
  <c r="D35" i="5" s="1"/>
  <c r="C31" i="5"/>
  <c r="D31" i="5" s="1"/>
  <c r="E35" i="12"/>
  <c r="E31" i="12"/>
  <c r="C27" i="5"/>
  <c r="D27" i="5" s="1"/>
  <c r="E23" i="12"/>
  <c r="C19" i="5"/>
  <c r="D19" i="5" s="1"/>
  <c r="C37" i="5"/>
  <c r="C43" i="5"/>
  <c r="C29" i="5"/>
  <c r="D29" i="5" s="1"/>
  <c r="E33" i="12"/>
  <c r="C32" i="5"/>
  <c r="D32" i="5" s="1"/>
  <c r="E36" i="12"/>
  <c r="C28" i="5"/>
  <c r="D28" i="5" s="1"/>
  <c r="E32" i="12"/>
  <c r="C20" i="5"/>
  <c r="D20" i="5" s="1"/>
  <c r="E24" i="12"/>
  <c r="E38" i="12"/>
  <c r="C34" i="5"/>
  <c r="D34" i="5" s="1"/>
  <c r="C30" i="5"/>
  <c r="D30" i="5" s="1"/>
  <c r="E34" i="12"/>
  <c r="C39" i="5"/>
  <c r="C36" i="5"/>
  <c r="D36" i="5" s="1"/>
  <c r="E40" i="12"/>
  <c r="C15" i="5"/>
  <c r="D15" i="5" s="1"/>
  <c r="C44" i="5"/>
  <c r="C41" i="5"/>
  <c r="C19" i="14"/>
  <c r="H10" i="11"/>
  <c r="D44" i="5" l="1"/>
  <c r="D41" i="5" l="1"/>
  <c r="D40" i="5"/>
  <c r="D43" i="5"/>
  <c r="D42" i="5"/>
  <c r="L43" i="6" l="1"/>
  <c r="L28" i="6"/>
  <c r="L29" i="6"/>
  <c r="L30" i="6"/>
  <c r="L31" i="6"/>
  <c r="L32" i="6"/>
  <c r="L33" i="6"/>
  <c r="L34" i="6"/>
  <c r="L35" i="6"/>
  <c r="L36" i="6"/>
  <c r="L37" i="6"/>
  <c r="L38" i="6"/>
  <c r="L39" i="6"/>
  <c r="L40" i="6"/>
  <c r="L41" i="6"/>
  <c r="L42" i="6"/>
  <c r="F15" i="6"/>
  <c r="I15" i="6"/>
  <c r="L20" i="6"/>
  <c r="L21" i="6"/>
  <c r="L22" i="6"/>
  <c r="L23" i="6"/>
  <c r="L24" i="6"/>
  <c r="L25" i="6"/>
  <c r="L26" i="6"/>
  <c r="L27" i="6"/>
  <c r="L19" i="6"/>
  <c r="E14" i="5" l="1" a="1"/>
  <c r="E14" i="5" s="1"/>
  <c r="J7" i="5" l="1"/>
  <c r="I14" i="5"/>
  <c r="H14" i="5"/>
  <c r="G14" i="5"/>
  <c r="F14" i="5"/>
  <c r="D38" i="5" l="1"/>
  <c r="D37" i="5"/>
  <c r="D39" i="5"/>
  <c r="G35" i="1"/>
</calcChain>
</file>

<file path=xl/sharedStrings.xml><?xml version="1.0" encoding="utf-8"?>
<sst xmlns="http://schemas.openxmlformats.org/spreadsheetml/2006/main" count="388" uniqueCount="280">
  <si>
    <t>Name</t>
  </si>
  <si>
    <t>LookThroughPortfolioId</t>
  </si>
  <si>
    <t>Scope</t>
  </si>
  <si>
    <t>Feedback from Create</t>
  </si>
  <si>
    <t>Results</t>
  </si>
  <si>
    <t>Code</t>
  </si>
  <si>
    <t>Date Created</t>
  </si>
  <si>
    <t>Base Currency</t>
  </si>
  <si>
    <t>SecurityUid</t>
  </si>
  <si>
    <t>Upload new Securities to Lusid</t>
  </si>
  <si>
    <t>Property Name</t>
  </si>
  <si>
    <t>Domain</t>
  </si>
  <si>
    <t>ValueRequired</t>
  </si>
  <si>
    <t>DisplayName</t>
  </si>
  <si>
    <t>Sort</t>
  </si>
  <si>
    <t>LifeTime</t>
  </si>
  <si>
    <t>Result</t>
  </si>
  <si>
    <t>Created Portfolio Unique Identifiers</t>
  </si>
  <si>
    <t>Keys</t>
  </si>
  <si>
    <t>OK</t>
  </si>
  <si>
    <t>3) Create/Upload property definitions (in Blue) to Lusid</t>
  </si>
  <si>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</si>
  <si>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</si>
  <si>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</si>
  <si>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</si>
  <si>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</si>
  <si>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</si>
  <si>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</si>
  <si>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</si>
  <si>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</si>
  <si>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1) Define your new property names</t>
  </si>
  <si>
    <t>1) Fetch current state of securities</t>
  </si>
  <si>
    <t>1) Create specified custom securities</t>
  </si>
  <si>
    <t>Scope:</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</si>
  <si>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</si>
  <si>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</si>
  <si>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</si>
  <si>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</si>
  <si>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Settlement Date</t>
  </si>
  <si>
    <t>Transaction Type</t>
  </si>
  <si>
    <t>Source</t>
  </si>
  <si>
    <t>Total Consideration</t>
  </si>
  <si>
    <t>Exchange Rate</t>
  </si>
  <si>
    <t>Counterparty ID</t>
  </si>
  <si>
    <t>Netting Set</t>
  </si>
  <si>
    <t>GBP</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</si>
  <si>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</si>
  <si>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</si>
  <si>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</si>
  <si>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</si>
  <si>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</si>
  <si>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Value</t>
  </si>
  <si>
    <t>AnalyticsStoreDate</t>
  </si>
  <si>
    <t>Date</t>
  </si>
  <si>
    <t>1) Define one or more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</si>
  <si>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</si>
  <si>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</si>
  <si>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</si>
  <si>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</si>
  <si>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</si>
  <si>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</si>
  <si>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</si>
  <si>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</si>
  <si>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</si>
  <si>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First PortfolioName:</t>
  </si>
  <si>
    <t>First PortfolioCode:</t>
  </si>
  <si>
    <t>First PortfolioCreateDate:</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</si>
  <si>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</si>
  <si>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</si>
  <si>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</si>
  <si>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</si>
  <si>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</si>
  <si>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</si>
  <si>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</si>
  <si>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</si>
  <si>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</si>
  <si>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</si>
  <si>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</si>
  <si>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</si>
  <si>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</si>
  <si>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</si>
  <si>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</si>
  <si>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</si>
  <si>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</si>
  <si>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</si>
  <si>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</si>
  <si>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</si>
  <si>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</si>
  <si>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=fbnHoldingsAdjust(BlueCells)</t>
    </r>
  </si>
  <si>
    <t>Cost</t>
  </si>
  <si>
    <t>Units</t>
  </si>
  <si>
    <t xml:space="preserve">As Of </t>
  </si>
  <si>
    <t>CCY_GBP</t>
  </si>
  <si>
    <t>CCY_USD</t>
  </si>
  <si>
    <t>CCY_EUR</t>
  </si>
  <si>
    <t>These rates should be based on USD</t>
  </si>
  <si>
    <r>
      <rPr>
        <b/>
        <sz val="11"/>
        <color rgb="FF9C5700"/>
        <rFont val="Calibri"/>
        <family val="2"/>
        <scheme val="minor"/>
      </rPr>
      <t>1)</t>
    </r>
    <r>
      <rPr>
        <sz val="11"/>
        <color rgb="FF9C5700"/>
        <rFont val="Calibri"/>
        <family val="2"/>
        <scheme val="minor"/>
      </rPr>
      <t xml:space="preserve">  You can now store these rates for the currencies below</t>
    </r>
  </si>
  <si>
    <t>CCY_ZAR</t>
  </si>
  <si>
    <t>Denomination</t>
  </si>
  <si>
    <t>2) Insert accurals</t>
  </si>
  <si>
    <t>These amounts don’t require a denomination</t>
  </si>
  <si>
    <r>
      <rPr>
        <b/>
        <sz val="11"/>
        <color rgb="FF9C5700"/>
        <rFont val="Calibri"/>
        <family val="2"/>
        <scheme val="minor"/>
      </rPr>
      <t>1)</t>
    </r>
    <r>
      <rPr>
        <sz val="11"/>
        <color rgb="FF9C5700"/>
        <rFont val="Calibri"/>
        <family val="2"/>
        <scheme val="minor"/>
      </rPr>
      <t xml:space="preserve">  You can now store these ramounts for the securities below</t>
    </r>
  </si>
  <si>
    <t>You can store accural amounts for fix deposit securities here. These will be used in aggregation calculations to determin accurate PV values for example for a portfolio of holdings(for the securities listed above)</t>
  </si>
  <si>
    <t>You can add FX rates for currencies at the date specified:</t>
  </si>
  <si>
    <t>You can Add analytiscs to your securities in your portfolio for the date specified</t>
  </si>
  <si>
    <t>Before you can add analytics(prices) against your securities, you need to define a store(place) to put these analytics into.</t>
  </si>
  <si>
    <t>These locations will be queried by the system when looking for security prices, accruals and fx rates.</t>
  </si>
  <si>
    <t>These analytics, effectively prices for each security, will be inserted into the following the analytics store you created when setting up the analytics</t>
  </si>
  <si>
    <t>These fx rates, for each currency, will be inserted into the following the analytics store you created</t>
  </si>
  <si>
    <t>These accrual amounts, for each security, will be inserted into the following the analytics store you created for accruals:</t>
  </si>
  <si>
    <t>You can store unit accrual amounts for your securities at the date specified:</t>
  </si>
  <si>
    <t>EffectiveFrom</t>
  </si>
  <si>
    <t>Portfolio Cost</t>
  </si>
  <si>
    <t>To create a new portfolio define it below and press "Create Portfolio" button.</t>
  </si>
  <si>
    <t>1) Define portfolios</t>
  </si>
  <si>
    <t>2) Create portfolios in LUSID</t>
  </si>
  <si>
    <t>To add custom properties to securities, you first need to define what those properties are.</t>
  </si>
  <si>
    <t xml:space="preserve">Your defined properties are now available to you to apply against any existing securities below. </t>
  </si>
  <si>
    <t>1) You can add trades against specific securities here</t>
  </si>
  <si>
    <t>You can change the position of your existing holdings here.</t>
  </si>
  <si>
    <t xml:space="preserve">1) Build/construct changes to your holdings below. </t>
  </si>
  <si>
    <t>2) Adjust your holdings</t>
  </si>
  <si>
    <t>2) Create analytics stores</t>
  </si>
  <si>
    <r>
      <rPr>
        <b/>
        <sz val="11"/>
        <color rgb="FF9C5700"/>
        <rFont val="Calibri"/>
        <family val="2"/>
        <scheme val="minor"/>
      </rPr>
      <t>1)</t>
    </r>
    <r>
      <rPr>
        <sz val="11"/>
        <color rgb="FF9C5700"/>
        <rFont val="Calibri"/>
        <family val="2"/>
        <scheme val="minor"/>
      </rPr>
      <t xml:space="preserve"> Get all your portfolio trades</t>
    </r>
  </si>
  <si>
    <t>Some colours appear in the template and have specific meanings to help you; please see the colour legend below</t>
  </si>
  <si>
    <t xml:space="preserve">2) Build/construct appropriate cell data create these Properties </t>
  </si>
  <si>
    <t>Corporate Action Source</t>
  </si>
  <si>
    <t>Accounting Method</t>
  </si>
  <si>
    <t>Sub-Holding Keys</t>
  </si>
  <si>
    <t>Display Name</t>
  </si>
  <si>
    <t>Description</t>
  </si>
  <si>
    <t>DataTypeId</t>
  </si>
  <si>
    <t>Type</t>
  </si>
  <si>
    <t>Transaction Id</t>
  </si>
  <si>
    <t>Transaction Date</t>
  </si>
  <si>
    <t>Instrument Units Transacted</t>
  </si>
  <si>
    <t>Transaction Currency</t>
  </si>
  <si>
    <t>Transaction Price</t>
  </si>
  <si>
    <t>Id</t>
  </si>
  <si>
    <t>default</t>
  </si>
  <si>
    <t>MyId1</t>
  </si>
  <si>
    <t>BBG00JVF3738</t>
  </si>
  <si>
    <t>Currency</t>
  </si>
  <si>
    <r>
      <rPr>
        <b/>
        <sz val="11"/>
        <color rgb="FF9C5700"/>
        <rFont val="Calibri"/>
        <family val="2"/>
        <scheme val="minor"/>
      </rPr>
      <t xml:space="preserve">2) </t>
    </r>
    <r>
      <rPr>
        <sz val="11"/>
        <color rgb="FF9C5700"/>
        <rFont val="Calibri"/>
        <family val="2"/>
        <scheme val="minor"/>
      </rPr>
      <t>Create these trades</t>
    </r>
  </si>
  <si>
    <t>Client supplied instrument Id</t>
  </si>
  <si>
    <t>Instrument name</t>
  </si>
  <si>
    <t>Instrument Id Type</t>
  </si>
  <si>
    <t>Instrument Id Value</t>
  </si>
  <si>
    <t>Instrument</t>
  </si>
  <si>
    <t>InstrumentFormat</t>
  </si>
  <si>
    <t>JSON</t>
  </si>
  <si>
    <t>{}</t>
  </si>
  <si>
    <t>BBG00DKL90B0</t>
  </si>
  <si>
    <t>BBG00DKL91M6</t>
  </si>
  <si>
    <t>BBG00FDG24R6</t>
  </si>
  <si>
    <t>BBG00DKL91L7</t>
  </si>
  <si>
    <t>BBG00FB2C3M5</t>
  </si>
  <si>
    <t>BBG00FJ5L0H2</t>
  </si>
  <si>
    <t>BBG00FJ5L0Q2</t>
  </si>
  <si>
    <t>BBG000C5GF49</t>
  </si>
  <si>
    <t>BBG000C45QW9</t>
  </si>
  <si>
    <t>BBG00GZY0K24</t>
  </si>
  <si>
    <t>BBG00GZXXVG1</t>
  </si>
  <si>
    <t>BBG007V3VDW5</t>
  </si>
  <si>
    <t>BBG000F8XRF3</t>
  </si>
  <si>
    <t>BBG000RH4VW4</t>
  </si>
  <si>
    <t>BBG000R173D9</t>
  </si>
  <si>
    <t>BBG001HQYT28</t>
  </si>
  <si>
    <t>BBG0037S1FD5</t>
  </si>
  <si>
    <t>BBG001B81KF5</t>
  </si>
  <si>
    <t>BBG0034YPJG8</t>
  </si>
  <si>
    <t>BBG0034YQ808</t>
  </si>
  <si>
    <t>BBG004733FZ2</t>
  </si>
  <si>
    <t>Figi</t>
  </si>
  <si>
    <t>LusidInstrumentId</t>
  </si>
  <si>
    <t>Identifiers</t>
  </si>
  <si>
    <t>ClientInternal</t>
  </si>
  <si>
    <t>LUID_BIYPT5WE</t>
  </si>
  <si>
    <t>MyNewSecurity_BBG000C45QW9</t>
  </si>
  <si>
    <t>MyId_BBG000C45QW9</t>
  </si>
  <si>
    <t>LUID_F70QBY6X</t>
  </si>
  <si>
    <t>MyNewSecurity_BBG004733FZ2</t>
  </si>
  <si>
    <t>MyId_BBG004733FZ2</t>
  </si>
  <si>
    <t>LUID_9665UL2T</t>
  </si>
  <si>
    <t>MyNewSecurity_BBG001B81KF5</t>
  </si>
  <si>
    <t>MyId_BBG001B81KF5</t>
  </si>
  <si>
    <t>LUID_G4OYJ3P0</t>
  </si>
  <si>
    <t>MyNewSecurity_BBG00FB2C3M5</t>
  </si>
  <si>
    <t>MyId_BBG00FB2C3M5</t>
  </si>
  <si>
    <t>LUID_NPNS4BL3</t>
  </si>
  <si>
    <t>MyNewSecurity_BBG000F8XRF3</t>
  </si>
  <si>
    <t>MyId_BBG000F8XRF3</t>
  </si>
  <si>
    <t>LUID_YNFUT4CG</t>
  </si>
  <si>
    <t>MyNewSecurity_BBG00GZXXVG1</t>
  </si>
  <si>
    <t>MyId_BBG00GZXXVG1</t>
  </si>
  <si>
    <t>LUID_PJKDDUP2</t>
  </si>
  <si>
    <t>MyNewSecurity_BBG00FJ5L0H2</t>
  </si>
  <si>
    <t>MyId_BBG00FJ5L0H2</t>
  </si>
  <si>
    <t>LUID_FKU04OF1</t>
  </si>
  <si>
    <t>MyNewSecurity_BBG0037S1FD5</t>
  </si>
  <si>
    <t>MyId_BBG0037S1FD5</t>
  </si>
  <si>
    <t>LUID_KAHJTUG3</t>
  </si>
  <si>
    <t>MyNewSecurity_BBG00FDG24R6</t>
  </si>
  <si>
    <t>MyId_BBG00FDG24R6</t>
  </si>
  <si>
    <t>LUID_P3U3U6KY</t>
  </si>
  <si>
    <t>MyNewSecurity_BBG0034YPJG8</t>
  </si>
  <si>
    <t>MyId_BBG0034YPJG8</t>
  </si>
  <si>
    <t>LUID_5ZJXMMXB</t>
  </si>
  <si>
    <t>MyNewSecurity_BBG00DKL91L7</t>
  </si>
  <si>
    <t>MyId_BBG00DKL91L7</t>
  </si>
  <si>
    <t>LUID_DNJRWJO9</t>
  </si>
  <si>
    <t>MyNewSecurity_BBG000R173D9</t>
  </si>
  <si>
    <t>MyId_BBG000R173D9</t>
  </si>
  <si>
    <t>LUID_YQU54HEB</t>
  </si>
  <si>
    <t>MyNewSecurity_BBG000C5GF49</t>
  </si>
  <si>
    <t>MyId_BBG000C5GF49</t>
  </si>
  <si>
    <t>LUID_YGHMDW9Z</t>
  </si>
  <si>
    <t>MyNewSecurity_BBG000RH4VW4</t>
  </si>
  <si>
    <t>MyId_BBG000RH4VW4</t>
  </si>
  <si>
    <t>LUID_GV2Z426B</t>
  </si>
  <si>
    <t>MyNewSecurity_BBG007V3VDW5</t>
  </si>
  <si>
    <t>MyId_BBG007V3VDW5</t>
  </si>
  <si>
    <t>LUID_L0MLT3RF</t>
  </si>
  <si>
    <t>MyNewSecurity_BBG00DKL90B0</t>
  </si>
  <si>
    <t>MyId_BBG00DKL90B0</t>
  </si>
  <si>
    <t>LUID_35DC4EH5</t>
  </si>
  <si>
    <t>MyNewSecurity_BBG00GZY0K24</t>
  </si>
  <si>
    <t>MyId_BBG00GZY0K24</t>
  </si>
  <si>
    <t>LUID_IWQ59HNL</t>
  </si>
  <si>
    <t>MyNewSecurity_BBG00FJ5L0Q2</t>
  </si>
  <si>
    <t>MyId_BBG00FJ5L0Q2</t>
  </si>
  <si>
    <t>LUID_FO3MZVDA</t>
  </si>
  <si>
    <t>MyNewSecurity_BBG00JVF3738</t>
  </si>
  <si>
    <t>MyId_BBG00JVF3738</t>
  </si>
  <si>
    <t>LUID_0QA5WPQ7</t>
  </si>
  <si>
    <t>MyNewSecurity_BBG00DKL91M6</t>
  </si>
  <si>
    <t>MyId_BBG00DKL91M6</t>
  </si>
  <si>
    <t>LUID_MOTO0E4D</t>
  </si>
  <si>
    <t>MyNewSecurity_BBG001HQYT28</t>
  </si>
  <si>
    <t>MyId_BBG001HQYT28</t>
  </si>
  <si>
    <t>LUID_3MZPBTJD</t>
  </si>
  <si>
    <t>MyNewSecurity_BBG0034YQ808</t>
  </si>
  <si>
    <t>MyId_BBG0034YQ808</t>
  </si>
  <si>
    <t>Instrument Identifiers</t>
  </si>
  <si>
    <t>MyId2</t>
  </si>
  <si>
    <t>Price</t>
  </si>
  <si>
    <t>Purchase date</t>
  </si>
  <si>
    <t>Settlement date</t>
  </si>
  <si>
    <t>Open FIGI Ids</t>
  </si>
  <si>
    <t>Auto Resolved Lusid Instrument Ids</t>
  </si>
  <si>
    <t>Lusid Instrument Id</t>
  </si>
  <si>
    <t>MySecurityClassification1</t>
  </si>
  <si>
    <t>MySecurityClassification2</t>
  </si>
  <si>
    <t>MySecurityClassification3</t>
  </si>
  <si>
    <t>MySecurityClassification4</t>
  </si>
  <si>
    <t>MySecurityClassification5</t>
  </si>
  <si>
    <t>MySecurityClassification6</t>
  </si>
  <si>
    <t>MySecurityClassification7</t>
  </si>
  <si>
    <t>MySecurityClassification8</t>
  </si>
  <si>
    <t>MySecurityClassification9</t>
  </si>
  <si>
    <t>MySecurityClassification10</t>
  </si>
  <si>
    <t>MySecurityClassification11</t>
  </si>
  <si>
    <t>MySecurityClassification12</t>
  </si>
  <si>
    <t>MySecurityClassification13</t>
  </si>
  <si>
    <t>MySecurityClassification14</t>
  </si>
  <si>
    <t>MySecurityClassification15</t>
  </si>
  <si>
    <t>MySecurityClassification16</t>
  </si>
  <si>
    <t>MySecurityClassification17</t>
  </si>
  <si>
    <t>MySecurityClassification18</t>
  </si>
  <si>
    <t>MySecurityClassification19</t>
  </si>
  <si>
    <t>MySecurityClassification20</t>
  </si>
  <si>
    <t>MySecurityClassification21</t>
  </si>
  <si>
    <t>MySecurityClassification22</t>
  </si>
  <si>
    <t>DemoScope56/2019-03-05</t>
  </si>
  <si>
    <t>DemoScope56_FX/2019-03-05</t>
  </si>
  <si>
    <t>DemoScope56_Accrual/2019-03-05</t>
  </si>
  <si>
    <t>MySecurityClassification</t>
  </si>
  <si>
    <t>DemoScope99</t>
  </si>
  <si>
    <t>FirstPortfolio</t>
  </si>
  <si>
    <t>pf1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</si>
</sst>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9" formatCode="0.0"/>
  </numFmts>
  <fonts count="15" x14ac:knownFonts="1">
    <font>
      <sz val="11"/>
      <color theme="1"/>
      <name val="Calibri"/>
      <family val="2"/>
      <scheme val="minor"/>
    </font>
    <font>
      <sz val="11"/>
      <color theme="1"/>
      <name val="Calibri"/>
      <family val="2"/>
      <scheme val="minor"/>
    </font>
    <font>
      <sz val="11"/>
      <color rgb="FF9C57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
      <u/>
      <sz val="11"/>
      <color theme="10"/>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41">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indexed="64"/>
      </left>
      <right style="thin">
        <color indexed="64"/>
      </right>
      <top style="thin">
        <color indexed="64"/>
      </top>
      <bottom style="double">
        <color theme="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theme="4"/>
      </top>
      <bottom style="double">
        <color theme="4"/>
      </bottom>
      <diagonal/>
    </border>
    <border>
      <left/>
      <right style="thin">
        <color indexed="64"/>
      </right>
      <top style="thin">
        <color theme="4"/>
      </top>
      <bottom style="double">
        <color theme="4"/>
      </bottom>
      <diagonal/>
    </border>
    <border>
      <left style="thin">
        <color indexed="64"/>
      </left>
      <right/>
      <top style="thin">
        <color theme="4"/>
      </top>
      <bottom style="double">
        <color theme="4"/>
      </bottom>
      <diagonal/>
    </border>
    <border>
      <left style="thin">
        <color indexed="64"/>
      </left>
      <right style="thin">
        <color indexed="64"/>
      </right>
      <top style="double">
        <color theme="4"/>
      </top>
      <bottom/>
      <diagonal/>
    </border>
  </borders>
  <cellStyleXfs count="15">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4"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8" fillId="12" borderId="0" applyNumberFormat="0" applyBorder="0" applyAlignment="0" applyProtection="0"/>
    <xf numFmtId="0" fontId="9" fillId="0" borderId="24" applyNumberFormat="0" applyFill="0" applyAlignment="0" applyProtection="0"/>
    <xf numFmtId="0" fontId="10"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xf numFmtId="0" fontId="14" fillId="0" borderId="0" applyNumberFormat="0" applyFill="0" applyBorder="0" applyAlignment="0" applyProtection="0"/>
  </cellStyleXfs>
  <cellXfs count="362">
    <xf numFmtId="0" fontId="0" fillId="0" borderId="0" xfId="0"/>
    <xf numFmtId="0" fontId="2" fillId="0" borderId="0" xfId="1" applyFill="1"/>
    <xf numFmtId="0" fontId="0" fillId="0" borderId="0" xfId="0" applyAlignment="1">
      <alignment horizontal="center" vertical="center" textRotation="255"/>
    </xf>
    <xf numFmtId="0" fontId="0" fillId="0" borderId="0" xfId="0"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4" fillId="8" borderId="21" xfId="6" applyFill="1" applyBorder="1" applyAlignment="1">
      <alignment vertical="center"/>
    </xf>
    <xf numFmtId="0" fontId="4"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8" fillId="0" borderId="0" xfId="9" applyFill="1"/>
    <xf numFmtId="0" fontId="0" fillId="0" borderId="0" xfId="0" applyAlignment="1">
      <alignment wrapText="1"/>
    </xf>
    <xf numFmtId="0" fontId="0" fillId="6" borderId="9" xfId="0" applyFill="1" applyBorder="1" applyAlignment="1">
      <alignment horizontal="center"/>
    </xf>
    <xf numFmtId="0" fontId="1" fillId="0" borderId="0" xfId="4" applyFill="1"/>
    <xf numFmtId="14" fontId="1" fillId="0" borderId="0" xfId="4" applyNumberFormat="1" applyFill="1"/>
    <xf numFmtId="0" fontId="1" fillId="0" borderId="0" xfId="4" applyFill="1" applyAlignment="1">
      <alignment horizontal="center"/>
    </xf>
    <xf numFmtId="0" fontId="1" fillId="0" borderId="0" xfId="5" applyFill="1"/>
    <xf numFmtId="0" fontId="1" fillId="10" borderId="0" xfId="8" applyAlignment="1">
      <alignment horizontal="center" vertical="center"/>
    </xf>
    <xf numFmtId="0" fontId="1" fillId="0" borderId="0" xfId="8" applyFill="1" applyAlignment="1">
      <alignment horizontal="center" vertical="center"/>
    </xf>
    <xf numFmtId="0" fontId="1" fillId="0" borderId="0" xfId="3" applyFill="1"/>
    <xf numFmtId="0" fontId="9" fillId="0" borderId="0" xfId="7" applyFont="1" applyFill="1" applyBorder="1"/>
    <xf numFmtId="0" fontId="1" fillId="0" borderId="0" xfId="2" applyFill="1" applyAlignment="1">
      <alignment horizontal="center"/>
    </xf>
    <xf numFmtId="0" fontId="1" fillId="0" borderId="0" xfId="2" applyFill="1"/>
    <xf numFmtId="0" fontId="0" fillId="6" borderId="9" xfId="0" applyFill="1" applyBorder="1"/>
    <xf numFmtId="0" fontId="0" fillId="4" borderId="4" xfId="3" applyFont="1" applyBorder="1"/>
    <xf numFmtId="0" fontId="1" fillId="4" borderId="0" xfId="3"/>
    <xf numFmtId="0" fontId="0" fillId="4" borderId="0" xfId="3" applyFont="1"/>
    <xf numFmtId="0" fontId="1" fillId="4" borderId="5" xfId="3" applyBorder="1"/>
    <xf numFmtId="0" fontId="1" fillId="4" borderId="7" xfId="3" applyBorder="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Alignment="1" applyProtection="1">
      <alignment horizontal="center"/>
      <protection locked="0"/>
    </xf>
    <xf numFmtId="0" fontId="0" fillId="3" borderId="4" xfId="2" applyFont="1" applyBorder="1" applyProtection="1">
      <protection locked="0"/>
    </xf>
    <xf numFmtId="0" fontId="0" fillId="3" borderId="0" xfId="2" applyFont="1" applyProtection="1">
      <protection locked="0"/>
    </xf>
    <xf numFmtId="14" fontId="1" fillId="3" borderId="0" xfId="2" applyNumberFormat="1" applyProtection="1">
      <protection locked="0"/>
    </xf>
    <xf numFmtId="0" fontId="1" fillId="3" borderId="4" xfId="2" applyBorder="1" applyProtection="1">
      <protection locked="0"/>
    </xf>
    <xf numFmtId="0" fontId="1" fillId="3" borderId="0" xfId="2" applyProtection="1">
      <protection locked="0"/>
    </xf>
    <xf numFmtId="0" fontId="1" fillId="3" borderId="6" xfId="2" applyBorder="1" applyProtection="1">
      <protection locked="0"/>
    </xf>
    <xf numFmtId="0" fontId="7"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14" fontId="7" fillId="0" borderId="0" xfId="7" applyNumberFormat="1" applyFont="1" applyFill="1" applyBorder="1" applyAlignment="1">
      <alignment horizontal="center" vertical="center"/>
    </xf>
    <xf numFmtId="14" fontId="0" fillId="0" borderId="0" xfId="0" applyNumberFormat="1"/>
    <xf numFmtId="0" fontId="2" fillId="0" borderId="0" xfId="1" applyFill="1" applyAlignment="1">
      <alignment vertical="center" wrapText="1"/>
    </xf>
    <xf numFmtId="14" fontId="7" fillId="0" borderId="9" xfId="7" applyNumberFormat="1" applyFont="1" applyFill="1" applyBorder="1" applyAlignment="1">
      <alignment horizontal="center" vertical="center"/>
    </xf>
    <xf numFmtId="2" fontId="0" fillId="0" borderId="0" xfId="0" applyNumberFormat="1"/>
    <xf numFmtId="2" fontId="7" fillId="0" borderId="0" xfId="7" applyNumberFormat="1" applyFont="1" applyFill="1" applyBorder="1" applyAlignment="1">
      <alignment horizontal="center" vertical="center"/>
    </xf>
    <xf numFmtId="0" fontId="4" fillId="4" borderId="21" xfId="6" applyFill="1" applyBorder="1"/>
    <xf numFmtId="2" fontId="4" fillId="4" borderId="23" xfId="6" applyNumberFormat="1" applyFill="1" applyBorder="1"/>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7" fillId="0" borderId="0" xfId="7" applyFont="1" applyFill="1" applyBorder="1" applyAlignment="1">
      <alignment vertical="center" wrapText="1"/>
    </xf>
    <xf numFmtId="0" fontId="0" fillId="0" borderId="9" xfId="0" applyBorder="1"/>
    <xf numFmtId="14" fontId="0" fillId="0" borderId="9" xfId="0" applyNumberFormat="1" applyBorder="1"/>
    <xf numFmtId="0" fontId="0" fillId="15" borderId="6" xfId="0" applyFill="1" applyBorder="1"/>
    <xf numFmtId="14" fontId="1" fillId="4" borderId="32" xfId="3" applyNumberFormat="1" applyBorder="1"/>
    <xf numFmtId="0" fontId="0" fillId="4" borderId="32" xfId="3" applyFont="1" applyBorder="1"/>
    <xf numFmtId="0" fontId="7" fillId="0" borderId="0" xfId="7" applyFont="1" applyFill="1" applyBorder="1" applyAlignment="1">
      <alignment vertical="center"/>
    </xf>
    <xf numFmtId="0" fontId="0" fillId="0" borderId="0" xfId="3" applyFont="1" applyFill="1"/>
    <xf numFmtId="0" fontId="9" fillId="0" borderId="26" xfId="10" applyBorder="1"/>
    <xf numFmtId="0" fontId="1" fillId="5" borderId="4" xfId="4" applyBorder="1"/>
    <xf numFmtId="0" fontId="1" fillId="5" borderId="0" xfId="4"/>
    <xf numFmtId="0" fontId="1" fillId="5" borderId="5" xfId="4" applyBorder="1"/>
    <xf numFmtId="0" fontId="1" fillId="5" borderId="6" xfId="4" applyBorder="1"/>
    <xf numFmtId="0" fontId="1" fillId="5" borderId="7" xfId="4" applyBorder="1"/>
    <xf numFmtId="0" fontId="0" fillId="5" borderId="0" xfId="4" applyFont="1" applyAlignment="1" applyProtection="1">
      <alignment horizontal="center"/>
      <protection locked="0"/>
    </xf>
    <xf numFmtId="14" fontId="1" fillId="4" borderId="0" xfId="3" applyNumberFormat="1"/>
    <xf numFmtId="0" fontId="1" fillId="4" borderId="32" xfId="3" applyBorder="1"/>
    <xf numFmtId="0" fontId="1" fillId="4" borderId="4" xfId="3" applyBorder="1" applyAlignment="1">
      <alignment horizontal="center"/>
    </xf>
    <xf numFmtId="0" fontId="1" fillId="4" borderId="0" xfId="3" applyAlignment="1">
      <alignment horizontal="center"/>
    </xf>
    <xf numFmtId="0" fontId="1" fillId="4" borderId="5" xfId="3" applyBorder="1" applyAlignment="1">
      <alignment horizontal="center"/>
    </xf>
    <xf numFmtId="0" fontId="1" fillId="4" borderId="6" xfId="3" applyBorder="1" applyAlignment="1">
      <alignment horizontal="center"/>
    </xf>
    <xf numFmtId="0" fontId="1" fillId="4" borderId="32" xfId="3" applyBorder="1" applyAlignment="1">
      <alignment horizontal="center"/>
    </xf>
    <xf numFmtId="0" fontId="9" fillId="9" borderId="9" xfId="10" applyFill="1" applyBorder="1"/>
    <xf numFmtId="0" fontId="0" fillId="4" borderId="4" xfId="3" applyFont="1" applyBorder="1" applyAlignment="1">
      <alignment horizontal="center"/>
    </xf>
    <xf numFmtId="0" fontId="0" fillId="4" borderId="0" xfId="3" applyFont="1" applyAlignment="1">
      <alignment horizontal="center"/>
    </xf>
    <xf numFmtId="0" fontId="0" fillId="7" borderId="5" xfId="5" applyFont="1" applyBorder="1" applyProtection="1">
      <protection locked="0"/>
    </xf>
    <xf numFmtId="0" fontId="9" fillId="0" borderId="25" xfId="10" applyBorder="1"/>
    <xf numFmtId="0" fontId="0" fillId="15" borderId="4" xfId="0" applyFill="1" applyBorder="1"/>
    <xf numFmtId="0" fontId="2" fillId="0" borderId="0" xfId="1" applyFill="1" applyAlignment="1">
      <alignment vertical="center"/>
    </xf>
    <xf numFmtId="0" fontId="9" fillId="0" borderId="0" xfId="10" applyBorder="1"/>
    <xf numFmtId="0" fontId="9" fillId="9" borderId="27" xfId="10" applyFill="1" applyBorder="1"/>
    <xf numFmtId="0" fontId="10" fillId="0" borderId="0" xfId="11" applyFill="1" applyBorder="1" applyAlignment="1">
      <alignment vertical="center"/>
    </xf>
    <xf numFmtId="0" fontId="9" fillId="9" borderId="26" xfId="10" applyFill="1" applyBorder="1"/>
    <xf numFmtId="49" fontId="1" fillId="4" borderId="0" xfId="3" applyNumberFormat="1" applyAlignment="1">
      <alignment horizontal="center"/>
    </xf>
    <xf numFmtId="49" fontId="1" fillId="4" borderId="0" xfId="3" applyNumberFormat="1"/>
    <xf numFmtId="49" fontId="1" fillId="4" borderId="32" xfId="3" applyNumberFormat="1" applyBorder="1"/>
    <xf numFmtId="49" fontId="0" fillId="4" borderId="0" xfId="3" applyNumberFormat="1" applyFont="1" applyAlignment="1">
      <alignment horizontal="center"/>
    </xf>
    <xf numFmtId="0" fontId="4" fillId="4" borderId="22" xfId="6" applyFill="1" applyBorder="1"/>
    <xf numFmtId="0" fontId="4" fillId="9" borderId="22" xfId="6" applyFill="1" applyBorder="1"/>
    <xf numFmtId="0" fontId="4"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2" fillId="0" borderId="0" xfId="0" applyFont="1" applyAlignment="1">
      <alignment wrapText="1"/>
    </xf>
    <xf numFmtId="0" fontId="13" fillId="0" borderId="0" xfId="0" applyFont="1" applyAlignment="1">
      <alignment wrapText="1"/>
    </xf>
    <xf numFmtId="2" fontId="1" fillId="4" borderId="0" xfId="3" applyNumberFormat="1"/>
    <xf numFmtId="0" fontId="2" fillId="0" borderId="0" xfId="1" applyFill="1" applyAlignment="1">
      <alignment horizontal="center" vertical="center"/>
    </xf>
    <xf numFmtId="0" fontId="2" fillId="0" borderId="0" xfId="1" applyFill="1" applyAlignment="1">
      <alignment horizontal="left" vertical="center"/>
    </xf>
    <xf numFmtId="0" fontId="7" fillId="9" borderId="2" xfId="7" applyFont="1" applyBorder="1" applyAlignment="1">
      <alignment vertical="center"/>
    </xf>
    <xf numFmtId="0" fontId="7" fillId="9" borderId="10" xfId="7" applyFont="1" applyBorder="1" applyAlignment="1">
      <alignment vertical="center"/>
    </xf>
    <xf numFmtId="0" fontId="7" fillId="9" borderId="3" xfId="7" applyFont="1" applyBorder="1" applyAlignment="1">
      <alignment vertical="center"/>
    </xf>
    <xf numFmtId="0" fontId="7" fillId="9" borderId="4" xfId="7" applyFont="1" applyBorder="1" applyAlignment="1">
      <alignment vertical="center"/>
    </xf>
    <xf numFmtId="0" fontId="7" fillId="9" borderId="0" xfId="7" applyFont="1" applyBorder="1" applyAlignment="1">
      <alignment vertical="center"/>
    </xf>
    <xf numFmtId="0" fontId="7" fillId="9" borderId="5" xfId="7" applyFont="1" applyBorder="1" applyAlignment="1">
      <alignment vertical="center"/>
    </xf>
    <xf numFmtId="0" fontId="7" fillId="9" borderId="6" xfId="7" applyFont="1" applyBorder="1" applyAlignment="1">
      <alignment vertical="center"/>
    </xf>
    <xf numFmtId="0" fontId="7" fillId="9" borderId="32" xfId="7" applyFont="1" applyBorder="1" applyAlignment="1">
      <alignment vertical="center"/>
    </xf>
    <xf numFmtId="0" fontId="7" fillId="9" borderId="7" xfId="7" applyFont="1" applyBorder="1" applyAlignment="1">
      <alignment vertical="center"/>
    </xf>
    <xf numFmtId="2" fontId="1" fillId="0" borderId="0" xfId="4" applyNumberFormat="1" applyFill="1" applyAlignment="1" applyProtection="1">
      <alignment horizontal="center"/>
      <protection locked="0"/>
    </xf>
    <xf numFmtId="2" fontId="1" fillId="9" borderId="0" xfId="7" applyNumberFormat="1" applyBorder="1" applyAlignment="1" applyProtection="1">
      <alignment horizontal="center"/>
      <protection locked="0"/>
    </xf>
    <xf numFmtId="2" fontId="1" fillId="9" borderId="10" xfId="7" applyNumberFormat="1" applyBorder="1" applyAlignment="1" applyProtection="1">
      <alignment horizontal="center"/>
      <protection locked="0"/>
    </xf>
    <xf numFmtId="2" fontId="1" fillId="9" borderId="32" xfId="7" applyNumberFormat="1" applyBorder="1" applyAlignment="1" applyProtection="1">
      <alignment horizontal="center"/>
      <protection locked="0"/>
    </xf>
    <xf numFmtId="0" fontId="0" fillId="0" borderId="0" xfId="4" applyFont="1" applyFill="1"/>
    <xf numFmtId="0" fontId="0" fillId="9" borderId="9" xfId="7" applyFont="1" applyBorder="1"/>
    <xf numFmtId="0" fontId="4" fillId="4" borderId="35" xfId="6" applyFill="1" applyBorder="1"/>
    <xf numFmtId="2" fontId="4" fillId="4" borderId="35" xfId="6" applyNumberFormat="1" applyFill="1" applyBorder="1"/>
    <xf numFmtId="0" fontId="7" fillId="0" borderId="32" xfId="7" applyFont="1" applyFill="1" applyBorder="1" applyAlignment="1">
      <alignment vertical="center" wrapText="1"/>
    </xf>
    <xf numFmtId="0" fontId="0" fillId="0" borderId="0" xfId="0" applyAlignment="1">
      <alignment horizontal="right"/>
    </xf>
    <xf numFmtId="0" fontId="4" fillId="0" borderId="36" xfId="0" applyFont="1" applyBorder="1"/>
    <xf numFmtId="0" fontId="4" fillId="8" borderId="36" xfId="6" applyFill="1" applyBorder="1"/>
    <xf numFmtId="0" fontId="4" fillId="8" borderId="9" xfId="12" applyFont="1" applyBorder="1"/>
    <xf numFmtId="0" fontId="1" fillId="8" borderId="19" xfId="12" applyBorder="1"/>
    <xf numFmtId="0" fontId="1" fillId="8" borderId="20" xfId="12" applyBorder="1"/>
    <xf numFmtId="2" fontId="1" fillId="4" borderId="32" xfId="3" applyNumberFormat="1" applyBorder="1"/>
    <xf numFmtId="0" fontId="0" fillId="13" borderId="19" xfId="0" applyFill="1" applyBorder="1"/>
    <xf numFmtId="0" fontId="0" fillId="13" borderId="20" xfId="0" applyFill="1" applyBorder="1"/>
    <xf numFmtId="0" fontId="5" fillId="2" borderId="0" xfId="1" applyFont="1" applyAlignment="1">
      <alignment horizontal="left" wrapText="1"/>
    </xf>
    <xf numFmtId="0" fontId="4" fillId="3" borderId="1" xfId="6" applyFill="1" applyProtection="1">
      <protection locked="0"/>
    </xf>
    <xf numFmtId="14" fontId="4" fillId="3" borderId="1" xfId="6" applyNumberFormat="1" applyFill="1" applyProtection="1">
      <protection locked="0"/>
    </xf>
    <xf numFmtId="0" fontId="4" fillId="3" borderId="1" xfId="6" applyFill="1"/>
    <xf numFmtId="0" fontId="1" fillId="3" borderId="0" xfId="2"/>
    <xf numFmtId="0" fontId="1" fillId="3" borderId="5" xfId="2" applyBorder="1"/>
    <xf numFmtId="0" fontId="1" fillId="3" borderId="32" xfId="2" applyBorder="1" applyProtection="1">
      <protection locked="0"/>
    </xf>
    <xf numFmtId="0" fontId="1" fillId="3" borderId="32" xfId="2" applyBorder="1"/>
    <xf numFmtId="0" fontId="1" fillId="3" borderId="7" xfId="2" applyBorder="1"/>
    <xf numFmtId="0" fontId="0" fillId="0" borderId="0" xfId="0" quotePrefix="1"/>
    <xf numFmtId="0" fontId="4" fillId="8" borderId="35" xfId="6" applyFill="1" applyBorder="1"/>
    <xf numFmtId="0" fontId="1" fillId="7" borderId="19" xfId="5" quotePrefix="1" applyBorder="1" applyProtection="1">
      <protection locked="0"/>
    </xf>
    <xf numFmtId="0" fontId="1" fillId="7" borderId="19" xfId="5" applyBorder="1" applyProtection="1">
      <protection locked="0"/>
    </xf>
    <xf numFmtId="0" fontId="1" fillId="7" borderId="20" xfId="5" applyBorder="1" applyProtection="1">
      <protection locked="0"/>
    </xf>
    <xf numFmtId="0" fontId="4" fillId="4" borderId="1" xfId="6" applyFill="1"/>
    <xf numFmtId="14" fontId="4" fillId="4" borderId="1" xfId="6" applyNumberFormat="1" applyFill="1"/>
    <xf numFmtId="0" fontId="4" fillId="8" borderId="37" xfId="6" applyFill="1" applyBorder="1"/>
    <xf numFmtId="0" fontId="4" fillId="3" borderId="38" xfId="6" applyFill="1" applyBorder="1"/>
    <xf numFmtId="0" fontId="5" fillId="2" borderId="9" xfId="1" applyFont="1" applyBorder="1" applyAlignment="1">
      <alignment horizontal="center"/>
    </xf>
    <xf numFmtId="0" fontId="5" fillId="2" borderId="26" xfId="1" applyFont="1" applyBorder="1" applyAlignment="1">
      <alignment horizontal="center"/>
    </xf>
    <xf numFmtId="0" fontId="5" fillId="2" borderId="27" xfId="1" applyFont="1" applyBorder="1" applyAlignment="1">
      <alignment horizontal="center"/>
    </xf>
    <xf numFmtId="0" fontId="2" fillId="2" borderId="10" xfId="1" applyBorder="1" applyAlignment="1">
      <alignment horizontal="center" vertical="top"/>
    </xf>
    <xf numFmtId="0" fontId="2" fillId="2" borderId="3" xfId="1" applyBorder="1" applyAlignment="1">
      <alignment horizontal="center" vertical="top"/>
    </xf>
    <xf numFmtId="0" fontId="2" fillId="2" borderId="4" xfId="1" applyBorder="1" applyAlignment="1">
      <alignment horizontal="center" vertical="top"/>
    </xf>
    <xf numFmtId="0" fontId="2" fillId="2" borderId="0" xfId="1" applyAlignment="1">
      <alignment horizontal="center" vertical="top"/>
    </xf>
    <xf numFmtId="0" fontId="2" fillId="2" borderId="5" xfId="1" applyBorder="1" applyAlignment="1">
      <alignment horizontal="center" vertical="top"/>
    </xf>
    <xf numFmtId="0" fontId="2" fillId="2" borderId="6" xfId="1" applyBorder="1" applyAlignment="1">
      <alignment horizontal="center" vertical="top"/>
    </xf>
    <xf numFmtId="0" fontId="2" fillId="2" borderId="32" xfId="1" applyBorder="1" applyAlignment="1">
      <alignment horizontal="center" vertical="top"/>
    </xf>
    <xf numFmtId="0" fontId="2" fillId="2" borderId="7" xfId="1" applyBorder="1" applyAlignment="1">
      <alignment horizontal="center" vertical="top"/>
    </xf>
    <xf numFmtId="0" fontId="2" fillId="2" borderId="2" xfId="1" applyBorder="1" applyAlignment="1">
      <alignment horizontal="left" vertical="top"/>
    </xf>
    <xf numFmtId="2" fontId="0" fillId="4" borderId="0" xfId="3" applyNumberFormat="1" applyFont="1"/>
    <xf numFmtId="0" fontId="1" fillId="4" borderId="25" xfId="3" applyBorder="1"/>
    <xf numFmtId="0" fontId="1" fillId="4" borderId="26" xfId="3" applyBorder="1"/>
    <xf numFmtId="0" fontId="1" fillId="4" borderId="4" xfId="3" applyBorder="1"/>
    <xf numFmtId="14" fontId="1" fillId="4" borderId="0" xfId="3" applyNumberFormat="1" applyAlignment="1">
      <alignment horizontal="center"/>
    </xf>
    <xf numFmtId="0" fontId="1" fillId="4" borderId="6" xfId="3" applyBorder="1"/>
    <xf numFmtId="0" fontId="1" fillId="4" borderId="11" xfId="3" applyBorder="1" applyAlignment="1">
      <alignment horizontal="center"/>
    </xf>
    <xf numFmtId="0" fontId="5" fillId="2" borderId="25" xfId="1" applyFont="1" applyBorder="1" applyAlignment="1">
      <alignment horizontal="left"/>
    </xf>
    <xf numFmtId="0" fontId="4" fillId="13" borderId="35" xfId="6" applyFill="1" applyBorder="1"/>
    <xf numFmtId="0" fontId="4" fillId="15" borderId="39" xfId="6" applyFill="1" applyBorder="1"/>
    <xf numFmtId="2" fontId="1" fillId="4" borderId="5" xfId="3" applyNumberFormat="1" applyBorder="1" applyAlignment="1" applyProtection="1">
      <alignment horizontal="center"/>
      <protection locked="0"/>
    </xf>
    <xf numFmtId="2" fontId="1" fillId="4" borderId="7" xfId="3" applyNumberFormat="1" applyBorder="1" applyAlignment="1" applyProtection="1">
      <alignment horizontal="center"/>
      <protection locked="0"/>
    </xf>
    <xf numFmtId="2" fontId="1" fillId="4" borderId="19" xfId="3" applyNumberFormat="1" applyBorder="1" applyAlignment="1" applyProtection="1">
      <alignment horizontal="center"/>
      <protection locked="0"/>
    </xf>
    <xf numFmtId="0" fontId="1" fillId="4" borderId="40" xfId="3" applyBorder="1"/>
    <xf numFmtId="0" fontId="0" fillId="4" borderId="19" xfId="3" applyFont="1" applyBorder="1"/>
    <xf numFmtId="0" fontId="0" fillId="4" borderId="19" xfId="3" quotePrefix="1" applyFont="1" applyBorder="1"/>
    <xf numFmtId="0" fontId="2" fillId="2" borderId="25" xfId="1" applyBorder="1" applyAlignment="1">
      <alignment horizontal="center" wrapText="1"/>
    </xf>
    <xf numFmtId="0" fontId="2" fillId="2" borderId="27" xfId="1" applyBorder="1" applyAlignment="1">
      <alignment horizontal="center" wrapText="1"/>
    </xf>
    <xf numFmtId="0" fontId="4" fillId="4" borderId="3" xfId="6" applyFill="1" applyBorder="1"/>
    <xf numFmtId="0" fontId="1" fillId="5" borderId="32" xfId="4" applyBorder="1"/>
    <xf numFmtId="0" fontId="4" fillId="4" borderId="2" xfId="6" applyFill="1" applyBorder="1"/>
    <xf numFmtId="0" fontId="4" fillId="4" borderId="10" xfId="6" applyFill="1" applyBorder="1"/>
    <xf numFmtId="0" fontId="14" fillId="0" borderId="0" xfId="14"/>
    <xf numFmtId="0" fontId="0" fillId="7" borderId="5" xfId="5" applyFont="1" applyBorder="1"/>
    <xf numFmtId="0" fontId="0" fillId="7" borderId="5" xfId="5" applyFont="1" applyBorder="1" applyAlignment="1" applyProtection="1">
      <alignment wrapText="1"/>
      <protection locked="0"/>
    </xf>
    <xf numFmtId="0" fontId="1" fillId="7" borderId="5" xfId="5" applyBorder="1" applyAlignment="1" applyProtection="1">
      <alignment wrapText="1"/>
      <protection locked="0"/>
    </xf>
    <xf numFmtId="0" fontId="0" fillId="0" borderId="19" xfId="0" applyBorder="1" applyAlignment="1">
      <alignment horizontal="center" vertical="center"/>
    </xf>
    <xf numFmtId="0" fontId="1" fillId="7" borderId="9" xfId="5" applyBorder="1" applyAlignment="1">
      <alignment horizontal="center"/>
    </xf>
    <xf numFmtId="0" fontId="4"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2" fillId="2" borderId="0" xfId="1" applyAlignment="1">
      <alignment horizontal="center" vertical="top"/>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xf numFmtId="0" fontId="7" fillId="9" borderId="2" xfId="7" applyFont="1" applyBorder="1" applyAlignment="1">
      <alignment horizontal="center" vertical="center" wrapText="1"/>
    </xf>
    <xf numFmtId="0" fontId="7" fillId="9" borderId="10" xfId="7" applyFont="1" applyBorder="1" applyAlignment="1">
      <alignment horizontal="center" vertical="center" wrapText="1"/>
    </xf>
    <xf numFmtId="0" fontId="7" fillId="9" borderId="3" xfId="7" applyFont="1" applyBorder="1" applyAlignment="1">
      <alignment horizontal="center" vertical="center" wrapText="1"/>
    </xf>
    <xf numFmtId="0" fontId="7" fillId="9" borderId="4" xfId="7" applyFont="1" applyBorder="1" applyAlignment="1">
      <alignment horizontal="center" vertical="center" wrapText="1"/>
    </xf>
    <xf numFmtId="0" fontId="7" fillId="9" borderId="0" xfId="7" applyFont="1" applyBorder="1" applyAlignment="1">
      <alignment horizontal="center" vertical="center" wrapText="1"/>
    </xf>
    <xf numFmtId="0" fontId="7" fillId="9" borderId="5" xfId="7" applyFont="1" applyBorder="1" applyAlignment="1">
      <alignment horizontal="center" vertical="center" wrapText="1"/>
    </xf>
    <xf numFmtId="0" fontId="7" fillId="9" borderId="6" xfId="7" applyFont="1" applyBorder="1" applyAlignment="1">
      <alignment horizontal="center" vertical="center" wrapText="1"/>
    </xf>
    <xf numFmtId="0" fontId="7" fillId="9" borderId="32" xfId="7" applyFont="1" applyBorder="1" applyAlignment="1">
      <alignment horizontal="center" vertical="center" wrapText="1"/>
    </xf>
    <xf numFmtId="0" fontId="7" fillId="9" borderId="7" xfId="7" applyFont="1" applyBorder="1" applyAlignment="1">
      <alignment horizontal="center" vertical="center" wrapText="1"/>
    </xf>
    <xf numFmtId="0" fontId="7" fillId="9" borderId="2" xfId="7" applyFont="1" applyBorder="1" applyAlignment="1">
      <alignment horizontal="center" vertical="center"/>
    </xf>
    <xf numFmtId="0" fontId="7" fillId="9" borderId="10" xfId="7" applyFont="1" applyBorder="1" applyAlignment="1">
      <alignment horizontal="center" vertical="center"/>
    </xf>
    <xf numFmtId="0" fontId="7" fillId="9" borderId="3" xfId="7" applyFont="1" applyBorder="1" applyAlignment="1">
      <alignment horizontal="center" vertical="center"/>
    </xf>
    <xf numFmtId="0" fontId="7" fillId="9" borderId="6" xfId="7" applyFont="1" applyBorder="1" applyAlignment="1">
      <alignment horizontal="center" vertical="center"/>
    </xf>
    <xf numFmtId="0" fontId="7" fillId="9" borderId="32" xfId="7" applyFont="1" applyBorder="1" applyAlignment="1">
      <alignment horizontal="center" vertical="center"/>
    </xf>
    <xf numFmtId="0" fontId="7" fillId="9" borderId="7" xfId="7" applyFont="1" applyBorder="1" applyAlignment="1">
      <alignment horizontal="center" vertical="center"/>
    </xf>
    <xf numFmtId="0" fontId="5" fillId="2" borderId="0" xfId="1" applyFont="1" applyAlignment="1">
      <alignment horizontal="center" vertical="top" wrapText="1"/>
    </xf>
    <xf numFmtId="0" fontId="2" fillId="2" borderId="0" xfId="1" applyAlignment="1">
      <alignment horizontal="center" vertical="top" wrapText="1"/>
    </xf>
    <xf numFmtId="0" fontId="0" fillId="9" borderId="32" xfId="7" applyFont="1" applyBorder="1" applyAlignment="1">
      <alignment horizontal="center" vertical="center" wrapText="1"/>
    </xf>
    <xf numFmtId="0" fontId="5" fillId="2" borderId="0" xfId="1" applyFont="1" applyAlignment="1">
      <alignment horizontal="left"/>
    </xf>
    <xf numFmtId="0" fontId="5" fillId="2" borderId="0" xfId="1" applyFont="1" applyAlignment="1">
      <alignment horizontal="left" vertical="center" wrapText="1"/>
    </xf>
    <xf numFmtId="0" fontId="7" fillId="9" borderId="11" xfId="7" applyFont="1" applyBorder="1" applyAlignment="1">
      <alignment horizontal="center" vertical="center"/>
    </xf>
    <xf numFmtId="0" fontId="7" fillId="9" borderId="13" xfId="7" applyFont="1" applyBorder="1" applyAlignment="1">
      <alignment horizontal="center" vertical="center"/>
    </xf>
    <xf numFmtId="0" fontId="7" fillId="9" borderId="12" xfId="7" applyFont="1" applyBorder="1" applyAlignment="1">
      <alignment horizontal="center" vertical="center"/>
    </xf>
    <xf numFmtId="0" fontId="7" fillId="9" borderId="14" xfId="7" applyFont="1" applyBorder="1" applyAlignment="1">
      <alignment horizontal="center" vertical="center"/>
    </xf>
    <xf numFmtId="0" fontId="7" fillId="9" borderId="15" xfId="7" applyFont="1" applyBorder="1" applyAlignment="1">
      <alignment horizontal="center" vertical="center"/>
    </xf>
    <xf numFmtId="0" fontId="7" fillId="9" borderId="16" xfId="7" applyFont="1" applyBorder="1" applyAlignment="1">
      <alignment horizontal="center" vertical="center"/>
    </xf>
    <xf numFmtId="0" fontId="7"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18" xfId="1" applyBorder="1" applyAlignment="1">
      <alignment horizontal="center" vertical="top" wrapText="1"/>
    </xf>
    <xf numFmtId="0" fontId="2" fillId="2" borderId="19" xfId="1" applyBorder="1" applyAlignment="1">
      <alignment horizontal="center" vertical="top" wrapText="1"/>
    </xf>
    <xf numFmtId="0" fontId="2" fillId="2" borderId="20" xfId="1" applyBorder="1" applyAlignment="1">
      <alignment horizontal="center" vertical="top" wrapText="1"/>
    </xf>
    <xf numFmtId="0" fontId="2" fillId="2" borderId="28" xfId="1" applyBorder="1" applyAlignment="1">
      <alignment horizontal="center" vertical="center"/>
    </xf>
    <xf numFmtId="0" fontId="2" fillId="2" borderId="2" xfId="1" applyBorder="1" applyAlignment="1">
      <alignment horizontal="left" vertical="top"/>
    </xf>
    <xf numFmtId="0" fontId="2" fillId="2" borderId="10" xfId="1" applyBorder="1" applyAlignment="1">
      <alignment horizontal="left" vertical="top"/>
    </xf>
    <xf numFmtId="0" fontId="2" fillId="2" borderId="3" xfId="1" applyBorder="1" applyAlignment="1">
      <alignment horizontal="left" vertical="top"/>
    </xf>
    <xf numFmtId="0" fontId="2" fillId="2" borderId="4" xfId="1" applyBorder="1" applyAlignment="1">
      <alignment horizontal="left" vertical="top"/>
    </xf>
    <xf numFmtId="0" fontId="2" fillId="2" borderId="0" xfId="1" applyAlignment="1">
      <alignment horizontal="left" vertical="top"/>
    </xf>
    <xf numFmtId="0" fontId="2" fillId="2" borderId="5" xfId="1" applyBorder="1" applyAlignment="1">
      <alignment horizontal="left" vertical="top"/>
    </xf>
    <xf numFmtId="0" fontId="2" fillId="2" borderId="6" xfId="1" applyBorder="1" applyAlignment="1">
      <alignment horizontal="left" vertical="top"/>
    </xf>
    <xf numFmtId="0" fontId="2" fillId="2" borderId="32" xfId="1" applyBorder="1" applyAlignment="1">
      <alignment horizontal="left" vertical="top"/>
    </xf>
    <xf numFmtId="0" fontId="2" fillId="2" borderId="7" xfId="1" applyBorder="1" applyAlignment="1">
      <alignment horizontal="left" vertical="top"/>
    </xf>
    <xf numFmtId="0" fontId="5" fillId="2" borderId="2" xfId="1" applyFont="1" applyBorder="1" applyAlignment="1">
      <alignment horizontal="left" vertical="center"/>
    </xf>
    <xf numFmtId="0" fontId="5" fillId="2" borderId="10" xfId="1" applyFont="1" applyBorder="1" applyAlignment="1">
      <alignment horizontal="left" vertical="center"/>
    </xf>
    <xf numFmtId="0" fontId="5" fillId="2" borderId="3" xfId="1" applyFont="1" applyBorder="1" applyAlignment="1">
      <alignment horizontal="left" vertical="center"/>
    </xf>
    <xf numFmtId="0" fontId="0" fillId="0" borderId="6" xfId="0" applyBorder="1" applyAlignment="1">
      <alignment horizontal="left" vertical="center"/>
    </xf>
    <xf numFmtId="0" fontId="0" fillId="0" borderId="32" xfId="0" applyBorder="1" applyAlignment="1">
      <alignment horizontal="left" vertical="center"/>
    </xf>
    <xf numFmtId="0" fontId="0" fillId="0" borderId="7" xfId="0" applyBorder="1" applyAlignment="1">
      <alignment horizontal="left" vertical="center"/>
    </xf>
    <xf numFmtId="0" fontId="0" fillId="0" borderId="4" xfId="0" applyBorder="1" applyAlignment="1">
      <alignment horizontal="center" vertical="center"/>
    </xf>
    <xf numFmtId="0" fontId="5" fillId="2" borderId="25" xfId="1" applyFont="1" applyBorder="1" applyAlignment="1">
      <alignment horizontal="left" vertical="center"/>
    </xf>
    <xf numFmtId="0" fontId="5" fillId="2" borderId="27" xfId="1" applyFont="1" applyBorder="1" applyAlignment="1">
      <alignment horizontal="left" vertical="center"/>
    </xf>
    <xf numFmtId="0" fontId="7" fillId="9" borderId="25" xfId="7" applyFont="1" applyBorder="1" applyAlignment="1">
      <alignment horizontal="center" vertical="center"/>
    </xf>
    <xf numFmtId="0" fontId="7" fillId="9" borderId="26" xfId="7" applyFont="1" applyBorder="1" applyAlignment="1">
      <alignment horizontal="center" vertical="center"/>
    </xf>
    <xf numFmtId="0" fontId="7" fillId="9" borderId="27" xfId="7" applyFont="1" applyBorder="1" applyAlignment="1">
      <alignment horizontal="center" vertical="center"/>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4" xfId="1" applyBorder="1" applyAlignment="1">
      <alignment horizontal="left" vertical="center"/>
    </xf>
    <xf numFmtId="0" fontId="2" fillId="2" borderId="0" xfId="1" applyAlignment="1">
      <alignment horizontal="left" vertical="center"/>
    </xf>
    <xf numFmtId="0" fontId="2" fillId="2" borderId="5" xfId="1" applyBorder="1" applyAlignment="1">
      <alignment horizontal="left" vertical="center"/>
    </xf>
    <xf numFmtId="0" fontId="2" fillId="2" borderId="6" xfId="1" applyBorder="1" applyAlignment="1">
      <alignment horizontal="left" vertical="center"/>
    </xf>
    <xf numFmtId="0" fontId="2" fillId="2" borderId="32" xfId="1" applyBorder="1" applyAlignment="1">
      <alignment horizontal="left" vertical="center"/>
    </xf>
    <xf numFmtId="0" fontId="2" fillId="2" borderId="7" xfId="1" applyBorder="1" applyAlignment="1">
      <alignment horizontal="left" vertical="center"/>
    </xf>
    <xf numFmtId="0" fontId="7" fillId="9" borderId="13" xfId="7" applyFont="1" applyBorder="1" applyAlignment="1">
      <alignment horizontal="center" vertical="center" wrapText="1"/>
    </xf>
    <xf numFmtId="0" fontId="7" fillId="9" borderId="12" xfId="7" applyFont="1" applyBorder="1" applyAlignment="1">
      <alignment horizontal="center" vertical="center" wrapText="1"/>
    </xf>
    <xf numFmtId="0" fontId="7" fillId="9" borderId="14" xfId="7" applyFont="1" applyBorder="1" applyAlignment="1">
      <alignment horizontal="center" vertical="center" wrapText="1"/>
    </xf>
    <xf numFmtId="0" fontId="7" fillId="9" borderId="33" xfId="7" applyFont="1" applyBorder="1" applyAlignment="1">
      <alignment horizontal="center" vertical="center" wrapText="1"/>
    </xf>
    <xf numFmtId="0" fontId="7" fillId="9" borderId="34" xfId="7" applyFont="1" applyBorder="1" applyAlignment="1">
      <alignment horizontal="center" vertical="center" wrapText="1"/>
    </xf>
    <xf numFmtId="0" fontId="7" fillId="9" borderId="15" xfId="7" applyFont="1" applyBorder="1" applyAlignment="1">
      <alignment horizontal="center" vertical="center" wrapText="1"/>
    </xf>
    <xf numFmtId="0" fontId="7" fillId="9" borderId="16" xfId="7" applyFont="1" applyBorder="1" applyAlignment="1">
      <alignment horizontal="center" vertical="center" wrapText="1"/>
    </xf>
    <xf numFmtId="0" fontId="7" fillId="9" borderId="17" xfId="7" applyFont="1" applyBorder="1" applyAlignment="1">
      <alignment horizontal="center" vertical="center" wrapText="1"/>
    </xf>
    <xf numFmtId="0" fontId="0" fillId="0" borderId="19"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7" fillId="9" borderId="25" xfId="7" applyFont="1" applyBorder="1" applyAlignment="1">
      <alignment horizontal="center" vertical="center" wrapText="1"/>
    </xf>
    <xf numFmtId="0" fontId="7" fillId="9" borderId="26" xfId="7" applyFont="1" applyBorder="1" applyAlignment="1">
      <alignment horizontal="center" vertical="center" wrapText="1"/>
    </xf>
    <xf numFmtId="0" fontId="7" fillId="9" borderId="27" xfId="7" applyFont="1" applyBorder="1" applyAlignment="1">
      <alignment horizontal="center" vertical="center" wrapText="1"/>
    </xf>
    <xf numFmtId="0" fontId="2" fillId="2" borderId="2" xfId="1" applyBorder="1" applyAlignment="1">
      <alignment horizontal="center" vertical="top" wrapText="1"/>
    </xf>
    <xf numFmtId="0" fontId="2" fillId="2" borderId="10" xfId="1" applyBorder="1" applyAlignment="1">
      <alignment horizontal="center" vertical="top" wrapText="1"/>
    </xf>
    <xf numFmtId="0" fontId="2" fillId="2" borderId="3" xfId="1" applyBorder="1" applyAlignment="1">
      <alignment horizontal="center" vertical="top" wrapText="1"/>
    </xf>
    <xf numFmtId="0" fontId="2" fillId="2" borderId="4" xfId="1" applyBorder="1" applyAlignment="1">
      <alignment horizontal="center" vertical="top" wrapText="1"/>
    </xf>
    <xf numFmtId="0" fontId="2" fillId="2" borderId="5" xfId="1" applyBorder="1" applyAlignment="1">
      <alignment horizontal="center" vertical="top" wrapText="1"/>
    </xf>
    <xf numFmtId="0" fontId="2" fillId="2" borderId="6" xfId="1" applyBorder="1" applyAlignment="1">
      <alignment horizontal="center" vertical="top" wrapText="1"/>
    </xf>
    <xf numFmtId="0" fontId="2" fillId="2" borderId="32" xfId="1" applyBorder="1" applyAlignment="1">
      <alignment horizontal="center" vertical="top" wrapText="1"/>
    </xf>
    <xf numFmtId="0" fontId="2" fillId="2" borderId="7" xfId="1" applyBorder="1" applyAlignment="1">
      <alignment horizontal="center" vertical="top"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14" fontId="10" fillId="14" borderId="28" xfId="11" applyNumberFormat="1" applyAlignment="1">
      <alignment horizontal="center" vertical="center" wrapText="1"/>
    </xf>
    <xf numFmtId="0" fontId="10" fillId="14" borderId="28" xfId="1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32" xfId="7" applyFont="1" applyBorder="1" applyAlignment="1">
      <alignment horizontal="center" vertical="center" wrapText="1"/>
    </xf>
    <xf numFmtId="0" fontId="2" fillId="9" borderId="7"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xf numFmtId="14" fontId="0" fillId="3" borderId="0" xfId="2" applyNumberFormat="1" applyFont="1" applyProtection="1">
      <protection locked="0"/>
    </xf>
    <xf numFmtId="2" fontId="0" fillId="4" borderId="5" xfId="3" applyNumberFormat="1" applyFont="1" applyBorder="1"/>
    <xf numFmtId="2" fontId="1" fillId="4" borderId="4" xfId="3" applyNumberFormat="1" applyBorder="1"/>
    <xf numFmtId="2" fontId="1" fillId="4" borderId="6" xfId="3" applyNumberFormat="1" applyBorder="1"/>
    <xf numFmtId="2" fontId="0" fillId="4" borderId="32" xfId="3" applyNumberFormat="1" applyFont="1" applyBorder="1"/>
    <xf numFmtId="2" fontId="0" fillId="4" borderId="7" xfId="3" applyNumberFormat="1" applyFont="1" applyBorder="1"/>
    <xf numFmtId="2" fontId="4" fillId="4" borderId="1" xfId="6" applyNumberFormat="1" applyFill="1"/>
    <xf numFmtId="0" fontId="4" fillId="13" borderId="9" xfId="0" applyFont="1" applyFill="1" applyBorder="1"/>
    <xf numFmtId="14" fontId="0" fillId="4" borderId="0" xfId="3" applyNumberFormat="1" applyFont="1"/>
    <xf numFmtId="14" fontId="0" fillId="4" borderId="32" xfId="3" applyNumberFormat="1" applyFont="1" applyBorder="1"/>
    <xf numFmtId="0" fontId="0" fillId="6" borderId="9" xfId="13" applyFont="1" applyFill="1" applyBorder="1"/>
    <xf numFmtId="0" fontId="14" fillId="0" borderId="19" xfId="14" applyBorder="1" applyAlignment="1">
      <alignment horizontal="center" vertical="center"/>
    </xf>
    <xf numFmtId="0" fontId="0" fillId="0" borderId="20" xfId="0" applyBorder="1" applyAlignment="1">
      <alignment horizontal="center" vertical="center"/>
    </xf>
    <xf numFmtId="0" fontId="0" fillId="13" borderId="19" xfId="0" applyFill="1" applyBorder="1" applyAlignment="1">
      <alignment horizontal="center" vertical="center"/>
    </xf>
    <xf numFmtId="0" fontId="0" fillId="13" borderId="20" xfId="0" applyFill="1" applyBorder="1" applyAlignment="1">
      <alignment horizontal="center" vertical="center"/>
    </xf>
    <xf numFmtId="0" fontId="0" fillId="7" borderId="21" xfId="5" applyFont="1" applyBorder="1"/>
    <xf numFmtId="0" fontId="0" fillId="7" borderId="23" xfId="5" applyFont="1" applyBorder="1"/>
    <xf numFmtId="0" fontId="0" fillId="4" borderId="6" xfId="3" applyFont="1" applyBorder="1"/>
    <xf numFmtId="169" fontId="1" fillId="4" borderId="0" xfId="3" applyNumberFormat="1"/>
    <xf numFmtId="169" fontId="1" fillId="4" borderId="32" xfId="3" applyNumberFormat="1" applyBorder="1"/>
    <xf numFmtId="14" fontId="0" fillId="0" borderId="0" xfId="0" applyNumberFormat="1" applyAlignment="1">
      <alignment horizontal="center" vertical="center"/>
    </xf>
    <xf numFmtId="14" fontId="0" fillId="0" borderId="0" xfId="0" applyNumberFormat="1" applyAlignment="1">
      <alignment horizontal="center" vertical="center"/>
    </xf>
    <xf numFmtId="14" fontId="2" fillId="0" borderId="0" xfId="1" applyNumberFormat="1" applyFill="1"/>
    <xf numFmtId="14" fontId="0" fillId="0" borderId="0" xfId="7" applyNumberFormat="1" applyFont="1" applyFill="1" applyBorder="1" applyAlignment="1">
      <alignment vertical="center"/>
    </xf>
    <xf numFmtId="2" fontId="0" fillId="4" borderId="19" xfId="3" applyNumberFormat="1" applyFont="1" applyBorder="1" applyAlignment="1" applyProtection="1">
      <alignment horizontal="center"/>
      <protection locked="0"/>
    </xf>
  </cellXfs>
  <cellStyles count="15">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Hyperlink" xfId="14" builtinId="8"/>
    <cellStyle name="Input" xfId="11" builtinId="20"/>
    <cellStyle name="Neutral" xfId="1" builtinId="28"/>
    <cellStyle name="Normal" xfId="0" builtinId="0"/>
    <cellStyle name="Note" xfId="7" builtinId="10"/>
    <cellStyle name="Total" xfId="6"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0ad54b90d3e54ea9b8e440a9742417c8">
      <tp>
        <v>-1</v>
        <stp/>
        <stp>371c335a-8089-437a-88e7-1c22371d331d</stp>
        <tr r="D21" s="1"/>
      </tp>
    </main>
    <main first="rtdsrv.0ad54b90d3e54ea9b8e440a9742417c8">
      <tp>
        <v>-1</v>
        <stp/>
        <stp>1a2108bc-4d22-4382-a066-a2f5a7d9711d</stp>
        <tr r="D26" s="1"/>
      </tp>
    </main>
    <main first="rtdsrv.0ad54b90d3e54ea9b8e440a9742417c8">
      <tp>
        <v>-1</v>
        <stp/>
        <stp>27b1f4d8-62df-41b8-bbc0-8fbe777d9d5c</stp>
        <tr r="D32" s="1"/>
      </tp>
    </main>
    <main first="rtdsrv.0ad54b90d3e54ea9b8e440a9742417c8">
      <tp>
        <v>-1</v>
        <stp/>
        <stp>37a549a5-9724-4399-87fb-dc8c1bea0316</stp>
        <tr r="D16" s="1"/>
      </tp>
    </main>
    <main first="rtdsrv.0ad54b90d3e54ea9b8e440a9742417c8">
      <tp>
        <v>-1</v>
        <stp/>
        <stp>7f206e6a-d438-4b8c-ac77-1b83d1e7e878</stp>
        <tr r="D24" s="1"/>
      </tp>
    </main>
    <main first="rtdsrv.0ad54b90d3e54ea9b8e440a9742417c8">
      <tp>
        <v>-1</v>
        <stp/>
        <stp>85fe26d6-256e-479e-836d-aaf2ac22e6a1</stp>
        <tr r="D17" s="1"/>
      </tp>
    </main>
    <main first="rtdsrv.0ad54b90d3e54ea9b8e440a9742417c8">
      <tp>
        <v>-1</v>
        <stp/>
        <stp>a22369a5-d411-4444-8940-498f6a5c9afa</stp>
        <tr r="D34" s="1"/>
      </tp>
    </main>
    <main first="rtdsrv.0ad54b90d3e54ea9b8e440a9742417c8">
      <tp>
        <v>-1</v>
        <stp/>
        <stp>36cda55f-5ddc-4e90-865c-11ed1a1866bf</stp>
        <tr r="D29" s="1"/>
      </tp>
      <tp>
        <v>-1</v>
        <stp/>
        <stp>e5ddd509-6e4d-4e87-ae0b-cd894246c291</stp>
        <tr r="D35" s="1"/>
      </tp>
    </main>
    <main first="rtdsrv.0ad54b90d3e54ea9b8e440a9742417c8">
      <tp>
        <v>-1</v>
        <stp/>
        <stp>deb7baa5-1ddf-4144-8ce7-2fa66ba3c40d</stp>
        <tr r="D20" s="1"/>
      </tp>
    </main>
    <main first="rtdsrv.0ad54b90d3e54ea9b8e440a9742417c8">
      <tp>
        <v>-1</v>
        <stp/>
        <stp>925a9961-7e36-42fb-9874-a8594bdffc3c</stp>
        <tr r="D19" s="1"/>
      </tp>
    </main>
    <main first="rtdsrv.0ad54b90d3e54ea9b8e440a9742417c8">
      <tp>
        <v>-1</v>
        <stp/>
        <stp>6d51eeb0-a1b5-4142-b553-92097c3ed866</stp>
        <tr r="D14" s="1"/>
      </tp>
    </main>
    <main first="rtdsrv.0ad54b90d3e54ea9b8e440a9742417c8">
      <tp>
        <v>-1</v>
        <stp/>
        <stp>a601775e-07ae-4fa7-9cc6-81beed16a969</stp>
        <tr r="D18" s="1"/>
      </tp>
    </main>
    <main first="rtdsrv.0ad54b90d3e54ea9b8e440a9742417c8">
      <tp>
        <v>-1</v>
        <stp/>
        <stp>c8ce74f8-4e27-4730-939b-1d9876eb0d63</stp>
        <tr r="D27" s="1"/>
      </tp>
    </main>
    <main first="rtdsrv.0ad54b90d3e54ea9b8e440a9742417c8">
      <tp>
        <v>-1</v>
        <stp/>
        <stp>8ea827f3-123f-4c12-be76-2ba3b49fa523</stp>
        <tr r="D28" s="1"/>
      </tp>
    </main>
    <main first="rtdsrv.0ad54b90d3e54ea9b8e440a9742417c8">
      <tp>
        <v>-1</v>
        <stp/>
        <stp>79ad6260-926a-4ef6-8b02-4e25a4cdba7d</stp>
        <tr r="D22" s="1"/>
      </tp>
      <tp>
        <v>-1</v>
        <stp/>
        <stp>a1af1bb2-545e-4322-a300-406b0e0ac288</stp>
        <tr r="D33" s="1"/>
      </tp>
    </main>
    <main first="rtdsrv.0ad54b90d3e54ea9b8e440a9742417c8">
      <tp>
        <v>-1</v>
        <stp/>
        <stp>bcb474c9-ec36-441e-94f0-e9857821c136</stp>
        <tr r="D15" s="1"/>
      </tp>
      <tp>
        <v>-1</v>
        <stp/>
        <stp>74787b4f-9db3-49ed-89a0-5ddb491ef6ba</stp>
        <tr r="D31" s="1"/>
      </tp>
      <tp>
        <v>-1</v>
        <stp/>
        <stp>96670139-2ec2-4f21-873e-bda70c8fc1d2</stp>
        <tr r="D30" s="1"/>
      </tp>
    </main>
    <main first="rtdsrv.0ad54b90d3e54ea9b8e440a9742417c8">
      <tp>
        <v>-1</v>
        <stp/>
        <stp>ac7ef5ec-efe3-4646-911a-e3e5720c3473</stp>
        <tr r="D23" s="1"/>
      </tp>
    </main>
    <main first="rtdsrv.0ad54b90d3e54ea9b8e440a9742417c8">
      <tp>
        <v>-1</v>
        <stp/>
        <stp>03ce6532-ba1d-49a8-bbca-a5bc4322e96c</stp>
        <tr r="D25"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3</xdr:col>
      <xdr:colOff>2314575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200025</xdr:colOff>
          <xdr:row>39</xdr:row>
          <xdr:rowOff>19050</xdr:rowOff>
        </xdr:from>
        <xdr:to>
          <xdr:col>9</xdr:col>
          <xdr:colOff>504825</xdr:colOff>
          <xdr:row>40</xdr:row>
          <xdr:rowOff>171450</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371475</xdr:colOff>
          <xdr:row>22</xdr:row>
          <xdr:rowOff>9525</xdr:rowOff>
        </xdr:from>
        <xdr:to>
          <xdr:col>16</xdr:col>
          <xdr:colOff>180975</xdr:colOff>
          <xdr:row>23</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638175</xdr:colOff>
          <xdr:row>26</xdr:row>
          <xdr:rowOff>85725</xdr:rowOff>
        </xdr:from>
        <xdr:to>
          <xdr:col>10</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1143000</xdr:colOff>
          <xdr:row>5</xdr:row>
          <xdr:rowOff>171450</xdr:rowOff>
        </xdr:from>
        <xdr:to>
          <xdr:col>13</xdr:col>
          <xdr:colOff>47625</xdr:colOff>
          <xdr:row>7</xdr:row>
          <xdr:rowOff>114300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8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4</xdr:col>
      <xdr:colOff>606457</xdr:colOff>
      <xdr:row>5</xdr:row>
      <xdr:rowOff>100635</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2</xdr:col>
      <xdr:colOff>74839</xdr:colOff>
      <xdr:row>1</xdr:row>
      <xdr:rowOff>142875</xdr:rowOff>
    </xdr:from>
    <xdr:ext cx="2465534" cy="744098"/>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4039" y="333375"/>
          <a:ext cx="2465534" cy="74409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9</xdr:col>
          <xdr:colOff>666750</xdr:colOff>
          <xdr:row>8</xdr:row>
          <xdr:rowOff>95250</xdr:rowOff>
        </xdr:from>
        <xdr:to>
          <xdr:col>11</xdr:col>
          <xdr:colOff>361950</xdr:colOff>
          <xdr:row>10</xdr:row>
          <xdr:rowOff>92869</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9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Adjust these holdings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4</xdr:col>
      <xdr:colOff>190079</xdr:colOff>
      <xdr:row>5</xdr:row>
      <xdr:rowOff>46206</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3</xdr:col>
      <xdr:colOff>1077604</xdr:colOff>
      <xdr:row>5</xdr:row>
      <xdr:rowOff>100635</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66675</xdr:colOff>
          <xdr:row>24</xdr:row>
          <xdr:rowOff>161925</xdr:rowOff>
        </xdr:from>
        <xdr:to>
          <xdr:col>9</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C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D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Insert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Insert FX Rates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2396" y="499537"/>
          <a:ext cx="2484584" cy="74409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F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Upload accruals </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1" y="118537"/>
          <a:ext cx="2484584" cy="744098"/>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10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14"/>
  <dimension ref="B3:B9"/>
  <sheetViews>
    <sheetView workbookViewId="0">
      <selection activeCell="B7" sqref="B7"/>
    </sheetView>
  </sheetViews>
  <sheetFormatPr defaultRowHeight="15" x14ac:dyDescent="0.25"/>
  <cols>
    <col min="2" max="2" width="104" style="13" customWidth="1"/>
  </cols>
  <sheetData>
    <row r="3" spans="2:2" ht="21" x14ac:dyDescent="0.35">
      <c r="B3" s="109" t="s">
        <v>82</v>
      </c>
    </row>
    <row r="4" spans="2:2" ht="21" x14ac:dyDescent="0.35">
      <c r="B4" s="110"/>
    </row>
    <row r="5" spans="2:2" ht="126" x14ac:dyDescent="0.35">
      <c r="B5" s="110" t="s">
        <v>83</v>
      </c>
    </row>
    <row r="6" spans="2:2" ht="21" x14ac:dyDescent="0.35">
      <c r="B6" s="110"/>
    </row>
    <row r="7" spans="2:2" ht="42" x14ac:dyDescent="0.35">
      <c r="B7" s="110" t="s">
        <v>84</v>
      </c>
    </row>
    <row r="8" spans="2:2" ht="21" x14ac:dyDescent="0.35">
      <c r="B8" s="110"/>
    </row>
    <row r="9" spans="2:2" ht="168" x14ac:dyDescent="0.35">
      <c r="B9" s="110" t="s">
        <v>85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O40"/>
  <sheetViews>
    <sheetView zoomScale="80" zoomScaleNormal="80" workbookViewId="0">
      <selection activeCell="F39" sqref="F39"/>
    </sheetView>
  </sheetViews>
  <sheetFormatPr defaultRowHeight="15" x14ac:dyDescent="0.25"/>
  <cols>
    <col min="2" max="2" width="21.28515625" customWidth="1"/>
    <col min="3" max="3" width="17.28515625" customWidth="1"/>
    <col min="4" max="4" width="35.5703125" customWidth="1"/>
    <col min="5" max="5" width="12.5703125" customWidth="1"/>
    <col min="6" max="6" width="27.28515625" customWidth="1"/>
    <col min="7" max="7" width="27.85546875" customWidth="1"/>
  </cols>
  <sheetData>
    <row r="11" spans="2:15" x14ac:dyDescent="0.25">
      <c r="B11" s="206" t="s">
        <v>50</v>
      </c>
      <c r="C11" s="207"/>
      <c r="D11" s="207"/>
      <c r="E11" s="208"/>
    </row>
    <row r="13" spans="2:15" x14ac:dyDescent="0.25">
      <c r="B13" s="14" t="s">
        <v>248</v>
      </c>
      <c r="D13" s="347" t="s">
        <v>249</v>
      </c>
    </row>
    <row r="14" spans="2:15" x14ac:dyDescent="0.25">
      <c r="B14" s="348" t="s">
        <v>141</v>
      </c>
      <c r="D14" s="350" t="str">
        <f>_xll.fbnSecurityLookupUid("Figi",B14)</f>
        <v>LUID_FO3MZVDA</v>
      </c>
    </row>
    <row r="15" spans="2:15" ht="15" customHeight="1" x14ac:dyDescent="0.25">
      <c r="B15" s="197" t="s">
        <v>152</v>
      </c>
      <c r="D15" s="350" t="str">
        <f>_xll.fbnSecurityLookupUid("Figi",B15)</f>
        <v>LUID_L0MLT3RF</v>
      </c>
      <c r="F15" s="200" t="s">
        <v>29</v>
      </c>
      <c r="G15" s="201"/>
      <c r="H15" s="201"/>
      <c r="I15" s="201"/>
      <c r="J15" s="201"/>
      <c r="K15" s="201"/>
      <c r="L15" s="201"/>
      <c r="M15" s="201"/>
      <c r="N15" s="201"/>
      <c r="O15" s="202"/>
    </row>
    <row r="16" spans="2:15" x14ac:dyDescent="0.25">
      <c r="B16" s="197" t="s">
        <v>153</v>
      </c>
      <c r="D16" s="350" t="str">
        <f>_xll.fbnSecurityLookupUid("Figi",B16)</f>
        <v>LUID_0QA5WPQ7</v>
      </c>
      <c r="F16" s="209"/>
      <c r="G16" s="210"/>
      <c r="H16" s="210"/>
      <c r="I16" s="210"/>
      <c r="J16" s="210"/>
      <c r="K16" s="210"/>
      <c r="L16" s="210"/>
      <c r="M16" s="210"/>
      <c r="N16" s="210"/>
      <c r="O16" s="211"/>
    </row>
    <row r="17" spans="2:15" x14ac:dyDescent="0.25">
      <c r="B17" s="197" t="s">
        <v>154</v>
      </c>
      <c r="D17" s="350" t="str">
        <f>_xll.fbnSecurityLookupUid("Figi",B17)</f>
        <v>LUID_KAHJTUG3</v>
      </c>
      <c r="F17" s="203"/>
      <c r="G17" s="204"/>
      <c r="H17" s="204"/>
      <c r="I17" s="204"/>
      <c r="J17" s="204"/>
      <c r="K17" s="204"/>
      <c r="L17" s="204"/>
      <c r="M17" s="204"/>
      <c r="N17" s="204"/>
      <c r="O17" s="205"/>
    </row>
    <row r="18" spans="2:15" x14ac:dyDescent="0.25">
      <c r="B18" s="197" t="s">
        <v>155</v>
      </c>
      <c r="D18" s="350" t="str">
        <f>_xll.fbnSecurityLookupUid("Figi",B18)</f>
        <v>LUID_5ZJXMMXB</v>
      </c>
    </row>
    <row r="19" spans="2:15" x14ac:dyDescent="0.25">
      <c r="B19" s="197" t="s">
        <v>156</v>
      </c>
      <c r="D19" s="350" t="str">
        <f>_xll.fbnSecurityLookupUid("Figi",B19)</f>
        <v>LUID_G4OYJ3P0</v>
      </c>
    </row>
    <row r="20" spans="2:15" x14ac:dyDescent="0.25">
      <c r="B20" s="197" t="s">
        <v>157</v>
      </c>
      <c r="D20" s="350" t="str">
        <f>_xll.fbnSecurityLookupUid("Figi",B20)</f>
        <v>LUID_PJKDDUP2</v>
      </c>
      <c r="F20" s="200" t="s">
        <v>124</v>
      </c>
      <c r="G20" s="201"/>
      <c r="H20" s="201"/>
      <c r="I20" s="201"/>
      <c r="J20" s="201"/>
      <c r="K20" s="201"/>
      <c r="L20" s="201"/>
      <c r="M20" s="201"/>
      <c r="N20" s="201"/>
      <c r="O20" s="202"/>
    </row>
    <row r="21" spans="2:15" x14ac:dyDescent="0.25">
      <c r="B21" s="197" t="s">
        <v>158</v>
      </c>
      <c r="D21" s="350" t="str">
        <f>_xll.fbnSecurityLookupUid("Figi",B21)</f>
        <v>LUID_IWQ59HNL</v>
      </c>
      <c r="F21" s="203"/>
      <c r="G21" s="204"/>
      <c r="H21" s="204"/>
      <c r="I21" s="204"/>
      <c r="J21" s="204"/>
      <c r="K21" s="204"/>
      <c r="L21" s="204"/>
      <c r="M21" s="204"/>
      <c r="N21" s="204"/>
      <c r="O21" s="205"/>
    </row>
    <row r="22" spans="2:15" x14ac:dyDescent="0.25">
      <c r="B22" s="197" t="s">
        <v>159</v>
      </c>
      <c r="D22" s="350" t="str">
        <f>_xll.fbnSecurityLookupUid("Figi",B22)</f>
        <v>LUID_YQU54HEB</v>
      </c>
    </row>
    <row r="23" spans="2:15" x14ac:dyDescent="0.25">
      <c r="B23" s="197" t="s">
        <v>160</v>
      </c>
      <c r="D23" s="350" t="str">
        <f>_xll.fbnSecurityLookupUid("Figi",B23)</f>
        <v>LUID_BIYPT5WE</v>
      </c>
      <c r="F23" s="199" t="s">
        <v>25</v>
      </c>
      <c r="G23" s="199"/>
      <c r="H23" s="199"/>
      <c r="I23" s="199"/>
    </row>
    <row r="24" spans="2:15" x14ac:dyDescent="0.25">
      <c r="B24" s="197" t="s">
        <v>161</v>
      </c>
      <c r="D24" s="350" t="str">
        <f>_xll.fbnSecurityLookupUid("Figi",B24)</f>
        <v>LUID_35DC4EH5</v>
      </c>
      <c r="F24" s="212" t="s">
        <v>27</v>
      </c>
      <c r="G24" s="212"/>
      <c r="H24" s="212"/>
      <c r="I24" s="212"/>
    </row>
    <row r="25" spans="2:15" x14ac:dyDescent="0.25">
      <c r="B25" s="197" t="s">
        <v>162</v>
      </c>
      <c r="D25" s="350" t="str">
        <f>_xll.fbnSecurityLookupUid("Figi",B25)</f>
        <v>LUID_YNFUT4CG</v>
      </c>
      <c r="F25" s="213" t="s">
        <v>26</v>
      </c>
      <c r="G25" s="213"/>
      <c r="H25" s="213"/>
      <c r="I25" s="213"/>
    </row>
    <row r="26" spans="2:15" x14ac:dyDescent="0.25">
      <c r="B26" s="197" t="s">
        <v>163</v>
      </c>
      <c r="D26" s="350" t="str">
        <f>_xll.fbnSecurityLookupUid("Figi",B26)</f>
        <v>LUID_GV2Z426B</v>
      </c>
      <c r="F26" s="214" t="s">
        <v>24</v>
      </c>
      <c r="G26" s="214"/>
      <c r="H26" s="214"/>
      <c r="I26" s="214"/>
    </row>
    <row r="27" spans="2:15" x14ac:dyDescent="0.25">
      <c r="B27" s="197" t="s">
        <v>164</v>
      </c>
      <c r="D27" s="350" t="str">
        <f>_xll.fbnSecurityLookupUid("Figi",B27)</f>
        <v>LUID_NPNS4BL3</v>
      </c>
      <c r="F27" s="198" t="s">
        <v>28</v>
      </c>
      <c r="G27" s="198"/>
      <c r="H27" s="198"/>
      <c r="I27" s="198"/>
    </row>
    <row r="28" spans="2:15" x14ac:dyDescent="0.25">
      <c r="B28" s="197" t="s">
        <v>165</v>
      </c>
      <c r="D28" s="350" t="str">
        <f>_xll.fbnSecurityLookupUid("Figi",B28)</f>
        <v>LUID_YGHMDW9Z</v>
      </c>
    </row>
    <row r="29" spans="2:15" x14ac:dyDescent="0.25">
      <c r="B29" s="197" t="s">
        <v>166</v>
      </c>
      <c r="D29" s="350" t="str">
        <f>_xll.fbnSecurityLookupUid("Figi",B29)</f>
        <v>LUID_DNJRWJO9</v>
      </c>
    </row>
    <row r="30" spans="2:15" x14ac:dyDescent="0.25">
      <c r="B30" s="197" t="s">
        <v>167</v>
      </c>
      <c r="D30" s="350" t="str">
        <f>_xll.fbnSecurityLookupUid("Figi",B30)</f>
        <v>LUID_MOTO0E4D</v>
      </c>
    </row>
    <row r="31" spans="2:15" x14ac:dyDescent="0.25">
      <c r="B31" s="197" t="s">
        <v>168</v>
      </c>
      <c r="D31" s="350" t="str">
        <f>_xll.fbnSecurityLookupUid("Figi",B31)</f>
        <v>LUID_FKU04OF1</v>
      </c>
      <c r="F31" t="s">
        <v>71</v>
      </c>
    </row>
    <row r="32" spans="2:15" x14ac:dyDescent="0.25">
      <c r="B32" s="197" t="s">
        <v>169</v>
      </c>
      <c r="D32" s="350" t="str">
        <f>_xll.fbnSecurityLookupUid("Figi",B32)</f>
        <v>LUID_9665UL2T</v>
      </c>
      <c r="F32" s="25" t="s">
        <v>33</v>
      </c>
      <c r="G32" s="66" t="s">
        <v>277</v>
      </c>
    </row>
    <row r="33" spans="2:7" x14ac:dyDescent="0.25">
      <c r="B33" s="197" t="s">
        <v>170</v>
      </c>
      <c r="D33" s="350" t="str">
        <f>_xll.fbnSecurityLookupUid("Figi",B33)</f>
        <v>LUID_P3U3U6KY</v>
      </c>
      <c r="F33" s="25" t="s">
        <v>64</v>
      </c>
      <c r="G33" s="66" t="s">
        <v>278</v>
      </c>
    </row>
    <row r="34" spans="2:7" x14ac:dyDescent="0.25">
      <c r="B34" s="197" t="s">
        <v>171</v>
      </c>
      <c r="D34" s="350" t="str">
        <f>_xll.fbnSecurityLookupUid("Figi",B34)</f>
        <v>LUID_3MZPBTJD</v>
      </c>
      <c r="F34" s="25" t="s">
        <v>65</v>
      </c>
      <c r="G34" s="66" t="s">
        <v>279</v>
      </c>
    </row>
    <row r="35" spans="2:7" x14ac:dyDescent="0.25">
      <c r="B35" s="349" t="s">
        <v>172</v>
      </c>
      <c r="D35" s="351" t="str">
        <f>_xll.fbnSecurityLookupUid("Figi",B35)</f>
        <v>LUID_F70QBY6X</v>
      </c>
      <c r="F35" s="25" t="s">
        <v>66</v>
      </c>
      <c r="G35" s="67">
        <f ca="1">TODAY()</f>
        <v>43529</v>
      </c>
    </row>
    <row r="36" spans="2:7" x14ac:dyDescent="0.25">
      <c r="B36" s="193"/>
      <c r="F36" s="25" t="s">
        <v>52</v>
      </c>
      <c r="G36" s="67">
        <f ca="1">TODAY()</f>
        <v>43529</v>
      </c>
    </row>
    <row r="37" spans="2:7" x14ac:dyDescent="0.25">
      <c r="B37" s="193"/>
    </row>
    <row r="40" spans="2:7" x14ac:dyDescent="0.25">
      <c r="B40" s="193"/>
    </row>
  </sheetData>
  <mergeCells count="8">
    <mergeCell ref="F27:I27"/>
    <mergeCell ref="F23:I23"/>
    <mergeCell ref="F20:O21"/>
    <mergeCell ref="B11:E11"/>
    <mergeCell ref="F15:O17"/>
    <mergeCell ref="F24:I24"/>
    <mergeCell ref="F25:I25"/>
    <mergeCell ref="F26:I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L44"/>
  <sheetViews>
    <sheetView topLeftCell="A4" zoomScale="80" zoomScaleNormal="80" workbookViewId="0">
      <selection activeCell="G14" sqref="G14"/>
    </sheetView>
  </sheetViews>
  <sheetFormatPr defaultRowHeight="15" x14ac:dyDescent="0.25"/>
  <cols>
    <col min="1" max="1" width="6.28515625" customWidth="1"/>
    <col min="2" max="2" width="7.5703125" customWidth="1"/>
    <col min="3" max="3" width="22" customWidth="1"/>
    <col min="4" max="4" width="31.7109375" customWidth="1"/>
    <col min="5" max="5" width="24.140625" customWidth="1"/>
    <col min="6" max="6" width="22.42578125" customWidth="1"/>
    <col min="7" max="7" width="25.28515625" customWidth="1"/>
    <col min="8" max="8" width="19.140625" customWidth="1"/>
    <col min="9" max="9" width="20.7109375" customWidth="1"/>
    <col min="11" max="11" width="51.140625" customWidth="1"/>
    <col min="12" max="12" width="38" customWidth="1"/>
    <col min="13" max="13" width="17.7109375" customWidth="1"/>
    <col min="15" max="15" width="33.140625" customWidth="1"/>
  </cols>
  <sheetData>
    <row r="7" spans="3:12" ht="15" customHeight="1" x14ac:dyDescent="0.25">
      <c r="C7" s="219" t="s">
        <v>36</v>
      </c>
      <c r="D7" s="220"/>
      <c r="E7" s="221"/>
      <c r="F7" s="13"/>
    </row>
    <row r="8" spans="3:12" x14ac:dyDescent="0.25">
      <c r="C8" s="222"/>
      <c r="D8" s="223"/>
      <c r="E8" s="224"/>
      <c r="F8" s="13"/>
    </row>
    <row r="9" spans="3:12" x14ac:dyDescent="0.25">
      <c r="C9" s="225"/>
      <c r="D9" s="226"/>
      <c r="E9" s="227"/>
    </row>
    <row r="11" spans="3:12" ht="16.5" customHeight="1" x14ac:dyDescent="0.25">
      <c r="C11" s="215" t="s">
        <v>9</v>
      </c>
      <c r="D11" s="216"/>
      <c r="E11" s="217"/>
      <c r="K11" s="187" t="s">
        <v>3</v>
      </c>
      <c r="L11" s="188"/>
    </row>
    <row r="12" spans="3:12" ht="15" customHeight="1" x14ac:dyDescent="0.25">
      <c r="C12" t="str">
        <f>_xll.fbnSecuritiesAdd_Template()</f>
        <v>OK</v>
      </c>
    </row>
    <row r="13" spans="3:12" ht="15.75" thickBot="1" x14ac:dyDescent="0.3">
      <c r="C13" s="191" t="s">
        <v>144</v>
      </c>
      <c r="D13" s="192" t="s">
        <v>145</v>
      </c>
      <c r="E13" s="192" t="s">
        <v>146</v>
      </c>
      <c r="F13" s="192" t="s">
        <v>147</v>
      </c>
      <c r="G13" s="192" t="s">
        <v>1</v>
      </c>
      <c r="H13" s="192" t="s">
        <v>148</v>
      </c>
      <c r="I13" s="189" t="s">
        <v>149</v>
      </c>
      <c r="K13" s="352" t="s">
        <v>0</v>
      </c>
      <c r="L13" s="353" t="s">
        <v>250</v>
      </c>
    </row>
    <row r="14" spans="3:12" ht="15.75" thickTop="1" x14ac:dyDescent="0.25">
      <c r="C14" s="74" t="str">
        <f>_xlfn.CONCAT("MyId_",Setup!B14)</f>
        <v>MyId_BBG00JVF3738</v>
      </c>
      <c r="D14" s="75" t="str">
        <f>_xlfn.CONCAT("MyNewSecurity_",Setup!B14)</f>
        <v>MyNewSecurity_BBG00JVF3738</v>
      </c>
      <c r="E14" s="75" t="s">
        <v>173</v>
      </c>
      <c r="F14" s="75" t="str">
        <f>Setup!B14</f>
        <v>BBG00JVF3738</v>
      </c>
      <c r="G14" s="75"/>
      <c r="H14" s="75" t="s">
        <v>151</v>
      </c>
      <c r="I14" s="76" t="s">
        <v>150</v>
      </c>
      <c r="K14" s="8"/>
      <c r="L14" s="194"/>
    </row>
    <row r="15" spans="3:12" x14ac:dyDescent="0.25">
      <c r="C15" s="74" t="str">
        <f>_xlfn.CONCAT("MyId_",Setup!B15)</f>
        <v>MyId_BBG00DKL90B0</v>
      </c>
      <c r="D15" s="75" t="str">
        <f>_xlfn.CONCAT("MyNewSecurity_",Setup!B15)</f>
        <v>MyNewSecurity_BBG00DKL90B0</v>
      </c>
      <c r="E15" s="75" t="s">
        <v>173</v>
      </c>
      <c r="F15" s="75" t="str">
        <f>Setup!B15</f>
        <v>BBG00DKL90B0</v>
      </c>
      <c r="G15" s="75"/>
      <c r="H15" s="75" t="s">
        <v>151</v>
      </c>
      <c r="I15" s="76" t="s">
        <v>150</v>
      </c>
      <c r="K15" s="8"/>
      <c r="L15" s="9"/>
    </row>
    <row r="16" spans="3:12" x14ac:dyDescent="0.25">
      <c r="C16" s="74" t="str">
        <f>_xlfn.CONCAT("MyId_",Setup!B16)</f>
        <v>MyId_BBG00DKL91M6</v>
      </c>
      <c r="D16" s="75" t="str">
        <f>_xlfn.CONCAT("MyNewSecurity_",Setup!B16)</f>
        <v>MyNewSecurity_BBG00DKL91M6</v>
      </c>
      <c r="E16" s="75" t="s">
        <v>173</v>
      </c>
      <c r="F16" s="75" t="str">
        <f>Setup!B16</f>
        <v>BBG00DKL91M6</v>
      </c>
      <c r="G16" s="75"/>
      <c r="H16" s="75" t="s">
        <v>151</v>
      </c>
      <c r="I16" s="76" t="s">
        <v>150</v>
      </c>
      <c r="K16" s="8"/>
      <c r="L16" s="9"/>
    </row>
    <row r="17" spans="3:12" x14ac:dyDescent="0.25">
      <c r="C17" s="74" t="str">
        <f>_xlfn.CONCAT("MyId_",Setup!B17)</f>
        <v>MyId_BBG00FDG24R6</v>
      </c>
      <c r="D17" s="75" t="str">
        <f>_xlfn.CONCAT("MyNewSecurity_",Setup!B17)</f>
        <v>MyNewSecurity_BBG00FDG24R6</v>
      </c>
      <c r="E17" s="75" t="s">
        <v>173</v>
      </c>
      <c r="F17" s="75" t="str">
        <f>Setup!B17</f>
        <v>BBG00FDG24R6</v>
      </c>
      <c r="G17" s="75"/>
      <c r="H17" s="75" t="s">
        <v>151</v>
      </c>
      <c r="I17" s="76" t="s">
        <v>150</v>
      </c>
      <c r="K17" s="8"/>
      <c r="L17" s="9"/>
    </row>
    <row r="18" spans="3:12" x14ac:dyDescent="0.25">
      <c r="C18" s="74" t="str">
        <f>_xlfn.CONCAT("MyId_",Setup!B18)</f>
        <v>MyId_BBG00DKL91L7</v>
      </c>
      <c r="D18" s="75" t="str">
        <f>_xlfn.CONCAT("MyNewSecurity_",Setup!B18)</f>
        <v>MyNewSecurity_BBG00DKL91L7</v>
      </c>
      <c r="E18" s="75" t="s">
        <v>173</v>
      </c>
      <c r="F18" s="75" t="str">
        <f>Setup!B18</f>
        <v>BBG00DKL91L7</v>
      </c>
      <c r="G18" s="75"/>
      <c r="H18" s="75" t="s">
        <v>151</v>
      </c>
      <c r="I18" s="76" t="s">
        <v>150</v>
      </c>
      <c r="K18" s="8"/>
      <c r="L18" s="9"/>
    </row>
    <row r="19" spans="3:12" x14ac:dyDescent="0.25">
      <c r="C19" s="74" t="str">
        <f>_xlfn.CONCAT("MyId_",Setup!B19)</f>
        <v>MyId_BBG00FB2C3M5</v>
      </c>
      <c r="D19" s="75" t="str">
        <f>_xlfn.CONCAT("MyNewSecurity_",Setup!B19)</f>
        <v>MyNewSecurity_BBG00FB2C3M5</v>
      </c>
      <c r="E19" s="75" t="s">
        <v>173</v>
      </c>
      <c r="F19" s="75" t="str">
        <f>Setup!B19</f>
        <v>BBG00FB2C3M5</v>
      </c>
      <c r="G19" s="75"/>
      <c r="H19" s="75" t="s">
        <v>151</v>
      </c>
      <c r="I19" s="76" t="s">
        <v>150</v>
      </c>
      <c r="K19" s="8"/>
      <c r="L19" s="9"/>
    </row>
    <row r="20" spans="3:12" x14ac:dyDescent="0.25">
      <c r="C20" s="74" t="str">
        <f>_xlfn.CONCAT("MyId_",Setup!B20)</f>
        <v>MyId_BBG00FJ5L0H2</v>
      </c>
      <c r="D20" s="75" t="str">
        <f>_xlfn.CONCAT("MyNewSecurity_",Setup!B20)</f>
        <v>MyNewSecurity_BBG00FJ5L0H2</v>
      </c>
      <c r="E20" s="75" t="s">
        <v>173</v>
      </c>
      <c r="F20" s="75" t="str">
        <f>Setup!B20</f>
        <v>BBG00FJ5L0H2</v>
      </c>
      <c r="G20" s="75"/>
      <c r="H20" s="75" t="s">
        <v>151</v>
      </c>
      <c r="I20" s="76" t="s">
        <v>150</v>
      </c>
      <c r="K20" s="8"/>
      <c r="L20" s="9"/>
    </row>
    <row r="21" spans="3:12" x14ac:dyDescent="0.25">
      <c r="C21" s="74" t="str">
        <f>_xlfn.CONCAT("MyId_",Setup!B21)</f>
        <v>MyId_BBG00FJ5L0Q2</v>
      </c>
      <c r="D21" s="75" t="str">
        <f>_xlfn.CONCAT("MyNewSecurity_",Setup!B21)</f>
        <v>MyNewSecurity_BBG00FJ5L0Q2</v>
      </c>
      <c r="E21" s="75" t="s">
        <v>173</v>
      </c>
      <c r="F21" s="75" t="str">
        <f>Setup!B21</f>
        <v>BBG00FJ5L0Q2</v>
      </c>
      <c r="G21" s="75"/>
      <c r="H21" s="75" t="s">
        <v>151</v>
      </c>
      <c r="I21" s="76" t="s">
        <v>150</v>
      </c>
      <c r="K21" s="8"/>
      <c r="L21" s="9"/>
    </row>
    <row r="22" spans="3:12" x14ac:dyDescent="0.25">
      <c r="C22" s="74" t="str">
        <f>_xlfn.CONCAT("MyId_",Setup!B22)</f>
        <v>MyId_BBG000C5GF49</v>
      </c>
      <c r="D22" s="75" t="str">
        <f>_xlfn.CONCAT("MyNewSecurity_",Setup!B22)</f>
        <v>MyNewSecurity_BBG000C5GF49</v>
      </c>
      <c r="E22" s="75" t="s">
        <v>173</v>
      </c>
      <c r="F22" s="75" t="str">
        <f>Setup!B22</f>
        <v>BBG000C5GF49</v>
      </c>
      <c r="G22" s="75"/>
      <c r="H22" s="75" t="s">
        <v>151</v>
      </c>
      <c r="I22" s="76" t="s">
        <v>150</v>
      </c>
      <c r="K22" s="8"/>
      <c r="L22" s="9"/>
    </row>
    <row r="23" spans="3:12" x14ac:dyDescent="0.25">
      <c r="C23" s="74" t="str">
        <f>_xlfn.CONCAT("MyId_",Setup!B23)</f>
        <v>MyId_BBG000C45QW9</v>
      </c>
      <c r="D23" s="75" t="str">
        <f>_xlfn.CONCAT("MyNewSecurity_",Setup!B23)</f>
        <v>MyNewSecurity_BBG000C45QW9</v>
      </c>
      <c r="E23" s="75" t="s">
        <v>173</v>
      </c>
      <c r="F23" s="75" t="str">
        <f>Setup!B23</f>
        <v>BBG000C45QW9</v>
      </c>
      <c r="G23" s="75"/>
      <c r="H23" s="75" t="s">
        <v>151</v>
      </c>
      <c r="I23" s="76" t="s">
        <v>150</v>
      </c>
      <c r="K23" s="8"/>
      <c r="L23" s="9"/>
    </row>
    <row r="24" spans="3:12" x14ac:dyDescent="0.25">
      <c r="C24" s="74" t="str">
        <f>_xlfn.CONCAT("MyId_",Setup!B24)</f>
        <v>MyId_BBG00GZY0K24</v>
      </c>
      <c r="D24" s="75" t="str">
        <f>_xlfn.CONCAT("MyNewSecurity_",Setup!B24)</f>
        <v>MyNewSecurity_BBG00GZY0K24</v>
      </c>
      <c r="E24" s="75" t="s">
        <v>173</v>
      </c>
      <c r="F24" s="75" t="str">
        <f>Setup!B24</f>
        <v>BBG00GZY0K24</v>
      </c>
      <c r="G24" s="75"/>
      <c r="H24" s="75" t="s">
        <v>151</v>
      </c>
      <c r="I24" s="76" t="s">
        <v>150</v>
      </c>
      <c r="K24" s="8"/>
      <c r="L24" s="9"/>
    </row>
    <row r="25" spans="3:12" x14ac:dyDescent="0.25">
      <c r="C25" s="74" t="str">
        <f>_xlfn.CONCAT("MyId_",Setup!B25)</f>
        <v>MyId_BBG00GZXXVG1</v>
      </c>
      <c r="D25" s="75" t="str">
        <f>_xlfn.CONCAT("MyNewSecurity_",Setup!B25)</f>
        <v>MyNewSecurity_BBG00GZXXVG1</v>
      </c>
      <c r="E25" s="75" t="s">
        <v>173</v>
      </c>
      <c r="F25" s="75" t="str">
        <f>Setup!B25</f>
        <v>BBG00GZXXVG1</v>
      </c>
      <c r="G25" s="75"/>
      <c r="H25" s="75" t="s">
        <v>151</v>
      </c>
      <c r="I25" s="76" t="s">
        <v>150</v>
      </c>
      <c r="K25" s="8"/>
      <c r="L25" s="9"/>
    </row>
    <row r="26" spans="3:12" x14ac:dyDescent="0.25">
      <c r="C26" s="74" t="str">
        <f>_xlfn.CONCAT("MyId_",Setup!B26)</f>
        <v>MyId_BBG007V3VDW5</v>
      </c>
      <c r="D26" s="75" t="str">
        <f>_xlfn.CONCAT("MyNewSecurity_",Setup!B26)</f>
        <v>MyNewSecurity_BBG007V3VDW5</v>
      </c>
      <c r="E26" s="75" t="s">
        <v>173</v>
      </c>
      <c r="F26" s="75" t="str">
        <f>Setup!B26</f>
        <v>BBG007V3VDW5</v>
      </c>
      <c r="G26" s="75"/>
      <c r="H26" s="75" t="s">
        <v>151</v>
      </c>
      <c r="I26" s="76" t="s">
        <v>150</v>
      </c>
      <c r="K26" s="8"/>
      <c r="L26" s="9"/>
    </row>
    <row r="27" spans="3:12" x14ac:dyDescent="0.25">
      <c r="C27" s="74" t="str">
        <f>_xlfn.CONCAT("MyId_",Setup!B27)</f>
        <v>MyId_BBG000F8XRF3</v>
      </c>
      <c r="D27" s="75" t="str">
        <f>_xlfn.CONCAT("MyNewSecurity_",Setup!B27)</f>
        <v>MyNewSecurity_BBG000F8XRF3</v>
      </c>
      <c r="E27" s="75" t="s">
        <v>173</v>
      </c>
      <c r="F27" s="75" t="str">
        <f>Setup!B27</f>
        <v>BBG000F8XRF3</v>
      </c>
      <c r="G27" s="75"/>
      <c r="H27" s="75" t="s">
        <v>151</v>
      </c>
      <c r="I27" s="76" t="s">
        <v>150</v>
      </c>
      <c r="K27" s="8"/>
      <c r="L27" s="9"/>
    </row>
    <row r="28" spans="3:12" x14ac:dyDescent="0.25">
      <c r="C28" s="74" t="str">
        <f>_xlfn.CONCAT("MyId_",Setup!B28)</f>
        <v>MyId_BBG000RH4VW4</v>
      </c>
      <c r="D28" s="75" t="str">
        <f>_xlfn.CONCAT("MyNewSecurity_",Setup!B28)</f>
        <v>MyNewSecurity_BBG000RH4VW4</v>
      </c>
      <c r="E28" s="75" t="s">
        <v>173</v>
      </c>
      <c r="F28" s="75" t="str">
        <f>Setup!B28</f>
        <v>BBG000RH4VW4</v>
      </c>
      <c r="G28" s="75"/>
      <c r="H28" s="75" t="s">
        <v>151</v>
      </c>
      <c r="I28" s="76" t="s">
        <v>150</v>
      </c>
      <c r="K28" s="8"/>
      <c r="L28" s="9"/>
    </row>
    <row r="29" spans="3:12" x14ac:dyDescent="0.25">
      <c r="C29" s="74" t="str">
        <f>_xlfn.CONCAT("MyId_",Setup!B29)</f>
        <v>MyId_BBG000R173D9</v>
      </c>
      <c r="D29" s="75" t="str">
        <f>_xlfn.CONCAT("MyNewSecurity_",Setup!B29)</f>
        <v>MyNewSecurity_BBG000R173D9</v>
      </c>
      <c r="E29" s="75" t="s">
        <v>173</v>
      </c>
      <c r="F29" s="75" t="str">
        <f>Setup!B29</f>
        <v>BBG000R173D9</v>
      </c>
      <c r="G29" s="75"/>
      <c r="H29" s="75" t="s">
        <v>151</v>
      </c>
      <c r="I29" s="76" t="s">
        <v>150</v>
      </c>
      <c r="K29" s="8"/>
      <c r="L29" s="9"/>
    </row>
    <row r="30" spans="3:12" x14ac:dyDescent="0.25">
      <c r="C30" s="74" t="str">
        <f>_xlfn.CONCAT("MyId_",Setup!B30)</f>
        <v>MyId_BBG001HQYT28</v>
      </c>
      <c r="D30" s="75" t="str">
        <f>_xlfn.CONCAT("MyNewSecurity_",Setup!B30)</f>
        <v>MyNewSecurity_BBG001HQYT28</v>
      </c>
      <c r="E30" s="75" t="s">
        <v>173</v>
      </c>
      <c r="F30" s="75" t="str">
        <f>Setup!B30</f>
        <v>BBG001HQYT28</v>
      </c>
      <c r="G30" s="75"/>
      <c r="H30" s="75" t="s">
        <v>151</v>
      </c>
      <c r="I30" s="76" t="s">
        <v>150</v>
      </c>
      <c r="K30" s="8"/>
      <c r="L30" s="9"/>
    </row>
    <row r="31" spans="3:12" x14ac:dyDescent="0.25">
      <c r="C31" s="74" t="str">
        <f>_xlfn.CONCAT("MyId_",Setup!B31)</f>
        <v>MyId_BBG0037S1FD5</v>
      </c>
      <c r="D31" s="75" t="str">
        <f>_xlfn.CONCAT("MyNewSecurity_",Setup!B31)</f>
        <v>MyNewSecurity_BBG0037S1FD5</v>
      </c>
      <c r="E31" s="75" t="s">
        <v>173</v>
      </c>
      <c r="F31" s="75" t="str">
        <f>Setup!B31</f>
        <v>BBG0037S1FD5</v>
      </c>
      <c r="G31" s="75"/>
      <c r="H31" s="75" t="s">
        <v>151</v>
      </c>
      <c r="I31" s="76" t="s">
        <v>150</v>
      </c>
      <c r="K31" s="8"/>
      <c r="L31" s="9"/>
    </row>
    <row r="32" spans="3:12" x14ac:dyDescent="0.25">
      <c r="C32" s="74" t="str">
        <f>_xlfn.CONCAT("MyId_",Setup!B32)</f>
        <v>MyId_BBG001B81KF5</v>
      </c>
      <c r="D32" s="75" t="str">
        <f>_xlfn.CONCAT("MyNewSecurity_",Setup!B32)</f>
        <v>MyNewSecurity_BBG001B81KF5</v>
      </c>
      <c r="E32" s="75" t="s">
        <v>173</v>
      </c>
      <c r="F32" s="75" t="str">
        <f>Setup!B32</f>
        <v>BBG001B81KF5</v>
      </c>
      <c r="G32" s="75"/>
      <c r="H32" s="75" t="s">
        <v>151</v>
      </c>
      <c r="I32" s="76" t="s">
        <v>150</v>
      </c>
      <c r="K32" s="8"/>
      <c r="L32" s="9"/>
    </row>
    <row r="33" spans="3:12" x14ac:dyDescent="0.25">
      <c r="C33" s="74" t="str">
        <f>_xlfn.CONCAT("MyId_",Setup!B33)</f>
        <v>MyId_BBG0034YPJG8</v>
      </c>
      <c r="D33" s="75" t="str">
        <f>_xlfn.CONCAT("MyNewSecurity_",Setup!B33)</f>
        <v>MyNewSecurity_BBG0034YPJG8</v>
      </c>
      <c r="E33" s="75" t="s">
        <v>173</v>
      </c>
      <c r="F33" s="75" t="str">
        <f>Setup!B33</f>
        <v>BBG0034YPJG8</v>
      </c>
      <c r="G33" s="75"/>
      <c r="H33" s="75" t="s">
        <v>151</v>
      </c>
      <c r="I33" s="76" t="s">
        <v>150</v>
      </c>
      <c r="K33" s="8"/>
      <c r="L33" s="9"/>
    </row>
    <row r="34" spans="3:12" x14ac:dyDescent="0.25">
      <c r="C34" s="74" t="str">
        <f>_xlfn.CONCAT("MyId_",Setup!B34)</f>
        <v>MyId_BBG0034YQ808</v>
      </c>
      <c r="D34" s="75" t="str">
        <f>_xlfn.CONCAT("MyNewSecurity_",Setup!B34)</f>
        <v>MyNewSecurity_BBG0034YQ808</v>
      </c>
      <c r="E34" s="75" t="s">
        <v>173</v>
      </c>
      <c r="F34" s="75" t="str">
        <f>Setup!B34</f>
        <v>BBG0034YQ808</v>
      </c>
      <c r="G34" s="75"/>
      <c r="H34" s="75" t="s">
        <v>151</v>
      </c>
      <c r="I34" s="76" t="s">
        <v>150</v>
      </c>
      <c r="K34" s="8"/>
      <c r="L34" s="9"/>
    </row>
    <row r="35" spans="3:12" x14ac:dyDescent="0.25">
      <c r="C35" s="77" t="str">
        <f>_xlfn.CONCAT("MyId_",Setup!B35)</f>
        <v>MyId_BBG004733FZ2</v>
      </c>
      <c r="D35" s="190" t="str">
        <f>_xlfn.CONCAT("MyNewSecurity_",Setup!B35)</f>
        <v>MyNewSecurity_BBG004733FZ2</v>
      </c>
      <c r="E35" s="190" t="s">
        <v>173</v>
      </c>
      <c r="F35" s="190" t="str">
        <f>Setup!B35</f>
        <v>BBG004733FZ2</v>
      </c>
      <c r="G35" s="190"/>
      <c r="H35" s="190" t="s">
        <v>151</v>
      </c>
      <c r="I35" s="78" t="s">
        <v>150</v>
      </c>
      <c r="K35" s="10"/>
      <c r="L35" s="11"/>
    </row>
    <row r="38" spans="3:12" x14ac:dyDescent="0.25">
      <c r="C38" s="228" t="s">
        <v>80</v>
      </c>
      <c r="D38" s="229"/>
      <c r="E38" s="229"/>
      <c r="F38" s="230"/>
      <c r="H38" s="218" t="s">
        <v>32</v>
      </c>
      <c r="I38" s="218"/>
      <c r="J38" s="218"/>
      <c r="K38" s="218"/>
      <c r="L38" s="218"/>
    </row>
    <row r="39" spans="3:12" x14ac:dyDescent="0.25">
      <c r="C39" s="231"/>
      <c r="D39" s="232"/>
      <c r="E39" s="232"/>
      <c r="F39" s="233"/>
      <c r="H39" s="218"/>
      <c r="I39" s="218"/>
      <c r="J39" s="218"/>
      <c r="K39" s="218"/>
      <c r="L39" s="218"/>
    </row>
    <row r="40" spans="3:12" x14ac:dyDescent="0.25">
      <c r="C40" s="231"/>
      <c r="D40" s="232"/>
      <c r="E40" s="232"/>
      <c r="F40" s="233"/>
      <c r="H40" s="218"/>
      <c r="I40" s="218"/>
      <c r="J40" s="218"/>
      <c r="K40" s="218"/>
      <c r="L40" s="218"/>
    </row>
    <row r="41" spans="3:12" x14ac:dyDescent="0.25">
      <c r="C41" s="231"/>
      <c r="D41" s="232"/>
      <c r="E41" s="232"/>
      <c r="F41" s="233"/>
      <c r="H41" s="218"/>
      <c r="I41" s="218"/>
      <c r="J41" s="218"/>
      <c r="K41" s="218"/>
      <c r="L41" s="218"/>
    </row>
    <row r="42" spans="3:12" x14ac:dyDescent="0.25">
      <c r="C42" s="231"/>
      <c r="D42" s="232"/>
      <c r="E42" s="232"/>
      <c r="F42" s="233"/>
      <c r="H42" s="218"/>
      <c r="I42" s="218"/>
      <c r="J42" s="218"/>
      <c r="K42" s="218"/>
      <c r="L42" s="218"/>
    </row>
    <row r="43" spans="3:12" x14ac:dyDescent="0.25">
      <c r="C43" s="231"/>
      <c r="D43" s="232"/>
      <c r="E43" s="232"/>
      <c r="F43" s="233"/>
    </row>
    <row r="44" spans="3:12" x14ac:dyDescent="0.25">
      <c r="C44" s="234"/>
      <c r="D44" s="235"/>
      <c r="E44" s="235"/>
      <c r="F44" s="236"/>
    </row>
  </sheetData>
  <mergeCells count="4">
    <mergeCell ref="C11:E11"/>
    <mergeCell ref="H38:L42"/>
    <mergeCell ref="C7:E9"/>
    <mergeCell ref="C38:F4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8</xdr:col>
                    <xdr:colOff>200025</xdr:colOff>
                    <xdr:row>39</xdr:row>
                    <xdr:rowOff>19050</xdr:rowOff>
                  </from>
                  <to>
                    <xdr:col>9</xdr:col>
                    <xdr:colOff>504825</xdr:colOff>
                    <xdr:row>40</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Q47"/>
  <sheetViews>
    <sheetView tabSelected="1" zoomScale="80" zoomScaleNormal="80" workbookViewId="0">
      <selection activeCell="L14" sqref="L14"/>
    </sheetView>
  </sheetViews>
  <sheetFormatPr defaultRowHeight="15" x14ac:dyDescent="0.25"/>
  <cols>
    <col min="1" max="2" width="11.5703125" customWidth="1"/>
    <col min="3" max="3" width="14.85546875" customWidth="1"/>
    <col min="4" max="4" width="25.7109375" customWidth="1"/>
    <col min="5" max="5" width="19.28515625" customWidth="1"/>
    <col min="6" max="6" width="20" customWidth="1"/>
    <col min="7" max="7" width="19" customWidth="1"/>
    <col min="8" max="8" width="14" customWidth="1"/>
    <col min="9" max="9" width="14.85546875" customWidth="1"/>
    <col min="10" max="10" width="15.5703125" customWidth="1"/>
    <col min="12" max="12" width="42.85546875" customWidth="1"/>
  </cols>
  <sheetData>
    <row r="8" spans="3:13" x14ac:dyDescent="0.25">
      <c r="C8" s="237" t="s">
        <v>113</v>
      </c>
      <c r="D8" s="238"/>
      <c r="E8" s="238"/>
      <c r="F8" s="238"/>
      <c r="G8" s="238"/>
      <c r="H8" s="238"/>
      <c r="I8" s="238"/>
      <c r="J8" s="238"/>
      <c r="K8" s="238"/>
      <c r="L8" s="239"/>
    </row>
    <row r="9" spans="3:13" x14ac:dyDescent="0.25">
      <c r="C9" s="240"/>
      <c r="D9" s="241"/>
      <c r="E9" s="241"/>
      <c r="F9" s="241"/>
      <c r="G9" s="241"/>
      <c r="H9" s="241"/>
      <c r="I9" s="241"/>
      <c r="J9" s="241"/>
      <c r="K9" s="241"/>
      <c r="L9" s="242"/>
    </row>
    <row r="11" spans="3:13" x14ac:dyDescent="0.25">
      <c r="C11" s="178" t="s">
        <v>114</v>
      </c>
      <c r="D11" s="160"/>
      <c r="E11" s="160"/>
      <c r="F11" s="160"/>
      <c r="G11" s="160"/>
      <c r="H11" s="160"/>
      <c r="I11" s="160"/>
      <c r="J11" s="161"/>
      <c r="L11" s="159" t="s">
        <v>4</v>
      </c>
    </row>
    <row r="13" spans="3:13" ht="15.75" thickBot="1" x14ac:dyDescent="0.3">
      <c r="C13" s="142" t="s">
        <v>5</v>
      </c>
      <c r="D13" s="142" t="s">
        <v>126</v>
      </c>
      <c r="E13" s="143" t="s">
        <v>127</v>
      </c>
      <c r="F13" s="143" t="s">
        <v>128</v>
      </c>
      <c r="G13" s="142" t="s">
        <v>129</v>
      </c>
      <c r="H13" s="144" t="s">
        <v>130</v>
      </c>
      <c r="I13" s="144" t="s">
        <v>6</v>
      </c>
      <c r="J13" s="158" t="s">
        <v>7</v>
      </c>
      <c r="L13" s="151" t="s">
        <v>17</v>
      </c>
    </row>
    <row r="14" spans="3:13" ht="15.75" thickTop="1" x14ac:dyDescent="0.25">
      <c r="C14" s="42" t="str">
        <f>PortfolioCode</f>
        <v>pf1</v>
      </c>
      <c r="D14" s="46"/>
      <c r="E14" s="145"/>
      <c r="F14" s="145"/>
      <c r="G14" s="337" t="str">
        <f>PortfolioName</f>
        <v>FirstPortfolio</v>
      </c>
      <c r="H14" s="145"/>
      <c r="I14" s="44">
        <f ca="1">TODAY()</f>
        <v>43529</v>
      </c>
      <c r="J14" s="146" t="s">
        <v>45</v>
      </c>
      <c r="L14" s="152"/>
    </row>
    <row r="15" spans="3:13" x14ac:dyDescent="0.25">
      <c r="C15" s="42"/>
      <c r="D15" s="46"/>
      <c r="E15" s="44"/>
      <c r="F15" s="44"/>
      <c r="G15" s="43"/>
      <c r="H15" s="145"/>
      <c r="I15" s="44"/>
      <c r="J15" s="146"/>
      <c r="L15" s="152"/>
      <c r="M15" s="150"/>
    </row>
    <row r="16" spans="3:13" x14ac:dyDescent="0.25">
      <c r="C16" s="42"/>
      <c r="D16" s="46"/>
      <c r="E16" s="44"/>
      <c r="F16" s="44"/>
      <c r="G16" s="43"/>
      <c r="H16" s="145"/>
      <c r="I16" s="44"/>
      <c r="J16" s="146"/>
      <c r="L16" s="152"/>
    </row>
    <row r="17" spans="3:17" x14ac:dyDescent="0.25">
      <c r="C17" s="42"/>
      <c r="D17" s="46"/>
      <c r="E17" s="44"/>
      <c r="F17" s="46"/>
      <c r="G17" s="43"/>
      <c r="H17" s="145"/>
      <c r="I17" s="44"/>
      <c r="J17" s="146"/>
      <c r="L17" s="153"/>
    </row>
    <row r="18" spans="3:17" x14ac:dyDescent="0.25">
      <c r="C18" s="45"/>
      <c r="D18" s="46"/>
      <c r="E18" s="44"/>
      <c r="F18" s="46"/>
      <c r="G18" s="46"/>
      <c r="H18" s="145"/>
      <c r="I18" s="145"/>
      <c r="J18" s="146"/>
      <c r="L18" s="153"/>
    </row>
    <row r="19" spans="3:17" x14ac:dyDescent="0.25">
      <c r="C19" s="45"/>
      <c r="D19" s="46"/>
      <c r="E19" s="44"/>
      <c r="F19" s="46"/>
      <c r="G19" s="46"/>
      <c r="H19" s="145"/>
      <c r="I19" s="145"/>
      <c r="J19" s="146"/>
      <c r="L19" s="153"/>
    </row>
    <row r="20" spans="3:17" x14ac:dyDescent="0.25">
      <c r="C20" s="45"/>
      <c r="D20" s="46"/>
      <c r="E20" s="44"/>
      <c r="F20" s="46"/>
      <c r="G20" s="46"/>
      <c r="H20" s="145"/>
      <c r="I20" s="145"/>
      <c r="J20" s="146"/>
      <c r="L20" s="153"/>
    </row>
    <row r="21" spans="3:17" x14ac:dyDescent="0.25">
      <c r="C21" s="45"/>
      <c r="D21" s="46"/>
      <c r="E21" s="44"/>
      <c r="F21" s="46"/>
      <c r="G21" s="46"/>
      <c r="H21" s="145"/>
      <c r="I21" s="145"/>
      <c r="J21" s="146"/>
      <c r="L21" s="153"/>
      <c r="N21" s="243" t="s">
        <v>115</v>
      </c>
      <c r="O21" s="244"/>
      <c r="P21" s="244"/>
      <c r="Q21" s="244"/>
    </row>
    <row r="22" spans="3:17" x14ac:dyDescent="0.25">
      <c r="C22" s="45"/>
      <c r="D22" s="46"/>
      <c r="E22" s="44"/>
      <c r="F22" s="46"/>
      <c r="G22" s="46"/>
      <c r="H22" s="145"/>
      <c r="I22" s="145"/>
      <c r="J22" s="146"/>
      <c r="L22" s="153"/>
      <c r="N22" s="244"/>
      <c r="O22" s="244"/>
      <c r="P22" s="244"/>
      <c r="Q22" s="244"/>
    </row>
    <row r="23" spans="3:17" x14ac:dyDescent="0.25">
      <c r="C23" s="45"/>
      <c r="D23" s="46"/>
      <c r="E23" s="44"/>
      <c r="F23" s="46"/>
      <c r="G23" s="46"/>
      <c r="H23" s="145"/>
      <c r="I23" s="145"/>
      <c r="J23" s="146"/>
      <c r="L23" s="153"/>
      <c r="N23" s="244"/>
      <c r="O23" s="244"/>
      <c r="P23" s="244"/>
      <c r="Q23" s="244"/>
    </row>
    <row r="24" spans="3:17" x14ac:dyDescent="0.25">
      <c r="C24" s="45"/>
      <c r="D24" s="46"/>
      <c r="E24" s="44"/>
      <c r="F24" s="46"/>
      <c r="G24" s="46"/>
      <c r="H24" s="145"/>
      <c r="I24" s="145"/>
      <c r="J24" s="146"/>
      <c r="L24" s="153"/>
      <c r="N24" s="244"/>
      <c r="O24" s="244"/>
      <c r="P24" s="244"/>
      <c r="Q24" s="244"/>
    </row>
    <row r="25" spans="3:17" x14ac:dyDescent="0.25">
      <c r="C25" s="45"/>
      <c r="D25" s="46"/>
      <c r="E25" s="44"/>
      <c r="F25" s="46"/>
      <c r="G25" s="46"/>
      <c r="H25" s="145"/>
      <c r="I25" s="145"/>
      <c r="J25" s="146"/>
      <c r="L25" s="153"/>
      <c r="N25" s="244"/>
      <c r="O25" s="244"/>
      <c r="P25" s="244"/>
      <c r="Q25" s="244"/>
    </row>
    <row r="26" spans="3:17" x14ac:dyDescent="0.25">
      <c r="C26" s="45"/>
      <c r="D26" s="46"/>
      <c r="E26" s="44"/>
      <c r="F26" s="46"/>
      <c r="G26" s="46"/>
      <c r="H26" s="145"/>
      <c r="I26" s="145"/>
      <c r="J26" s="146"/>
      <c r="L26" s="153"/>
    </row>
    <row r="27" spans="3:17" x14ac:dyDescent="0.25">
      <c r="C27" s="45"/>
      <c r="D27" s="46"/>
      <c r="E27" s="44"/>
      <c r="F27" s="46"/>
      <c r="G27" s="46"/>
      <c r="H27" s="145"/>
      <c r="I27" s="145"/>
      <c r="J27" s="146"/>
      <c r="L27" s="153"/>
    </row>
    <row r="28" spans="3:17" x14ac:dyDescent="0.25">
      <c r="C28" s="45"/>
      <c r="D28" s="46"/>
      <c r="E28" s="46"/>
      <c r="F28" s="46"/>
      <c r="G28" s="46"/>
      <c r="H28" s="145"/>
      <c r="I28" s="145"/>
      <c r="J28" s="146"/>
      <c r="L28" s="153"/>
    </row>
    <row r="29" spans="3:17" x14ac:dyDescent="0.25">
      <c r="C29" s="45"/>
      <c r="D29" s="46"/>
      <c r="E29" s="46"/>
      <c r="F29" s="46"/>
      <c r="G29" s="46"/>
      <c r="H29" s="145"/>
      <c r="I29" s="145"/>
      <c r="J29" s="146"/>
      <c r="L29" s="153"/>
    </row>
    <row r="30" spans="3:17" x14ac:dyDescent="0.25">
      <c r="C30" s="45"/>
      <c r="D30" s="46"/>
      <c r="E30" s="46"/>
      <c r="F30" s="46"/>
      <c r="G30" s="46"/>
      <c r="H30" s="145"/>
      <c r="I30" s="145"/>
      <c r="J30" s="146"/>
      <c r="L30" s="153"/>
    </row>
    <row r="31" spans="3:17" x14ac:dyDescent="0.25">
      <c r="C31" s="45"/>
      <c r="D31" s="46"/>
      <c r="E31" s="46"/>
      <c r="F31" s="46"/>
      <c r="G31" s="46"/>
      <c r="H31" s="145"/>
      <c r="I31" s="145"/>
      <c r="J31" s="146"/>
      <c r="L31" s="153"/>
    </row>
    <row r="32" spans="3:17" x14ac:dyDescent="0.25">
      <c r="C32" s="45"/>
      <c r="D32" s="46"/>
      <c r="E32" s="46"/>
      <c r="F32" s="46"/>
      <c r="G32" s="46"/>
      <c r="H32" s="145"/>
      <c r="I32" s="145"/>
      <c r="J32" s="146"/>
      <c r="L32" s="153"/>
    </row>
    <row r="33" spans="3:17" x14ac:dyDescent="0.25">
      <c r="C33" s="45"/>
      <c r="D33" s="46"/>
      <c r="E33" s="46"/>
      <c r="F33" s="46"/>
      <c r="G33" s="46"/>
      <c r="H33" s="145"/>
      <c r="I33" s="145"/>
      <c r="J33" s="146"/>
      <c r="L33" s="153"/>
    </row>
    <row r="34" spans="3:17" x14ac:dyDescent="0.25">
      <c r="C34" s="45"/>
      <c r="D34" s="46"/>
      <c r="E34" s="46"/>
      <c r="F34" s="46"/>
      <c r="G34" s="46"/>
      <c r="H34" s="145"/>
      <c r="I34" s="145"/>
      <c r="J34" s="146"/>
      <c r="L34" s="153"/>
    </row>
    <row r="35" spans="3:17" x14ac:dyDescent="0.25">
      <c r="C35" s="45"/>
      <c r="D35" s="46"/>
      <c r="E35" s="46"/>
      <c r="F35" s="46"/>
      <c r="G35" s="46"/>
      <c r="H35" s="145"/>
      <c r="I35" s="145"/>
      <c r="J35" s="146"/>
      <c r="L35" s="153"/>
    </row>
    <row r="36" spans="3:17" x14ac:dyDescent="0.25">
      <c r="C36" s="45"/>
      <c r="D36" s="46"/>
      <c r="E36" s="46"/>
      <c r="F36" s="46"/>
      <c r="G36" s="46"/>
      <c r="H36" s="145"/>
      <c r="I36" s="145"/>
      <c r="J36" s="146"/>
      <c r="L36" s="153"/>
    </row>
    <row r="37" spans="3:17" x14ac:dyDescent="0.25">
      <c r="C37" s="45"/>
      <c r="D37" s="46"/>
      <c r="E37" s="46"/>
      <c r="F37" s="46"/>
      <c r="G37" s="46"/>
      <c r="H37" s="145"/>
      <c r="I37" s="145"/>
      <c r="J37" s="146"/>
      <c r="L37" s="153"/>
    </row>
    <row r="38" spans="3:17" x14ac:dyDescent="0.25">
      <c r="C38" s="45"/>
      <c r="D38" s="46"/>
      <c r="E38" s="46"/>
      <c r="F38" s="46"/>
      <c r="G38" s="46"/>
      <c r="H38" s="145"/>
      <c r="I38" s="145"/>
      <c r="J38" s="146"/>
      <c r="L38" s="153"/>
    </row>
    <row r="39" spans="3:17" x14ac:dyDescent="0.25">
      <c r="C39" s="45"/>
      <c r="D39" s="46"/>
      <c r="E39" s="46"/>
      <c r="F39" s="46"/>
      <c r="G39" s="46"/>
      <c r="H39" s="145"/>
      <c r="I39" s="145"/>
      <c r="J39" s="146"/>
      <c r="L39" s="153"/>
    </row>
    <row r="40" spans="3:17" x14ac:dyDescent="0.25">
      <c r="C40" s="47"/>
      <c r="D40" s="147"/>
      <c r="E40" s="147"/>
      <c r="F40" s="147"/>
      <c r="G40" s="147"/>
      <c r="H40" s="148"/>
      <c r="I40" s="148"/>
      <c r="J40" s="149"/>
      <c r="L40" s="154"/>
    </row>
    <row r="43" spans="3:17" ht="15" customHeight="1" x14ac:dyDescent="0.25">
      <c r="C43" s="200" t="s">
        <v>74</v>
      </c>
      <c r="D43" s="201"/>
      <c r="E43" s="201"/>
      <c r="F43" s="201"/>
      <c r="G43" s="201"/>
      <c r="H43" s="201"/>
      <c r="I43" s="201"/>
      <c r="J43" s="201"/>
      <c r="K43" s="201"/>
      <c r="L43" s="202"/>
      <c r="M43" s="4"/>
      <c r="N43" s="4"/>
      <c r="O43" s="4"/>
      <c r="P43" s="4"/>
      <c r="Q43" s="4"/>
    </row>
    <row r="44" spans="3:17" x14ac:dyDescent="0.25">
      <c r="C44" s="209"/>
      <c r="D44" s="210"/>
      <c r="E44" s="210"/>
      <c r="F44" s="210"/>
      <c r="G44" s="210"/>
      <c r="H44" s="210"/>
      <c r="I44" s="210"/>
      <c r="J44" s="210"/>
      <c r="K44" s="210"/>
      <c r="L44" s="211"/>
      <c r="M44" s="4"/>
      <c r="N44" s="4"/>
      <c r="O44" s="4"/>
      <c r="P44" s="4"/>
      <c r="Q44" s="4"/>
    </row>
    <row r="45" spans="3:17" x14ac:dyDescent="0.25">
      <c r="C45" s="209"/>
      <c r="D45" s="210"/>
      <c r="E45" s="210"/>
      <c r="F45" s="210"/>
      <c r="G45" s="210"/>
      <c r="H45" s="210"/>
      <c r="I45" s="210"/>
      <c r="J45" s="210"/>
      <c r="K45" s="210"/>
      <c r="L45" s="211"/>
      <c r="M45" s="4"/>
      <c r="N45" s="4"/>
      <c r="O45" s="4"/>
      <c r="P45" s="4"/>
      <c r="Q45" s="4"/>
    </row>
    <row r="46" spans="3:17" x14ac:dyDescent="0.25">
      <c r="C46" s="209"/>
      <c r="D46" s="210"/>
      <c r="E46" s="210"/>
      <c r="F46" s="210"/>
      <c r="G46" s="210"/>
      <c r="H46" s="210"/>
      <c r="I46" s="210"/>
      <c r="J46" s="210"/>
      <c r="K46" s="210"/>
      <c r="L46" s="211"/>
      <c r="M46" s="4"/>
      <c r="N46" s="4"/>
      <c r="O46" s="4"/>
      <c r="P46" s="4"/>
      <c r="Q46" s="4"/>
    </row>
    <row r="47" spans="3:17" x14ac:dyDescent="0.25">
      <c r="C47" s="203"/>
      <c r="D47" s="245"/>
      <c r="E47" s="245"/>
      <c r="F47" s="245"/>
      <c r="G47" s="245"/>
      <c r="H47" s="245"/>
      <c r="I47" s="245"/>
      <c r="J47" s="245"/>
      <c r="K47" s="245"/>
      <c r="L47" s="205"/>
      <c r="M47" s="4"/>
      <c r="N47" s="4"/>
      <c r="O47" s="4"/>
      <c r="P47" s="4"/>
      <c r="Q47" s="4"/>
    </row>
  </sheetData>
  <mergeCells count="3">
    <mergeCell ref="C8:L9"/>
    <mergeCell ref="N21:Q25"/>
    <mergeCell ref="C43:L4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13</xdr:col>
                    <xdr:colOff>371475</xdr:colOff>
                    <xdr:row>22</xdr:row>
                    <xdr:rowOff>9525</xdr:rowOff>
                  </from>
                  <to>
                    <xdr:col>16</xdr:col>
                    <xdr:colOff>180975</xdr:colOff>
                    <xdr:row>23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70" zoomScaleNormal="70" workbookViewId="0">
      <selection activeCell="C22" sqref="C22"/>
    </sheetView>
  </sheetViews>
  <sheetFormatPr defaultRowHeight="15" x14ac:dyDescent="0.25"/>
  <cols>
    <col min="3" max="3" width="42.140625" customWidth="1"/>
    <col min="4" max="4" width="3.42578125" customWidth="1"/>
    <col min="5" max="5" width="10.5703125" customWidth="1"/>
    <col min="6" max="6" width="21.28515625" customWidth="1"/>
    <col min="7" max="7" width="32.85546875" customWidth="1"/>
    <col min="8" max="8" width="14.140625" customWidth="1"/>
    <col min="9" max="9" width="20.7109375" customWidth="1"/>
    <col min="10" max="10" width="16.140625" customWidth="1"/>
    <col min="11" max="11" width="12" customWidth="1"/>
    <col min="12" max="12" width="11.28515625" customWidth="1"/>
    <col min="13" max="13" width="3.42578125" customWidth="1"/>
    <col min="14" max="14" width="33.5703125" customWidth="1"/>
    <col min="15" max="15" width="52.5703125" customWidth="1"/>
    <col min="16" max="16" width="3" customWidth="1"/>
    <col min="18" max="18" width="11.28515625" customWidth="1"/>
  </cols>
  <sheetData>
    <row r="9" spans="3:15" ht="15" customHeight="1" x14ac:dyDescent="0.25">
      <c r="C9" s="237" t="s">
        <v>116</v>
      </c>
      <c r="D9" s="238"/>
      <c r="E9" s="238"/>
      <c r="F9" s="238"/>
      <c r="G9" s="238"/>
      <c r="H9" s="238"/>
      <c r="I9" s="239"/>
      <c r="J9" s="4"/>
      <c r="K9" s="4"/>
      <c r="L9" s="4"/>
      <c r="M9" s="4"/>
      <c r="N9" s="4"/>
      <c r="O9" s="4"/>
    </row>
    <row r="10" spans="3:15" ht="15" customHeight="1" x14ac:dyDescent="0.25">
      <c r="C10" s="240"/>
      <c r="D10" s="248"/>
      <c r="E10" s="248"/>
      <c r="F10" s="248"/>
      <c r="G10" s="248"/>
      <c r="H10" s="248"/>
      <c r="I10" s="242"/>
      <c r="J10" s="4"/>
      <c r="K10" s="4"/>
      <c r="L10" s="4"/>
      <c r="M10" s="4"/>
      <c r="N10" s="4"/>
      <c r="O10" s="4"/>
    </row>
    <row r="11" spans="3:15" ht="15" customHeight="1" x14ac:dyDescent="0.25"/>
    <row r="12" spans="3:15" x14ac:dyDescent="0.25">
      <c r="C12" s="141" t="s">
        <v>30</v>
      </c>
      <c r="E12" s="246" t="s">
        <v>125</v>
      </c>
      <c r="F12" s="246"/>
      <c r="G12" s="246"/>
      <c r="H12" s="246"/>
      <c r="I12" s="246"/>
      <c r="J12" s="246"/>
      <c r="K12" s="246"/>
      <c r="L12" s="246"/>
      <c r="N12" s="247" t="s">
        <v>20</v>
      </c>
      <c r="O12" s="247"/>
    </row>
    <row r="13" spans="3:15" x14ac:dyDescent="0.25">
      <c r="C13" s="1"/>
    </row>
    <row r="14" spans="3:15" ht="15.75" thickBot="1" x14ac:dyDescent="0.3">
      <c r="C14" s="144" t="s">
        <v>10</v>
      </c>
      <c r="E14" s="58" t="s">
        <v>11</v>
      </c>
      <c r="F14" s="102" t="s">
        <v>2</v>
      </c>
      <c r="G14" s="102" t="s">
        <v>5</v>
      </c>
      <c r="H14" s="102" t="s">
        <v>12</v>
      </c>
      <c r="I14" s="102" t="s">
        <v>13</v>
      </c>
      <c r="J14" s="102" t="s">
        <v>131</v>
      </c>
      <c r="K14" s="102" t="s">
        <v>15</v>
      </c>
      <c r="L14" s="155" t="s">
        <v>132</v>
      </c>
      <c r="N14" s="6" t="s">
        <v>19</v>
      </c>
      <c r="O14" s="7" t="s">
        <v>18</v>
      </c>
    </row>
    <row r="15" spans="3:15" ht="22.5" customHeight="1" thickTop="1" x14ac:dyDescent="0.25">
      <c r="C15" s="31" t="s">
        <v>276</v>
      </c>
      <c r="E15" s="26" t="str">
        <f>IF(C15="","","Instrument")</f>
        <v>Instrument</v>
      </c>
      <c r="F15" s="27" t="str">
        <f t="shared" ref="F15:F42" si="0">IF(C15="","",Scope)</f>
        <v>DemoScope99</v>
      </c>
      <c r="G15" s="27" t="str">
        <f>IF(C15="","",C15)</f>
        <v>MySecurityClassification</v>
      </c>
      <c r="H15" s="27" t="str">
        <f t="shared" ref="H15:H43" si="1">IF(C15="","", "TRUE")</f>
        <v>TRUE</v>
      </c>
      <c r="I15" s="27" t="str">
        <f t="shared" ref="I15:I43" si="2">IF(C15="","",C15)</f>
        <v>MySecurityClassification</v>
      </c>
      <c r="J15" s="28" t="str">
        <f>IF(C15="","","default:string")</f>
        <v>default:string</v>
      </c>
      <c r="K15" s="28" t="str">
        <f>IF(C15="","","TimeVariant")</f>
        <v>TimeVariant</v>
      </c>
      <c r="L15" s="29"/>
      <c r="N15" s="33"/>
      <c r="O15" s="90"/>
    </row>
    <row r="16" spans="3:15" x14ac:dyDescent="0.25">
      <c r="C16" s="31"/>
      <c r="E16" s="26" t="str">
        <f t="shared" ref="E16:E43" si="3">IF(C16="","","Instrument")</f>
        <v/>
      </c>
      <c r="F16" s="27" t="str">
        <f t="shared" si="0"/>
        <v/>
      </c>
      <c r="G16" s="27" t="str">
        <f t="shared" ref="G16:G43" si="4">IF(C16="","",C16)</f>
        <v/>
      </c>
      <c r="H16" s="27" t="str">
        <f t="shared" si="1"/>
        <v/>
      </c>
      <c r="I16" s="27" t="str">
        <f t="shared" si="2"/>
        <v/>
      </c>
      <c r="J16" s="28" t="str">
        <f t="shared" ref="J16:J43" si="5">IF(C16="","","default:string")</f>
        <v/>
      </c>
      <c r="K16" s="28" t="str">
        <f t="shared" ref="K16:K43" si="6">IF(C16="","","TimeVariant")</f>
        <v/>
      </c>
      <c r="L16" s="29"/>
      <c r="N16" s="33"/>
      <c r="O16" s="195"/>
    </row>
    <row r="17" spans="3:18" x14ac:dyDescent="0.25">
      <c r="C17" s="31"/>
      <c r="E17" s="26" t="str">
        <f t="shared" si="3"/>
        <v/>
      </c>
      <c r="F17" s="27" t="str">
        <f t="shared" si="0"/>
        <v/>
      </c>
      <c r="G17" s="27" t="str">
        <f t="shared" si="4"/>
        <v/>
      </c>
      <c r="H17" s="27" t="str">
        <f t="shared" si="1"/>
        <v/>
      </c>
      <c r="I17" s="27" t="str">
        <f t="shared" si="2"/>
        <v/>
      </c>
      <c r="J17" s="28" t="str">
        <f t="shared" si="5"/>
        <v/>
      </c>
      <c r="K17" s="28" t="str">
        <f t="shared" si="6"/>
        <v/>
      </c>
      <c r="L17" s="29"/>
      <c r="N17" s="33"/>
      <c r="O17" s="196"/>
    </row>
    <row r="18" spans="3:18" x14ac:dyDescent="0.25">
      <c r="C18" s="31"/>
      <c r="E18" s="26" t="str">
        <f t="shared" si="3"/>
        <v/>
      </c>
      <c r="F18" s="27" t="str">
        <f t="shared" si="0"/>
        <v/>
      </c>
      <c r="G18" s="27" t="str">
        <f t="shared" si="4"/>
        <v/>
      </c>
      <c r="H18" s="27" t="str">
        <f t="shared" si="1"/>
        <v/>
      </c>
      <c r="I18" s="27" t="str">
        <f t="shared" si="2"/>
        <v/>
      </c>
      <c r="J18" s="28" t="str">
        <f t="shared" si="5"/>
        <v/>
      </c>
      <c r="K18" s="28" t="str">
        <f t="shared" si="6"/>
        <v/>
      </c>
      <c r="L18" s="29"/>
      <c r="N18" s="35"/>
      <c r="O18" s="196"/>
    </row>
    <row r="19" spans="3:18" x14ac:dyDescent="0.25">
      <c r="C19" s="31"/>
      <c r="E19" s="26" t="str">
        <f t="shared" si="3"/>
        <v/>
      </c>
      <c r="F19" s="27" t="str">
        <f t="shared" si="0"/>
        <v/>
      </c>
      <c r="G19" s="27" t="str">
        <f t="shared" si="4"/>
        <v/>
      </c>
      <c r="H19" s="27" t="str">
        <f t="shared" si="1"/>
        <v/>
      </c>
      <c r="I19" s="27" t="str">
        <f t="shared" si="2"/>
        <v/>
      </c>
      <c r="J19" s="28" t="str">
        <f t="shared" si="5"/>
        <v/>
      </c>
      <c r="K19" s="28" t="str">
        <f t="shared" si="6"/>
        <v/>
      </c>
      <c r="L19" s="29" t="str">
        <f>IF(C19="","","Perpetual")</f>
        <v/>
      </c>
      <c r="N19" s="33"/>
      <c r="O19" s="196"/>
    </row>
    <row r="20" spans="3:18" x14ac:dyDescent="0.25">
      <c r="C20" s="31"/>
      <c r="E20" s="26" t="str">
        <f t="shared" si="3"/>
        <v/>
      </c>
      <c r="F20" s="27" t="str">
        <f t="shared" si="0"/>
        <v/>
      </c>
      <c r="G20" s="27" t="str">
        <f t="shared" si="4"/>
        <v/>
      </c>
      <c r="H20" s="27" t="str">
        <f t="shared" si="1"/>
        <v/>
      </c>
      <c r="I20" s="27" t="str">
        <f t="shared" si="2"/>
        <v/>
      </c>
      <c r="J20" s="28" t="str">
        <f t="shared" si="5"/>
        <v/>
      </c>
      <c r="K20" s="28" t="str">
        <f t="shared" si="6"/>
        <v/>
      </c>
      <c r="L20" s="29" t="str">
        <f t="shared" ref="L18:L27" si="7">IF(C20="","","Perpetual")</f>
        <v/>
      </c>
      <c r="N20" s="33"/>
      <c r="O20" s="195"/>
    </row>
    <row r="21" spans="3:18" x14ac:dyDescent="0.25">
      <c r="C21" s="31"/>
      <c r="E21" s="26" t="str">
        <f t="shared" si="3"/>
        <v/>
      </c>
      <c r="F21" s="27" t="str">
        <f t="shared" si="0"/>
        <v/>
      </c>
      <c r="G21" s="27" t="str">
        <f t="shared" si="4"/>
        <v/>
      </c>
      <c r="H21" s="27" t="str">
        <f t="shared" si="1"/>
        <v/>
      </c>
      <c r="I21" s="27" t="str">
        <f t="shared" si="2"/>
        <v/>
      </c>
      <c r="J21" s="28" t="str">
        <f t="shared" si="5"/>
        <v/>
      </c>
      <c r="K21" s="28" t="str">
        <f t="shared" si="6"/>
        <v/>
      </c>
      <c r="L21" s="29" t="str">
        <f t="shared" si="7"/>
        <v/>
      </c>
      <c r="N21" s="33"/>
      <c r="O21" s="196"/>
    </row>
    <row r="22" spans="3:18" x14ac:dyDescent="0.25">
      <c r="C22" s="31"/>
      <c r="E22" s="26" t="str">
        <f t="shared" si="3"/>
        <v/>
      </c>
      <c r="F22" s="27" t="str">
        <f t="shared" si="0"/>
        <v/>
      </c>
      <c r="G22" s="27" t="str">
        <f t="shared" si="4"/>
        <v/>
      </c>
      <c r="H22" s="27" t="str">
        <f t="shared" si="1"/>
        <v/>
      </c>
      <c r="I22" s="27" t="str">
        <f t="shared" si="2"/>
        <v/>
      </c>
      <c r="J22" s="28" t="str">
        <f t="shared" si="5"/>
        <v/>
      </c>
      <c r="K22" s="28" t="str">
        <f t="shared" si="6"/>
        <v/>
      </c>
      <c r="L22" s="29" t="str">
        <f t="shared" si="7"/>
        <v/>
      </c>
      <c r="N22" s="33"/>
      <c r="O22" s="196"/>
    </row>
    <row r="23" spans="3:18" x14ac:dyDescent="0.25">
      <c r="C23" s="31"/>
      <c r="E23" s="26" t="str">
        <f t="shared" si="3"/>
        <v/>
      </c>
      <c r="F23" s="27" t="str">
        <f t="shared" si="0"/>
        <v/>
      </c>
      <c r="G23" s="27" t="str">
        <f t="shared" si="4"/>
        <v/>
      </c>
      <c r="H23" s="27" t="str">
        <f t="shared" si="1"/>
        <v/>
      </c>
      <c r="I23" s="27" t="str">
        <f t="shared" si="2"/>
        <v/>
      </c>
      <c r="J23" s="28" t="str">
        <f t="shared" si="5"/>
        <v/>
      </c>
      <c r="K23" s="28" t="str">
        <f t="shared" si="6"/>
        <v/>
      </c>
      <c r="L23" s="29" t="str">
        <f t="shared" si="7"/>
        <v/>
      </c>
      <c r="N23" s="33"/>
      <c r="O23" s="196"/>
    </row>
    <row r="24" spans="3:18" x14ac:dyDescent="0.25">
      <c r="C24" s="31"/>
      <c r="E24" s="26" t="str">
        <f t="shared" si="3"/>
        <v/>
      </c>
      <c r="F24" s="27" t="str">
        <f t="shared" si="0"/>
        <v/>
      </c>
      <c r="G24" s="27" t="str">
        <f t="shared" si="4"/>
        <v/>
      </c>
      <c r="H24" s="27" t="str">
        <f t="shared" si="1"/>
        <v/>
      </c>
      <c r="I24" s="27" t="str">
        <f t="shared" si="2"/>
        <v/>
      </c>
      <c r="J24" s="28" t="str">
        <f t="shared" si="5"/>
        <v/>
      </c>
      <c r="K24" s="28" t="str">
        <f t="shared" si="6"/>
        <v/>
      </c>
      <c r="L24" s="29" t="str">
        <f t="shared" si="7"/>
        <v/>
      </c>
      <c r="N24" s="33"/>
      <c r="O24" s="196"/>
    </row>
    <row r="25" spans="3:18" x14ac:dyDescent="0.25">
      <c r="C25" s="31"/>
      <c r="E25" s="26" t="str">
        <f t="shared" si="3"/>
        <v/>
      </c>
      <c r="F25" s="27" t="str">
        <f t="shared" si="0"/>
        <v/>
      </c>
      <c r="G25" s="27" t="str">
        <f t="shared" si="4"/>
        <v/>
      </c>
      <c r="H25" s="27" t="str">
        <f t="shared" si="1"/>
        <v/>
      </c>
      <c r="I25" s="27" t="str">
        <f t="shared" si="2"/>
        <v/>
      </c>
      <c r="J25" s="28" t="str">
        <f t="shared" si="5"/>
        <v/>
      </c>
      <c r="K25" s="28" t="str">
        <f t="shared" si="6"/>
        <v/>
      </c>
      <c r="L25" s="29" t="str">
        <f t="shared" si="7"/>
        <v/>
      </c>
      <c r="N25" s="33"/>
      <c r="O25" s="196"/>
    </row>
    <row r="26" spans="3:18" x14ac:dyDescent="0.25">
      <c r="C26" s="31"/>
      <c r="E26" s="26" t="str">
        <f t="shared" si="3"/>
        <v/>
      </c>
      <c r="F26" s="27" t="str">
        <f t="shared" si="0"/>
        <v/>
      </c>
      <c r="G26" s="27" t="str">
        <f t="shared" si="4"/>
        <v/>
      </c>
      <c r="H26" s="27" t="str">
        <f t="shared" si="1"/>
        <v/>
      </c>
      <c r="I26" s="27" t="str">
        <f t="shared" si="2"/>
        <v/>
      </c>
      <c r="J26" s="28" t="str">
        <f t="shared" si="5"/>
        <v/>
      </c>
      <c r="K26" s="28" t="str">
        <f t="shared" si="6"/>
        <v/>
      </c>
      <c r="L26" s="29" t="str">
        <f t="shared" si="7"/>
        <v/>
      </c>
      <c r="N26" s="33"/>
      <c r="O26" s="196"/>
      <c r="Q26" s="244" t="s">
        <v>22</v>
      </c>
      <c r="R26" s="244"/>
    </row>
    <row r="27" spans="3:18" x14ac:dyDescent="0.25">
      <c r="C27" s="31"/>
      <c r="E27" s="26" t="str">
        <f t="shared" si="3"/>
        <v/>
      </c>
      <c r="F27" s="27" t="str">
        <f t="shared" si="0"/>
        <v/>
      </c>
      <c r="G27" s="27" t="str">
        <f t="shared" si="4"/>
        <v/>
      </c>
      <c r="H27" s="27" t="str">
        <f t="shared" si="1"/>
        <v/>
      </c>
      <c r="I27" s="27" t="str">
        <f t="shared" si="2"/>
        <v/>
      </c>
      <c r="J27" s="28" t="str">
        <f t="shared" si="5"/>
        <v/>
      </c>
      <c r="K27" s="28" t="str">
        <f t="shared" si="6"/>
        <v/>
      </c>
      <c r="L27" s="29" t="str">
        <f t="shared" si="7"/>
        <v/>
      </c>
      <c r="N27" s="33"/>
      <c r="O27" s="196"/>
      <c r="Q27" s="244"/>
      <c r="R27" s="244"/>
    </row>
    <row r="28" spans="3:18" x14ac:dyDescent="0.25">
      <c r="C28" s="31"/>
      <c r="E28" s="26" t="str">
        <f t="shared" si="3"/>
        <v/>
      </c>
      <c r="F28" s="27" t="str">
        <f t="shared" si="0"/>
        <v/>
      </c>
      <c r="G28" s="27" t="str">
        <f t="shared" si="4"/>
        <v/>
      </c>
      <c r="H28" s="27" t="str">
        <f t="shared" si="1"/>
        <v/>
      </c>
      <c r="I28" s="27" t="str">
        <f t="shared" si="2"/>
        <v/>
      </c>
      <c r="J28" s="28" t="str">
        <f t="shared" si="5"/>
        <v/>
      </c>
      <c r="K28" s="28" t="str">
        <f t="shared" si="6"/>
        <v/>
      </c>
      <c r="L28" s="29" t="str">
        <f t="shared" ref="L28:L42" si="8">IF(C28="","","Perpetual")</f>
        <v/>
      </c>
      <c r="N28" s="33"/>
      <c r="O28" s="196"/>
      <c r="Q28" s="244"/>
      <c r="R28" s="244"/>
    </row>
    <row r="29" spans="3:18" x14ac:dyDescent="0.25">
      <c r="C29" s="31"/>
      <c r="E29" s="26" t="str">
        <f t="shared" si="3"/>
        <v/>
      </c>
      <c r="F29" s="27" t="str">
        <f t="shared" si="0"/>
        <v/>
      </c>
      <c r="G29" s="27" t="str">
        <f t="shared" si="4"/>
        <v/>
      </c>
      <c r="H29" s="27" t="str">
        <f t="shared" si="1"/>
        <v/>
      </c>
      <c r="I29" s="27" t="str">
        <f t="shared" si="2"/>
        <v/>
      </c>
      <c r="J29" s="28" t="str">
        <f t="shared" si="5"/>
        <v/>
      </c>
      <c r="K29" s="28" t="str">
        <f t="shared" si="6"/>
        <v/>
      </c>
      <c r="L29" s="29" t="str">
        <f t="shared" si="8"/>
        <v/>
      </c>
      <c r="N29" s="33"/>
      <c r="O29" s="34"/>
      <c r="Q29" s="244"/>
      <c r="R29" s="244"/>
    </row>
    <row r="30" spans="3:18" x14ac:dyDescent="0.25">
      <c r="C30" s="31"/>
      <c r="E30" s="26" t="str">
        <f t="shared" si="3"/>
        <v/>
      </c>
      <c r="F30" s="27" t="str">
        <f t="shared" si="0"/>
        <v/>
      </c>
      <c r="G30" s="27" t="str">
        <f t="shared" si="4"/>
        <v/>
      </c>
      <c r="H30" s="27" t="str">
        <f t="shared" si="1"/>
        <v/>
      </c>
      <c r="I30" s="27" t="str">
        <f t="shared" si="2"/>
        <v/>
      </c>
      <c r="J30" s="28" t="str">
        <f t="shared" si="5"/>
        <v/>
      </c>
      <c r="K30" s="28" t="str">
        <f t="shared" si="6"/>
        <v/>
      </c>
      <c r="L30" s="29" t="str">
        <f t="shared" si="8"/>
        <v/>
      </c>
      <c r="N30" s="33"/>
      <c r="O30" s="34"/>
    </row>
    <row r="31" spans="3:18" x14ac:dyDescent="0.25">
      <c r="C31" s="31"/>
      <c r="E31" s="26" t="str">
        <f t="shared" si="3"/>
        <v/>
      </c>
      <c r="F31" s="27" t="str">
        <f t="shared" si="0"/>
        <v/>
      </c>
      <c r="G31" s="27" t="str">
        <f t="shared" si="4"/>
        <v/>
      </c>
      <c r="H31" s="27" t="str">
        <f t="shared" si="1"/>
        <v/>
      </c>
      <c r="I31" s="27" t="str">
        <f t="shared" si="2"/>
        <v/>
      </c>
      <c r="J31" s="28" t="str">
        <f t="shared" si="5"/>
        <v/>
      </c>
      <c r="K31" s="28" t="str">
        <f t="shared" si="6"/>
        <v/>
      </c>
      <c r="L31" s="29" t="str">
        <f t="shared" si="8"/>
        <v/>
      </c>
      <c r="N31" s="33"/>
      <c r="O31" s="34"/>
    </row>
    <row r="32" spans="3:18" x14ac:dyDescent="0.25">
      <c r="C32" s="31"/>
      <c r="E32" s="26" t="str">
        <f t="shared" si="3"/>
        <v/>
      </c>
      <c r="F32" s="27" t="str">
        <f t="shared" si="0"/>
        <v/>
      </c>
      <c r="G32" s="27" t="str">
        <f t="shared" si="4"/>
        <v/>
      </c>
      <c r="H32" s="27" t="str">
        <f t="shared" si="1"/>
        <v/>
      </c>
      <c r="I32" s="27" t="str">
        <f t="shared" si="2"/>
        <v/>
      </c>
      <c r="J32" s="28" t="str">
        <f t="shared" si="5"/>
        <v/>
      </c>
      <c r="K32" s="28" t="str">
        <f t="shared" si="6"/>
        <v/>
      </c>
      <c r="L32" s="29" t="str">
        <f t="shared" si="8"/>
        <v/>
      </c>
      <c r="N32" s="33"/>
      <c r="O32" s="34"/>
      <c r="Q32" s="1"/>
      <c r="R32" s="1"/>
    </row>
    <row r="33" spans="3:18" x14ac:dyDescent="0.25">
      <c r="C33" s="31"/>
      <c r="E33" s="26" t="str">
        <f t="shared" si="3"/>
        <v/>
      </c>
      <c r="F33" s="27" t="str">
        <f t="shared" si="0"/>
        <v/>
      </c>
      <c r="G33" s="27" t="str">
        <f t="shared" si="4"/>
        <v/>
      </c>
      <c r="H33" s="27" t="str">
        <f t="shared" si="1"/>
        <v/>
      </c>
      <c r="I33" s="27" t="str">
        <f t="shared" si="2"/>
        <v/>
      </c>
      <c r="J33" s="28" t="str">
        <f t="shared" si="5"/>
        <v/>
      </c>
      <c r="K33" s="28" t="str">
        <f t="shared" si="6"/>
        <v/>
      </c>
      <c r="L33" s="29" t="str">
        <f t="shared" si="8"/>
        <v/>
      </c>
      <c r="N33" s="33"/>
      <c r="O33" s="34"/>
      <c r="Q33" s="1"/>
      <c r="R33" s="1"/>
    </row>
    <row r="34" spans="3:18" x14ac:dyDescent="0.25">
      <c r="C34" s="31"/>
      <c r="E34" s="26" t="str">
        <f t="shared" si="3"/>
        <v/>
      </c>
      <c r="F34" s="27" t="str">
        <f t="shared" si="0"/>
        <v/>
      </c>
      <c r="G34" s="27" t="str">
        <f t="shared" si="4"/>
        <v/>
      </c>
      <c r="H34" s="27" t="str">
        <f t="shared" si="1"/>
        <v/>
      </c>
      <c r="I34" s="27" t="str">
        <f t="shared" si="2"/>
        <v/>
      </c>
      <c r="J34" s="28" t="str">
        <f t="shared" si="5"/>
        <v/>
      </c>
      <c r="K34" s="28" t="str">
        <f t="shared" si="6"/>
        <v/>
      </c>
      <c r="L34" s="29" t="str">
        <f t="shared" si="8"/>
        <v/>
      </c>
      <c r="N34" s="33"/>
      <c r="O34" s="34"/>
      <c r="Q34" s="1"/>
      <c r="R34" s="1"/>
    </row>
    <row r="35" spans="3:18" x14ac:dyDescent="0.25">
      <c r="C35" s="31"/>
      <c r="E35" s="26" t="str">
        <f t="shared" si="3"/>
        <v/>
      </c>
      <c r="F35" s="27" t="str">
        <f t="shared" si="0"/>
        <v/>
      </c>
      <c r="G35" s="27" t="str">
        <f t="shared" si="4"/>
        <v/>
      </c>
      <c r="H35" s="27" t="str">
        <f t="shared" si="1"/>
        <v/>
      </c>
      <c r="I35" s="27" t="str">
        <f t="shared" si="2"/>
        <v/>
      </c>
      <c r="J35" s="28" t="str">
        <f t="shared" si="5"/>
        <v/>
      </c>
      <c r="K35" s="28" t="str">
        <f t="shared" si="6"/>
        <v/>
      </c>
      <c r="L35" s="29" t="str">
        <f t="shared" si="8"/>
        <v/>
      </c>
      <c r="N35" s="33"/>
      <c r="O35" s="34"/>
    </row>
    <row r="36" spans="3:18" x14ac:dyDescent="0.25">
      <c r="C36" s="31"/>
      <c r="E36" s="26" t="str">
        <f t="shared" si="3"/>
        <v/>
      </c>
      <c r="F36" s="27" t="str">
        <f t="shared" si="0"/>
        <v/>
      </c>
      <c r="G36" s="27" t="str">
        <f t="shared" si="4"/>
        <v/>
      </c>
      <c r="H36" s="27" t="str">
        <f t="shared" si="1"/>
        <v/>
      </c>
      <c r="I36" s="27" t="str">
        <f t="shared" si="2"/>
        <v/>
      </c>
      <c r="J36" s="28" t="str">
        <f t="shared" si="5"/>
        <v/>
      </c>
      <c r="K36" s="28" t="str">
        <f t="shared" si="6"/>
        <v/>
      </c>
      <c r="L36" s="29" t="str">
        <f t="shared" si="8"/>
        <v/>
      </c>
      <c r="N36" s="33"/>
      <c r="O36" s="34"/>
    </row>
    <row r="37" spans="3:18" x14ac:dyDescent="0.25">
      <c r="C37" s="31"/>
      <c r="E37" s="26" t="str">
        <f t="shared" si="3"/>
        <v/>
      </c>
      <c r="F37" s="27" t="str">
        <f t="shared" si="0"/>
        <v/>
      </c>
      <c r="G37" s="27" t="str">
        <f t="shared" si="4"/>
        <v/>
      </c>
      <c r="H37" s="27" t="str">
        <f t="shared" si="1"/>
        <v/>
      </c>
      <c r="I37" s="27" t="str">
        <f t="shared" si="2"/>
        <v/>
      </c>
      <c r="J37" s="28" t="str">
        <f t="shared" si="5"/>
        <v/>
      </c>
      <c r="K37" s="28" t="str">
        <f t="shared" si="6"/>
        <v/>
      </c>
      <c r="L37" s="29" t="str">
        <f t="shared" si="8"/>
        <v/>
      </c>
      <c r="N37" s="33"/>
      <c r="O37" s="34"/>
    </row>
    <row r="38" spans="3:18" x14ac:dyDescent="0.25">
      <c r="C38" s="31"/>
      <c r="E38" s="26" t="str">
        <f t="shared" si="3"/>
        <v/>
      </c>
      <c r="F38" s="27" t="str">
        <f t="shared" si="0"/>
        <v/>
      </c>
      <c r="G38" s="27" t="str">
        <f t="shared" si="4"/>
        <v/>
      </c>
      <c r="H38" s="27" t="str">
        <f t="shared" si="1"/>
        <v/>
      </c>
      <c r="I38" s="27" t="str">
        <f t="shared" si="2"/>
        <v/>
      </c>
      <c r="J38" s="28" t="str">
        <f t="shared" si="5"/>
        <v/>
      </c>
      <c r="K38" s="28" t="str">
        <f t="shared" si="6"/>
        <v/>
      </c>
      <c r="L38" s="29" t="str">
        <f t="shared" si="8"/>
        <v/>
      </c>
      <c r="N38" s="33"/>
      <c r="O38" s="34"/>
    </row>
    <row r="39" spans="3:18" x14ac:dyDescent="0.25">
      <c r="C39" s="31"/>
      <c r="E39" s="26" t="str">
        <f t="shared" si="3"/>
        <v/>
      </c>
      <c r="F39" s="27" t="str">
        <f t="shared" si="0"/>
        <v/>
      </c>
      <c r="G39" s="27" t="str">
        <f t="shared" si="4"/>
        <v/>
      </c>
      <c r="H39" s="27" t="str">
        <f t="shared" si="1"/>
        <v/>
      </c>
      <c r="I39" s="27" t="str">
        <f t="shared" si="2"/>
        <v/>
      </c>
      <c r="J39" s="28" t="str">
        <f t="shared" si="5"/>
        <v/>
      </c>
      <c r="K39" s="28" t="str">
        <f t="shared" si="6"/>
        <v/>
      </c>
      <c r="L39" s="29" t="str">
        <f t="shared" si="8"/>
        <v/>
      </c>
      <c r="N39" s="33"/>
      <c r="O39" s="34"/>
    </row>
    <row r="40" spans="3:18" x14ac:dyDescent="0.25">
      <c r="C40" s="31"/>
      <c r="E40" s="26" t="str">
        <f t="shared" si="3"/>
        <v/>
      </c>
      <c r="F40" s="27" t="str">
        <f t="shared" si="0"/>
        <v/>
      </c>
      <c r="G40" s="27" t="str">
        <f t="shared" si="4"/>
        <v/>
      </c>
      <c r="H40" s="27" t="str">
        <f t="shared" si="1"/>
        <v/>
      </c>
      <c r="I40" s="27" t="str">
        <f t="shared" si="2"/>
        <v/>
      </c>
      <c r="J40" s="28" t="str">
        <f t="shared" si="5"/>
        <v/>
      </c>
      <c r="K40" s="28" t="str">
        <f t="shared" si="6"/>
        <v/>
      </c>
      <c r="L40" s="29" t="str">
        <f t="shared" si="8"/>
        <v/>
      </c>
      <c r="N40" s="33"/>
      <c r="O40" s="34"/>
    </row>
    <row r="41" spans="3:18" x14ac:dyDescent="0.25">
      <c r="C41" s="31"/>
      <c r="E41" s="26" t="str">
        <f t="shared" si="3"/>
        <v/>
      </c>
      <c r="F41" s="27" t="str">
        <f t="shared" si="0"/>
        <v/>
      </c>
      <c r="G41" s="27" t="str">
        <f t="shared" si="4"/>
        <v/>
      </c>
      <c r="H41" s="27" t="str">
        <f t="shared" si="1"/>
        <v/>
      </c>
      <c r="I41" s="27" t="str">
        <f t="shared" si="2"/>
        <v/>
      </c>
      <c r="J41" s="28" t="str">
        <f t="shared" si="5"/>
        <v/>
      </c>
      <c r="K41" s="28" t="str">
        <f t="shared" si="6"/>
        <v/>
      </c>
      <c r="L41" s="29" t="str">
        <f t="shared" si="8"/>
        <v/>
      </c>
      <c r="N41" s="33"/>
      <c r="O41" s="34"/>
    </row>
    <row r="42" spans="3:18" x14ac:dyDescent="0.25">
      <c r="C42" s="31"/>
      <c r="E42" s="26" t="str">
        <f t="shared" si="3"/>
        <v/>
      </c>
      <c r="F42" s="27" t="str">
        <f t="shared" si="0"/>
        <v/>
      </c>
      <c r="G42" s="27" t="str">
        <f t="shared" si="4"/>
        <v/>
      </c>
      <c r="H42" s="27" t="str">
        <f t="shared" si="1"/>
        <v/>
      </c>
      <c r="I42" s="27" t="str">
        <f t="shared" si="2"/>
        <v/>
      </c>
      <c r="J42" s="28" t="str">
        <f t="shared" si="5"/>
        <v/>
      </c>
      <c r="K42" s="28" t="str">
        <f t="shared" si="6"/>
        <v/>
      </c>
      <c r="L42" s="29" t="str">
        <f t="shared" si="8"/>
        <v/>
      </c>
      <c r="N42" s="33"/>
      <c r="O42" s="34"/>
    </row>
    <row r="43" spans="3:18" x14ac:dyDescent="0.25">
      <c r="C43" s="32"/>
      <c r="E43" s="354" t="str">
        <f t="shared" si="3"/>
        <v/>
      </c>
      <c r="F43" s="81"/>
      <c r="G43" s="81" t="str">
        <f t="shared" si="4"/>
        <v/>
      </c>
      <c r="H43" s="81" t="str">
        <f t="shared" si="1"/>
        <v/>
      </c>
      <c r="I43" s="81" t="str">
        <f t="shared" si="2"/>
        <v/>
      </c>
      <c r="J43" s="70" t="str">
        <f t="shared" si="5"/>
        <v/>
      </c>
      <c r="K43" s="70" t="str">
        <f t="shared" si="6"/>
        <v/>
      </c>
      <c r="L43" s="30" t="str">
        <f t="shared" ref="L43" si="9">IF(C43="","","Perpetual")</f>
        <v/>
      </c>
      <c r="N43" s="36"/>
      <c r="O43" s="37"/>
    </row>
    <row r="45" spans="3:18" ht="15" customHeight="1" x14ac:dyDescent="0.25">
      <c r="C45" s="200" t="s">
        <v>21</v>
      </c>
      <c r="D45" s="201"/>
      <c r="E45" s="201"/>
      <c r="F45" s="201"/>
      <c r="G45" s="201"/>
      <c r="H45" s="201"/>
      <c r="I45" s="201"/>
      <c r="J45" s="201"/>
      <c r="K45" s="201"/>
      <c r="L45" s="201"/>
      <c r="M45" s="201"/>
      <c r="N45" s="201"/>
      <c r="O45" s="202"/>
    </row>
    <row r="46" spans="3:18" x14ac:dyDescent="0.25">
      <c r="C46" s="209"/>
      <c r="D46" s="210"/>
      <c r="E46" s="210"/>
      <c r="F46" s="210"/>
      <c r="G46" s="210"/>
      <c r="H46" s="210"/>
      <c r="I46" s="210"/>
      <c r="J46" s="210"/>
      <c r="K46" s="210"/>
      <c r="L46" s="210"/>
      <c r="M46" s="210"/>
      <c r="N46" s="210"/>
      <c r="O46" s="211"/>
    </row>
    <row r="47" spans="3:18" x14ac:dyDescent="0.25">
      <c r="C47" s="209"/>
      <c r="D47" s="210"/>
      <c r="E47" s="210"/>
      <c r="F47" s="210"/>
      <c r="G47" s="210"/>
      <c r="H47" s="210"/>
      <c r="I47" s="210"/>
      <c r="J47" s="210"/>
      <c r="K47" s="210"/>
      <c r="L47" s="210"/>
      <c r="M47" s="210"/>
      <c r="N47" s="210"/>
      <c r="O47" s="211"/>
    </row>
    <row r="48" spans="3:18" x14ac:dyDescent="0.25">
      <c r="C48" s="209"/>
      <c r="D48" s="210"/>
      <c r="E48" s="210"/>
      <c r="F48" s="210"/>
      <c r="G48" s="210"/>
      <c r="H48" s="210"/>
      <c r="I48" s="210"/>
      <c r="J48" s="210"/>
      <c r="K48" s="210"/>
      <c r="L48" s="210"/>
      <c r="M48" s="210"/>
      <c r="N48" s="210"/>
      <c r="O48" s="211"/>
    </row>
    <row r="49" spans="3:15" x14ac:dyDescent="0.25">
      <c r="C49" s="203"/>
      <c r="D49" s="204"/>
      <c r="E49" s="204"/>
      <c r="F49" s="204"/>
      <c r="G49" s="204"/>
      <c r="H49" s="204"/>
      <c r="I49" s="204"/>
      <c r="J49" s="204"/>
      <c r="K49" s="204"/>
      <c r="L49" s="204"/>
      <c r="M49" s="204"/>
      <c r="N49" s="204"/>
      <c r="O49" s="205"/>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topLeftCell="A4" zoomScale="80" zoomScaleNormal="80" workbookViewId="0">
      <selection activeCell="I30" sqref="I30"/>
    </sheetView>
  </sheetViews>
  <sheetFormatPr defaultRowHeight="15" x14ac:dyDescent="0.25"/>
  <cols>
    <col min="1" max="1" width="15.42578125" customWidth="1"/>
    <col min="2" max="2" width="4.140625" customWidth="1"/>
    <col min="3" max="3" width="31.7109375" customWidth="1"/>
    <col min="4" max="4" width="14.28515625" customWidth="1"/>
    <col min="5" max="5" width="49.42578125" customWidth="1"/>
    <col min="6" max="6" width="29.140625" customWidth="1"/>
    <col min="7" max="7" width="33.5703125" customWidth="1"/>
    <col min="8" max="8" width="26.85546875" customWidth="1"/>
    <col min="9" max="9" width="33.42578125" customWidth="1"/>
    <col min="10" max="10" width="16.7109375" customWidth="1"/>
    <col min="11" max="11" width="6" customWidth="1"/>
  </cols>
  <sheetData>
    <row r="6" spans="2:10" x14ac:dyDescent="0.25">
      <c r="H6" s="12"/>
    </row>
    <row r="7" spans="2:10" x14ac:dyDescent="0.25">
      <c r="J7" t="str">
        <f>LEFT($E14,1)</f>
        <v/>
      </c>
    </row>
    <row r="9" spans="2:10" x14ac:dyDescent="0.25">
      <c r="C9" s="249" t="s">
        <v>117</v>
      </c>
      <c r="D9" s="250"/>
      <c r="E9" s="250"/>
      <c r="F9" s="251"/>
    </row>
    <row r="10" spans="2:10" x14ac:dyDescent="0.25">
      <c r="C10" s="252"/>
      <c r="D10" s="253"/>
      <c r="E10" s="253"/>
      <c r="F10" s="254"/>
    </row>
    <row r="11" spans="2:10" x14ac:dyDescent="0.25">
      <c r="C11" s="5"/>
      <c r="D11" s="5"/>
      <c r="E11" s="5"/>
      <c r="F11" s="5"/>
    </row>
    <row r="12" spans="2:10" x14ac:dyDescent="0.25">
      <c r="C12" s="255" t="s">
        <v>34</v>
      </c>
      <c r="D12" s="256"/>
      <c r="E12" s="256"/>
      <c r="F12" s="256"/>
      <c r="G12" s="256"/>
      <c r="H12" s="256"/>
      <c r="I12" s="257"/>
    </row>
    <row r="13" spans="2:10" x14ac:dyDescent="0.25">
      <c r="C13" t="str">
        <f>_xll.fbnClassificationsAdd_Template()</f>
        <v>OK</v>
      </c>
    </row>
    <row r="14" spans="2:10" ht="15.75" customHeight="1" thickBot="1" x14ac:dyDescent="0.3">
      <c r="B14" s="2"/>
      <c r="C14" s="58" t="s">
        <v>8</v>
      </c>
      <c r="D14" s="102" t="s">
        <v>111</v>
      </c>
      <c r="E14" s="103" t="str">
        <f t="array" ref="E14:I14">TRANSPOSE(IF(ClassificationKeys="","",ClassificationKeys))</f>
        <v/>
      </c>
      <c r="F14" s="103" t="str">
        <v/>
      </c>
      <c r="G14" s="103" t="str">
        <v/>
      </c>
      <c r="H14" s="103" t="str">
        <v/>
      </c>
      <c r="I14" s="104" t="str">
        <v/>
      </c>
      <c r="J14" s="157"/>
    </row>
    <row r="15" spans="2:10" ht="15.75" thickTop="1" x14ac:dyDescent="0.25">
      <c r="B15" s="19">
        <v>1</v>
      </c>
      <c r="C15" s="74" t="str">
        <f>IF(Setup!D14=0,NA(),Setup!D14)</f>
        <v>LUID_FO3MZVDA</v>
      </c>
      <c r="D15" s="41">
        <f ca="1">IF(C15="","",TODAY())</f>
        <v>43529</v>
      </c>
      <c r="E15" s="79" t="s">
        <v>251</v>
      </c>
      <c r="F15" s="79"/>
      <c r="G15" s="79"/>
      <c r="H15" s="79"/>
      <c r="I15" s="105"/>
      <c r="J15" s="90" t="s">
        <v>19</v>
      </c>
    </row>
    <row r="16" spans="2:10" x14ac:dyDescent="0.25">
      <c r="B16" s="19">
        <v>2</v>
      </c>
      <c r="C16" s="74" t="str">
        <f>IF(Setup!D15=0,NA(),Setup!D15)</f>
        <v>LUID_L0MLT3RF</v>
      </c>
      <c r="D16" s="41">
        <f t="shared" ref="D16:D36" ca="1" si="0">IF(C16="","",TODAY())</f>
        <v>43529</v>
      </c>
      <c r="E16" s="79" t="s">
        <v>252</v>
      </c>
      <c r="F16" s="79"/>
      <c r="G16" s="79"/>
      <c r="H16" s="79"/>
      <c r="I16" s="105"/>
      <c r="J16" s="34"/>
    </row>
    <row r="17" spans="2:13" x14ac:dyDescent="0.25">
      <c r="B17" s="19">
        <v>3</v>
      </c>
      <c r="C17" s="74" t="str">
        <f>IF(Setup!D16=0,NA(),Setup!D16)</f>
        <v>LUID_0QA5WPQ7</v>
      </c>
      <c r="D17" s="41">
        <f t="shared" ca="1" si="0"/>
        <v>43529</v>
      </c>
      <c r="E17" s="79" t="s">
        <v>253</v>
      </c>
      <c r="F17" s="79"/>
      <c r="G17" s="79"/>
      <c r="H17" s="79"/>
      <c r="I17" s="105"/>
      <c r="J17" s="34"/>
    </row>
    <row r="18" spans="2:13" x14ac:dyDescent="0.25">
      <c r="B18" s="19">
        <v>4</v>
      </c>
      <c r="C18" s="74" t="str">
        <f>IF(Setup!D17=0,NA(),Setup!D17)</f>
        <v>LUID_KAHJTUG3</v>
      </c>
      <c r="D18" s="41">
        <f t="shared" ca="1" si="0"/>
        <v>43529</v>
      </c>
      <c r="E18" s="79" t="s">
        <v>254</v>
      </c>
      <c r="F18" s="79"/>
      <c r="G18" s="79"/>
      <c r="H18" s="79"/>
      <c r="I18" s="105"/>
      <c r="J18" s="34"/>
    </row>
    <row r="19" spans="2:13" x14ac:dyDescent="0.25">
      <c r="B19" s="19">
        <v>5</v>
      </c>
      <c r="C19" s="74" t="str">
        <f>IF(Setup!D18=0,NA(),Setup!D18)</f>
        <v>LUID_5ZJXMMXB</v>
      </c>
      <c r="D19" s="41">
        <f t="shared" ca="1" si="0"/>
        <v>43529</v>
      </c>
      <c r="E19" s="79" t="s">
        <v>255</v>
      </c>
      <c r="F19" s="79"/>
      <c r="G19" s="79"/>
      <c r="H19" s="79"/>
      <c r="I19" s="105"/>
      <c r="J19" s="34"/>
    </row>
    <row r="20" spans="2:13" x14ac:dyDescent="0.25">
      <c r="B20" s="19">
        <v>6</v>
      </c>
      <c r="C20" s="74" t="str">
        <f>IF(Setup!D19=0,NA(),Setup!D19)</f>
        <v>LUID_G4OYJ3P0</v>
      </c>
      <c r="D20" s="41">
        <f t="shared" ca="1" si="0"/>
        <v>43529</v>
      </c>
      <c r="E20" s="79" t="s">
        <v>256</v>
      </c>
      <c r="F20" s="79"/>
      <c r="G20" s="79"/>
      <c r="H20" s="79"/>
      <c r="I20" s="105"/>
      <c r="J20" s="34"/>
    </row>
    <row r="21" spans="2:13" x14ac:dyDescent="0.25">
      <c r="B21" s="19">
        <v>7</v>
      </c>
      <c r="C21" s="74" t="str">
        <f>IF(Setup!D20=0,NA(),Setup!D20)</f>
        <v>LUID_PJKDDUP2</v>
      </c>
      <c r="D21" s="41">
        <f t="shared" ca="1" si="0"/>
        <v>43529</v>
      </c>
      <c r="E21" s="79" t="s">
        <v>257</v>
      </c>
      <c r="F21" s="79"/>
      <c r="G21" s="79"/>
      <c r="H21" s="79"/>
      <c r="I21" s="105"/>
      <c r="J21" s="34"/>
    </row>
    <row r="22" spans="2:13" x14ac:dyDescent="0.25">
      <c r="B22" s="19">
        <v>8</v>
      </c>
      <c r="C22" s="74" t="str">
        <f>IF(Setup!D21=0,NA(),Setup!D21)</f>
        <v>LUID_IWQ59HNL</v>
      </c>
      <c r="D22" s="41">
        <f t="shared" ca="1" si="0"/>
        <v>43529</v>
      </c>
      <c r="E22" s="79" t="s">
        <v>258</v>
      </c>
      <c r="F22" s="79"/>
      <c r="G22" s="79"/>
      <c r="H22" s="79"/>
      <c r="I22" s="105"/>
      <c r="J22" s="34"/>
    </row>
    <row r="23" spans="2:13" x14ac:dyDescent="0.25">
      <c r="B23" s="19">
        <v>9</v>
      </c>
      <c r="C23" s="74" t="str">
        <f>IF(Setup!D22=0,NA(),Setup!D22)</f>
        <v>LUID_YQU54HEB</v>
      </c>
      <c r="D23" s="41">
        <f t="shared" ca="1" si="0"/>
        <v>43529</v>
      </c>
      <c r="E23" s="79" t="s">
        <v>259</v>
      </c>
      <c r="F23" s="79"/>
      <c r="G23" s="79"/>
      <c r="H23" s="79"/>
      <c r="I23" s="105"/>
      <c r="J23" s="34"/>
    </row>
    <row r="24" spans="2:13" x14ac:dyDescent="0.25">
      <c r="B24" s="19">
        <v>10</v>
      </c>
      <c r="C24" s="74" t="str">
        <f>IF(Setup!D23=0,NA(),Setup!D23)</f>
        <v>LUID_BIYPT5WE</v>
      </c>
      <c r="D24" s="41">
        <f t="shared" ca="1" si="0"/>
        <v>43529</v>
      </c>
      <c r="E24" s="79" t="s">
        <v>260</v>
      </c>
      <c r="F24" s="79"/>
      <c r="G24" s="79"/>
      <c r="H24" s="79"/>
      <c r="I24" s="105"/>
      <c r="J24" s="34"/>
    </row>
    <row r="25" spans="2:13" x14ac:dyDescent="0.25">
      <c r="B25" s="19">
        <v>11</v>
      </c>
      <c r="C25" s="74" t="str">
        <f>IF(Setup!D24=0,NA(),Setup!D24)</f>
        <v>LUID_35DC4EH5</v>
      </c>
      <c r="D25" s="41">
        <f t="shared" ca="1" si="0"/>
        <v>43529</v>
      </c>
      <c r="E25" s="79" t="s">
        <v>261</v>
      </c>
      <c r="F25" s="79"/>
      <c r="G25" s="79"/>
      <c r="H25" s="79"/>
      <c r="I25" s="105"/>
      <c r="J25" s="34"/>
    </row>
    <row r="26" spans="2:13" x14ac:dyDescent="0.25">
      <c r="B26" s="19">
        <v>12</v>
      </c>
      <c r="C26" s="74" t="str">
        <f>IF(Setup!D25=0,NA(),Setup!D25)</f>
        <v>LUID_YNFUT4CG</v>
      </c>
      <c r="D26" s="41">
        <f t="shared" ca="1" si="0"/>
        <v>43529</v>
      </c>
      <c r="E26" s="79" t="s">
        <v>262</v>
      </c>
      <c r="F26" s="79"/>
      <c r="G26" s="79"/>
      <c r="H26" s="79"/>
      <c r="I26" s="105"/>
      <c r="J26" s="34"/>
    </row>
    <row r="27" spans="2:13" x14ac:dyDescent="0.25">
      <c r="B27" s="19">
        <v>13</v>
      </c>
      <c r="C27" s="74" t="str">
        <f>IF(Setup!D26=0,NA(),Setup!D26)</f>
        <v>LUID_GV2Z426B</v>
      </c>
      <c r="D27" s="41">
        <f t="shared" ca="1" si="0"/>
        <v>43529</v>
      </c>
      <c r="E27" s="79" t="s">
        <v>263</v>
      </c>
      <c r="F27" s="79"/>
      <c r="G27" s="79"/>
      <c r="H27" s="79"/>
      <c r="I27" s="105"/>
      <c r="J27" s="34"/>
      <c r="L27" s="244" t="s">
        <v>23</v>
      </c>
      <c r="M27" s="244"/>
    </row>
    <row r="28" spans="2:13" x14ac:dyDescent="0.25">
      <c r="B28" s="19">
        <v>14</v>
      </c>
      <c r="C28" s="74" t="str">
        <f>IF(Setup!D27=0,NA(),Setup!D27)</f>
        <v>LUID_NPNS4BL3</v>
      </c>
      <c r="D28" s="41">
        <f t="shared" ca="1" si="0"/>
        <v>43529</v>
      </c>
      <c r="E28" s="79" t="s">
        <v>264</v>
      </c>
      <c r="F28" s="79"/>
      <c r="G28" s="79"/>
      <c r="H28" s="79"/>
      <c r="I28" s="105"/>
      <c r="J28" s="34"/>
      <c r="L28" s="244"/>
      <c r="M28" s="244"/>
    </row>
    <row r="29" spans="2:13" x14ac:dyDescent="0.25">
      <c r="B29" s="19">
        <v>15</v>
      </c>
      <c r="C29" s="74" t="str">
        <f>IF(Setup!D28=0,NA(),Setup!D28)</f>
        <v>LUID_YGHMDW9Z</v>
      </c>
      <c r="D29" s="41">
        <f t="shared" ca="1" si="0"/>
        <v>43529</v>
      </c>
      <c r="E29" s="79" t="s">
        <v>265</v>
      </c>
      <c r="F29" s="79"/>
      <c r="G29" s="79"/>
      <c r="H29" s="79"/>
      <c r="I29" s="105"/>
      <c r="J29" s="34"/>
      <c r="L29" s="244"/>
      <c r="M29" s="244"/>
    </row>
    <row r="30" spans="2:13" x14ac:dyDescent="0.25">
      <c r="B30" s="19">
        <v>16</v>
      </c>
      <c r="C30" s="74" t="str">
        <f>IF(Setup!D29=0,NA(),Setup!D29)</f>
        <v>LUID_DNJRWJO9</v>
      </c>
      <c r="D30" s="41">
        <f t="shared" ca="1" si="0"/>
        <v>43529</v>
      </c>
      <c r="E30" s="79" t="s">
        <v>266</v>
      </c>
      <c r="F30" s="79"/>
      <c r="G30" s="79"/>
      <c r="H30" s="79"/>
      <c r="I30" s="105"/>
      <c r="J30" s="34"/>
      <c r="L30" s="244"/>
      <c r="M30" s="244"/>
    </row>
    <row r="31" spans="2:13" x14ac:dyDescent="0.25">
      <c r="B31" s="19">
        <v>17</v>
      </c>
      <c r="C31" s="74" t="str">
        <f>IF(Setup!D30=0,NA(),Setup!D30)</f>
        <v>LUID_MOTO0E4D</v>
      </c>
      <c r="D31" s="41">
        <f t="shared" ca="1" si="0"/>
        <v>43529</v>
      </c>
      <c r="E31" s="79" t="s">
        <v>267</v>
      </c>
      <c r="F31" s="79"/>
      <c r="G31" s="79"/>
      <c r="H31" s="79"/>
      <c r="I31" s="105"/>
      <c r="J31" s="34"/>
      <c r="L31" s="244"/>
      <c r="M31" s="244"/>
    </row>
    <row r="32" spans="2:13" x14ac:dyDescent="0.25">
      <c r="B32" s="19">
        <v>18</v>
      </c>
      <c r="C32" s="74" t="str">
        <f>IF(Setup!D31=0,NA(),Setup!D31)</f>
        <v>LUID_FKU04OF1</v>
      </c>
      <c r="D32" s="41">
        <f t="shared" ca="1" si="0"/>
        <v>43529</v>
      </c>
      <c r="E32" s="79" t="s">
        <v>268</v>
      </c>
      <c r="F32" s="79"/>
      <c r="G32" s="79"/>
      <c r="H32" s="79"/>
      <c r="I32" s="105"/>
      <c r="J32" s="34"/>
    </row>
    <row r="33" spans="2:15" x14ac:dyDescent="0.25">
      <c r="B33" s="19">
        <v>19</v>
      </c>
      <c r="C33" s="74" t="str">
        <f>IF(Setup!D32=0,NA(),Setup!D32)</f>
        <v>LUID_9665UL2T</v>
      </c>
      <c r="D33" s="41">
        <f t="shared" ca="1" si="0"/>
        <v>43529</v>
      </c>
      <c r="E33" s="79" t="s">
        <v>269</v>
      </c>
      <c r="F33" s="79"/>
      <c r="G33" s="79"/>
      <c r="H33" s="79"/>
      <c r="I33" s="105"/>
      <c r="J33" s="34"/>
    </row>
    <row r="34" spans="2:15" x14ac:dyDescent="0.25">
      <c r="B34" s="19">
        <v>20</v>
      </c>
      <c r="C34" s="74" t="str">
        <f>IF(Setup!D33=0,NA(),Setup!D33)</f>
        <v>LUID_P3U3U6KY</v>
      </c>
      <c r="D34" s="41">
        <f t="shared" ca="1" si="0"/>
        <v>43529</v>
      </c>
      <c r="E34" s="79" t="s">
        <v>270</v>
      </c>
      <c r="F34" s="79"/>
      <c r="G34" s="79"/>
      <c r="H34" s="79"/>
      <c r="I34" s="105"/>
      <c r="J34" s="34"/>
    </row>
    <row r="35" spans="2:15" x14ac:dyDescent="0.25">
      <c r="B35" s="19">
        <v>21</v>
      </c>
      <c r="C35" s="74" t="str">
        <f>IF(Setup!D34=0,NA(),Setup!D34)</f>
        <v>LUID_3MZPBTJD</v>
      </c>
      <c r="D35" s="41">
        <f t="shared" ca="1" si="0"/>
        <v>43529</v>
      </c>
      <c r="E35" s="79" t="s">
        <v>271</v>
      </c>
      <c r="F35" s="79"/>
      <c r="G35" s="79"/>
      <c r="H35" s="79"/>
      <c r="I35" s="105"/>
      <c r="J35" s="34"/>
    </row>
    <row r="36" spans="2:15" x14ac:dyDescent="0.25">
      <c r="B36" s="19">
        <v>22</v>
      </c>
      <c r="C36" s="74" t="str">
        <f>IF(Setup!D35=0,NA(),Setup!D35)</f>
        <v>LUID_F70QBY6X</v>
      </c>
      <c r="D36" s="41">
        <f t="shared" ca="1" si="0"/>
        <v>43529</v>
      </c>
      <c r="E36" s="79" t="s">
        <v>272</v>
      </c>
      <c r="F36" s="79"/>
      <c r="G36" s="79"/>
      <c r="H36" s="79"/>
      <c r="I36" s="105"/>
      <c r="J36" s="34"/>
    </row>
    <row r="37" spans="2:15" x14ac:dyDescent="0.25">
      <c r="B37" s="19">
        <v>23</v>
      </c>
      <c r="C37" s="74" t="e">
        <f>IF(Setup!D36=0,NA(),Setup!D36)</f>
        <v>#N/A</v>
      </c>
      <c r="D37" s="41" t="e">
        <f t="shared" ref="D37:D44" ca="1" si="1">IF(C37="","",TODAY())</f>
        <v>#N/A</v>
      </c>
      <c r="E37" s="79"/>
      <c r="F37" s="79"/>
      <c r="G37" s="79"/>
      <c r="H37" s="79"/>
      <c r="I37" s="105"/>
      <c r="J37" s="34"/>
    </row>
    <row r="38" spans="2:15" x14ac:dyDescent="0.25">
      <c r="B38" s="19">
        <v>24</v>
      </c>
      <c r="C38" s="74" t="e">
        <f>IF(Setup!D37=0,NA(),Setup!D37)</f>
        <v>#N/A</v>
      </c>
      <c r="D38" s="41" t="e">
        <f t="shared" ca="1" si="1"/>
        <v>#N/A</v>
      </c>
      <c r="E38" s="79"/>
      <c r="F38" s="79"/>
      <c r="G38" s="79"/>
      <c r="H38" s="79"/>
      <c r="I38" s="105"/>
      <c r="J38" s="34"/>
    </row>
    <row r="39" spans="2:15" x14ac:dyDescent="0.25">
      <c r="B39" s="19">
        <v>25</v>
      </c>
      <c r="C39" s="74" t="e">
        <f>IF(Setup!D38=0,NA(),Setup!D38)</f>
        <v>#N/A</v>
      </c>
      <c r="D39" s="41" t="e">
        <f t="shared" ca="1" si="1"/>
        <v>#N/A</v>
      </c>
      <c r="E39" s="79"/>
      <c r="F39" s="79"/>
      <c r="G39" s="79"/>
      <c r="H39" s="79"/>
      <c r="I39" s="105"/>
      <c r="J39" s="34"/>
    </row>
    <row r="40" spans="2:15" ht="15" customHeight="1" x14ac:dyDescent="0.25">
      <c r="B40" s="19">
        <v>26</v>
      </c>
      <c r="C40" s="74" t="e">
        <f>IF(Setup!D39=0,NA(),Setup!D39)</f>
        <v>#N/A</v>
      </c>
      <c r="D40" s="41" t="e">
        <f ca="1">IF(C40="","",TODAY())</f>
        <v>#N/A</v>
      </c>
      <c r="E40" s="79"/>
      <c r="F40" s="79"/>
      <c r="G40" s="79"/>
      <c r="H40" s="79"/>
      <c r="I40" s="105"/>
      <c r="J40" s="34"/>
    </row>
    <row r="41" spans="2:15" x14ac:dyDescent="0.25">
      <c r="B41" s="19">
        <v>27</v>
      </c>
      <c r="C41" s="74" t="e">
        <f>IF(Setup!D40=0,NA(),Setup!D40)</f>
        <v>#N/A</v>
      </c>
      <c r="D41" s="41" t="e">
        <f ca="1">IF(C41="","",TODAY())</f>
        <v>#N/A</v>
      </c>
      <c r="E41" s="79"/>
      <c r="F41" s="79"/>
      <c r="G41" s="79"/>
      <c r="H41" s="79"/>
      <c r="I41" s="105"/>
      <c r="J41" s="34"/>
    </row>
    <row r="42" spans="2:15" x14ac:dyDescent="0.25">
      <c r="B42" s="19">
        <v>28</v>
      </c>
      <c r="C42" s="74" t="e">
        <f>IF(Setup!D41=0,NA(),Setup!D41)</f>
        <v>#N/A</v>
      </c>
      <c r="D42" s="41" t="e">
        <f ca="1">IF(C42="","",TODAY())</f>
        <v>#N/A</v>
      </c>
      <c r="E42" s="79"/>
      <c r="F42" s="79"/>
      <c r="G42" s="79"/>
      <c r="H42" s="38"/>
      <c r="I42" s="39"/>
      <c r="J42" s="34"/>
    </row>
    <row r="43" spans="2:15" x14ac:dyDescent="0.25">
      <c r="B43" s="19">
        <v>29</v>
      </c>
      <c r="C43" s="74" t="e">
        <f>IF(Setup!D42=0,NA(),Setup!D42)</f>
        <v>#N/A</v>
      </c>
      <c r="D43" s="41" t="e">
        <f ca="1">IF(C43="","",TODAY())</f>
        <v>#N/A</v>
      </c>
      <c r="E43" s="79"/>
      <c r="F43" s="79"/>
      <c r="G43" s="79"/>
      <c r="H43" s="38"/>
      <c r="I43" s="39"/>
      <c r="J43" s="34"/>
    </row>
    <row r="44" spans="2:15" x14ac:dyDescent="0.25">
      <c r="B44" s="19">
        <v>30</v>
      </c>
      <c r="C44" s="77" t="e">
        <f>IF(Setup!D43=0,NA(),Setup!D43)</f>
        <v>#N/A</v>
      </c>
      <c r="D44" s="106" t="e">
        <f t="shared" ca="1" si="1"/>
        <v>#N/A</v>
      </c>
      <c r="E44" s="107"/>
      <c r="F44" s="107"/>
      <c r="G44" s="107"/>
      <c r="H44" s="108"/>
      <c r="I44" s="40"/>
      <c r="J44" s="37"/>
    </row>
    <row r="45" spans="2:15" x14ac:dyDescent="0.25">
      <c r="B45" s="3"/>
      <c r="C45" s="15"/>
      <c r="D45" s="16"/>
      <c r="E45" s="17"/>
      <c r="F45" s="17"/>
      <c r="G45" s="17"/>
      <c r="H45" s="17"/>
      <c r="I45" s="17"/>
      <c r="J45" s="18"/>
    </row>
    <row r="46" spans="2:15" ht="15" customHeight="1" x14ac:dyDescent="0.25">
      <c r="B46" s="3"/>
      <c r="C46" s="200" t="s">
        <v>37</v>
      </c>
      <c r="D46" s="201"/>
      <c r="E46" s="201"/>
      <c r="F46" s="201"/>
      <c r="G46" s="201"/>
      <c r="H46" s="201"/>
      <c r="I46" s="202"/>
      <c r="J46" s="4"/>
      <c r="K46" s="4"/>
      <c r="L46" s="4"/>
      <c r="M46" s="4"/>
      <c r="N46" s="4"/>
      <c r="O46" s="4"/>
    </row>
    <row r="47" spans="2:15" x14ac:dyDescent="0.25">
      <c r="B47" s="3"/>
      <c r="C47" s="209"/>
      <c r="D47" s="210"/>
      <c r="E47" s="210"/>
      <c r="F47" s="210"/>
      <c r="G47" s="210"/>
      <c r="H47" s="210"/>
      <c r="I47" s="211"/>
      <c r="J47" s="4"/>
      <c r="K47" s="4"/>
      <c r="L47" s="4"/>
      <c r="M47" s="4"/>
      <c r="N47" s="4"/>
      <c r="O47" s="4"/>
    </row>
    <row r="48" spans="2:15" x14ac:dyDescent="0.25">
      <c r="B48" s="3"/>
      <c r="C48" s="209"/>
      <c r="D48" s="210"/>
      <c r="E48" s="210"/>
      <c r="F48" s="210"/>
      <c r="G48" s="210"/>
      <c r="H48" s="210"/>
      <c r="I48" s="211"/>
      <c r="J48" s="4"/>
      <c r="K48" s="4"/>
      <c r="L48" s="4"/>
      <c r="M48" s="4"/>
      <c r="N48" s="4"/>
      <c r="O48" s="4"/>
    </row>
    <row r="49" spans="2:15" x14ac:dyDescent="0.25">
      <c r="B49" s="3"/>
      <c r="C49" s="209"/>
      <c r="D49" s="210"/>
      <c r="E49" s="210"/>
      <c r="F49" s="210"/>
      <c r="G49" s="210"/>
      <c r="H49" s="210"/>
      <c r="I49" s="211"/>
      <c r="J49" s="4"/>
      <c r="K49" s="4"/>
      <c r="L49" s="4"/>
      <c r="M49" s="4"/>
      <c r="N49" s="4"/>
      <c r="O49" s="4"/>
    </row>
    <row r="50" spans="2:15" x14ac:dyDescent="0.25">
      <c r="C50" s="203"/>
      <c r="D50" s="245"/>
      <c r="E50" s="245"/>
      <c r="F50" s="245"/>
      <c r="G50" s="245"/>
      <c r="H50" s="245"/>
      <c r="I50" s="205"/>
      <c r="J50" s="4"/>
      <c r="K50" s="4"/>
      <c r="L50" s="4"/>
      <c r="M50" s="4"/>
      <c r="N50" s="4"/>
      <c r="O50" s="4"/>
    </row>
    <row r="51" spans="2:15" x14ac:dyDescent="0.25">
      <c r="D51" s="15"/>
      <c r="E51" s="16"/>
      <c r="F51" s="17"/>
      <c r="G51" s="17"/>
      <c r="H51" s="17"/>
      <c r="I51" s="17"/>
      <c r="J51" s="17"/>
      <c r="K51" s="18"/>
    </row>
    <row r="52" spans="2:15" x14ac:dyDescent="0.25">
      <c r="D52" s="15"/>
      <c r="E52" s="16"/>
      <c r="F52" s="17"/>
      <c r="G52" s="17"/>
      <c r="H52" s="17"/>
      <c r="I52" s="17"/>
      <c r="J52" s="17"/>
      <c r="K52" s="18"/>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P48"/>
  <sheetViews>
    <sheetView topLeftCell="A7" zoomScale="80" zoomScaleNormal="80" workbookViewId="0">
      <selection activeCell="E13" sqref="E13"/>
    </sheetView>
  </sheetViews>
  <sheetFormatPr defaultRowHeight="15" x14ac:dyDescent="0.25"/>
  <cols>
    <col min="2" max="2" width="4.42578125" customWidth="1"/>
    <col min="3" max="3" width="27.85546875" customWidth="1"/>
    <col min="4" max="4" width="33.42578125" customWidth="1"/>
    <col min="5" max="5" width="30.5703125" customWidth="1"/>
    <col min="6" max="6" width="33" customWidth="1"/>
    <col min="7" max="7" width="29.85546875" customWidth="1"/>
    <col min="8" max="8" width="39.85546875" customWidth="1"/>
    <col min="9" max="9" width="34.85546875" customWidth="1"/>
    <col min="11" max="11" width="28.7109375" customWidth="1"/>
  </cols>
  <sheetData>
    <row r="6" spans="2:11" ht="15" customHeight="1" x14ac:dyDescent="0.25"/>
    <row r="7" spans="2:11" x14ac:dyDescent="0.25">
      <c r="C7" s="249" t="s">
        <v>35</v>
      </c>
      <c r="D7" s="250"/>
      <c r="E7" s="250"/>
      <c r="F7" s="251"/>
    </row>
    <row r="8" spans="2:11" x14ac:dyDescent="0.25">
      <c r="C8" s="252"/>
      <c r="D8" s="253"/>
      <c r="E8" s="253"/>
      <c r="F8" s="254"/>
    </row>
    <row r="9" spans="2:11" ht="15.75" x14ac:dyDescent="0.25">
      <c r="C9" s="48"/>
      <c r="D9" s="48"/>
      <c r="E9" s="48"/>
      <c r="F9" s="48"/>
    </row>
    <row r="10" spans="2:11" ht="15.75" x14ac:dyDescent="0.25">
      <c r="C10" s="261" t="s">
        <v>48</v>
      </c>
      <c r="D10" s="261"/>
      <c r="E10" s="48"/>
      <c r="F10" s="48"/>
    </row>
    <row r="12" spans="2:11" x14ac:dyDescent="0.25">
      <c r="C12" s="91" t="s">
        <v>174</v>
      </c>
      <c r="D12" s="73" t="s">
        <v>0</v>
      </c>
      <c r="E12" s="97" t="s">
        <v>175</v>
      </c>
      <c r="F12" s="97" t="s">
        <v>176</v>
      </c>
      <c r="G12" s="97" t="s">
        <v>173</v>
      </c>
      <c r="H12" s="95"/>
      <c r="I12" s="87"/>
      <c r="K12" s="22"/>
    </row>
    <row r="13" spans="2:11" x14ac:dyDescent="0.25">
      <c r="B13" s="50">
        <v>1</v>
      </c>
      <c r="C13" s="82" t="s">
        <v>234</v>
      </c>
      <c r="D13" s="83" t="s">
        <v>235</v>
      </c>
      <c r="E13" s="101" t="e">
        <v>#VALUE!</v>
      </c>
      <c r="F13" s="83" t="s">
        <v>236</v>
      </c>
      <c r="G13" s="83" t="s">
        <v>153</v>
      </c>
      <c r="H13" s="83"/>
      <c r="I13" s="84"/>
      <c r="K13" s="23"/>
    </row>
    <row r="14" spans="2:11" x14ac:dyDescent="0.25">
      <c r="B14" s="51">
        <v>2</v>
      </c>
      <c r="C14" s="82" t="s">
        <v>213</v>
      </c>
      <c r="D14" s="83" t="s">
        <v>214</v>
      </c>
      <c r="E14" s="98" t="e">
        <v>#VALUE!</v>
      </c>
      <c r="F14" s="83" t="s">
        <v>215</v>
      </c>
      <c r="G14" s="83" t="s">
        <v>159</v>
      </c>
      <c r="H14" s="83"/>
      <c r="I14" s="84"/>
      <c r="K14" s="23"/>
    </row>
    <row r="15" spans="2:11" x14ac:dyDescent="0.25">
      <c r="B15" s="51">
        <v>3</v>
      </c>
      <c r="C15" s="82" t="s">
        <v>237</v>
      </c>
      <c r="D15" s="83" t="s">
        <v>238</v>
      </c>
      <c r="E15" s="98" t="e">
        <v>#VALUE!</v>
      </c>
      <c r="F15" s="83" t="s">
        <v>239</v>
      </c>
      <c r="G15" s="83" t="s">
        <v>167</v>
      </c>
      <c r="H15" s="83"/>
      <c r="I15" s="84"/>
      <c r="K15" s="23"/>
    </row>
    <row r="16" spans="2:11" x14ac:dyDescent="0.25">
      <c r="B16" s="51">
        <v>4</v>
      </c>
      <c r="C16" s="82" t="s">
        <v>219</v>
      </c>
      <c r="D16" s="83" t="s">
        <v>220</v>
      </c>
      <c r="E16" s="98" t="e">
        <v>#VALUE!</v>
      </c>
      <c r="F16" s="83" t="s">
        <v>221</v>
      </c>
      <c r="G16" s="83" t="s">
        <v>163</v>
      </c>
      <c r="H16" s="83"/>
      <c r="I16" s="84"/>
      <c r="K16" s="23"/>
    </row>
    <row r="17" spans="2:11" x14ac:dyDescent="0.25">
      <c r="B17" s="51">
        <v>5</v>
      </c>
      <c r="C17" s="82" t="s">
        <v>216</v>
      </c>
      <c r="D17" s="83" t="s">
        <v>217</v>
      </c>
      <c r="E17" s="98" t="e">
        <v>#VALUE!</v>
      </c>
      <c r="F17" s="83" t="s">
        <v>218</v>
      </c>
      <c r="G17" s="83" t="s">
        <v>165</v>
      </c>
      <c r="H17" s="83"/>
      <c r="I17" s="84"/>
      <c r="K17" s="23"/>
    </row>
    <row r="18" spans="2:11" x14ac:dyDescent="0.25">
      <c r="B18" s="51">
        <v>6</v>
      </c>
      <c r="C18" s="82" t="s">
        <v>225</v>
      </c>
      <c r="D18" s="83" t="s">
        <v>226</v>
      </c>
      <c r="E18" s="98" t="e">
        <v>#VALUE!</v>
      </c>
      <c r="F18" s="83" t="s">
        <v>227</v>
      </c>
      <c r="G18" s="83" t="s">
        <v>161</v>
      </c>
      <c r="H18" s="83"/>
      <c r="I18" s="84"/>
      <c r="K18" s="23"/>
    </row>
    <row r="19" spans="2:11" x14ac:dyDescent="0.25">
      <c r="B19" s="51">
        <v>7</v>
      </c>
      <c r="C19" s="82" t="s">
        <v>189</v>
      </c>
      <c r="D19" s="83" t="s">
        <v>190</v>
      </c>
      <c r="E19" s="98" t="e">
        <v>#VALUE!</v>
      </c>
      <c r="F19" s="83" t="s">
        <v>191</v>
      </c>
      <c r="G19" s="83" t="s">
        <v>164</v>
      </c>
      <c r="H19" s="83"/>
      <c r="I19" s="84"/>
      <c r="K19" s="23"/>
    </row>
    <row r="20" spans="2:11" x14ac:dyDescent="0.25">
      <c r="B20" s="51">
        <v>8</v>
      </c>
      <c r="C20" s="82" t="s">
        <v>177</v>
      </c>
      <c r="D20" s="83" t="s">
        <v>178</v>
      </c>
      <c r="E20" s="98" t="e">
        <v>#VALUE!</v>
      </c>
      <c r="F20" s="83" t="s">
        <v>179</v>
      </c>
      <c r="G20" s="83" t="s">
        <v>160</v>
      </c>
      <c r="H20" s="83"/>
      <c r="I20" s="84"/>
      <c r="K20" s="23"/>
    </row>
    <row r="21" spans="2:11" x14ac:dyDescent="0.25">
      <c r="B21" s="51">
        <v>9</v>
      </c>
      <c r="C21" s="82" t="s">
        <v>183</v>
      </c>
      <c r="D21" s="83" t="s">
        <v>184</v>
      </c>
      <c r="E21" s="98" t="e">
        <v>#VALUE!</v>
      </c>
      <c r="F21" s="83" t="s">
        <v>185</v>
      </c>
      <c r="G21" s="83" t="s">
        <v>169</v>
      </c>
      <c r="H21" s="83"/>
      <c r="I21" s="84"/>
      <c r="K21" s="23"/>
    </row>
    <row r="22" spans="2:11" x14ac:dyDescent="0.25">
      <c r="B22" s="51">
        <v>10</v>
      </c>
      <c r="C22" s="82" t="s">
        <v>180</v>
      </c>
      <c r="D22" s="83" t="s">
        <v>181</v>
      </c>
      <c r="E22" s="98" t="e">
        <v>#VALUE!</v>
      </c>
      <c r="F22" s="83" t="s">
        <v>182</v>
      </c>
      <c r="G22" s="83" t="s">
        <v>172</v>
      </c>
      <c r="H22" s="83"/>
      <c r="I22" s="84"/>
      <c r="K22" s="23"/>
    </row>
    <row r="23" spans="2:11" x14ac:dyDescent="0.25">
      <c r="B23" s="51">
        <v>11</v>
      </c>
      <c r="C23" s="82" t="s">
        <v>231</v>
      </c>
      <c r="D23" s="83" t="s">
        <v>232</v>
      </c>
      <c r="E23" s="98" t="e">
        <v>#VALUE!</v>
      </c>
      <c r="F23" s="83" t="s">
        <v>233</v>
      </c>
      <c r="G23" s="83" t="s">
        <v>141</v>
      </c>
      <c r="H23" s="83"/>
      <c r="I23" s="84"/>
      <c r="K23" s="23"/>
    </row>
    <row r="24" spans="2:11" x14ac:dyDescent="0.25">
      <c r="B24" s="51">
        <v>12</v>
      </c>
      <c r="C24" s="82" t="s">
        <v>228</v>
      </c>
      <c r="D24" s="83" t="s">
        <v>229</v>
      </c>
      <c r="E24" s="98" t="e">
        <v>#VALUE!</v>
      </c>
      <c r="F24" s="83" t="s">
        <v>230</v>
      </c>
      <c r="G24" s="83" t="s">
        <v>158</v>
      </c>
      <c r="H24" s="83"/>
      <c r="I24" s="84"/>
      <c r="K24" s="23"/>
    </row>
    <row r="25" spans="2:11" ht="15" customHeight="1" x14ac:dyDescent="0.25">
      <c r="B25" s="51">
        <v>13</v>
      </c>
      <c r="C25" s="82" t="s">
        <v>204</v>
      </c>
      <c r="D25" s="83" t="s">
        <v>205</v>
      </c>
      <c r="E25" s="98" t="e">
        <v>#VALUE!</v>
      </c>
      <c r="F25" s="83" t="s">
        <v>206</v>
      </c>
      <c r="G25" s="83" t="s">
        <v>170</v>
      </c>
      <c r="H25" s="83"/>
      <c r="I25" s="84"/>
      <c r="K25" s="258" t="s">
        <v>31</v>
      </c>
    </row>
    <row r="26" spans="2:11" x14ac:dyDescent="0.25">
      <c r="B26" s="51">
        <v>14</v>
      </c>
      <c r="C26" s="82" t="s">
        <v>195</v>
      </c>
      <c r="D26" s="83" t="s">
        <v>196</v>
      </c>
      <c r="E26" s="98" t="e">
        <v>#VALUE!</v>
      </c>
      <c r="F26" s="83" t="s">
        <v>197</v>
      </c>
      <c r="G26" s="83" t="s">
        <v>157</v>
      </c>
      <c r="H26" s="83"/>
      <c r="I26" s="84"/>
      <c r="K26" s="259"/>
    </row>
    <row r="27" spans="2:11" x14ac:dyDescent="0.25">
      <c r="B27" s="51">
        <v>15</v>
      </c>
      <c r="C27" s="82" t="s">
        <v>207</v>
      </c>
      <c r="D27" s="83" t="s">
        <v>208</v>
      </c>
      <c r="E27" s="98" t="e">
        <v>#VALUE!</v>
      </c>
      <c r="F27" s="83" t="s">
        <v>209</v>
      </c>
      <c r="G27" s="83" t="s">
        <v>155</v>
      </c>
      <c r="H27" s="83"/>
      <c r="I27" s="84"/>
      <c r="K27" s="259"/>
    </row>
    <row r="28" spans="2:11" x14ac:dyDescent="0.25">
      <c r="B28" s="51">
        <v>16</v>
      </c>
      <c r="C28" s="82" t="s">
        <v>240</v>
      </c>
      <c r="D28" s="83" t="s">
        <v>241</v>
      </c>
      <c r="E28" s="98" t="e">
        <v>#VALUE!</v>
      </c>
      <c r="F28" s="83" t="s">
        <v>242</v>
      </c>
      <c r="G28" s="83" t="s">
        <v>171</v>
      </c>
      <c r="H28" s="83"/>
      <c r="I28" s="84"/>
      <c r="K28" s="260"/>
    </row>
    <row r="29" spans="2:11" x14ac:dyDescent="0.25">
      <c r="B29" s="51">
        <v>17</v>
      </c>
      <c r="C29" s="82" t="s">
        <v>192</v>
      </c>
      <c r="D29" s="83" t="s">
        <v>193</v>
      </c>
      <c r="E29" s="98" t="e">
        <v>#VALUE!</v>
      </c>
      <c r="F29" s="83" t="s">
        <v>194</v>
      </c>
      <c r="G29" s="83" t="s">
        <v>162</v>
      </c>
      <c r="H29" s="83"/>
      <c r="I29" s="84"/>
      <c r="K29" s="23"/>
    </row>
    <row r="30" spans="2:11" x14ac:dyDescent="0.25">
      <c r="B30" s="51">
        <v>18</v>
      </c>
      <c r="C30" s="82" t="s">
        <v>198</v>
      </c>
      <c r="D30" s="83" t="s">
        <v>199</v>
      </c>
      <c r="E30" s="98" t="e">
        <v>#VALUE!</v>
      </c>
      <c r="F30" s="83" t="s">
        <v>200</v>
      </c>
      <c r="G30" s="83" t="s">
        <v>168</v>
      </c>
      <c r="H30" s="83"/>
      <c r="I30" s="84"/>
      <c r="K30" s="23"/>
    </row>
    <row r="31" spans="2:11" x14ac:dyDescent="0.25">
      <c r="B31" s="51">
        <v>19</v>
      </c>
      <c r="C31" s="82" t="s">
        <v>210</v>
      </c>
      <c r="D31" s="83" t="s">
        <v>211</v>
      </c>
      <c r="E31" s="98" t="e">
        <v>#VALUE!</v>
      </c>
      <c r="F31" s="83" t="s">
        <v>212</v>
      </c>
      <c r="G31" s="83" t="s">
        <v>166</v>
      </c>
      <c r="H31" s="83"/>
      <c r="I31" s="84"/>
      <c r="K31" s="23"/>
    </row>
    <row r="32" spans="2:11" x14ac:dyDescent="0.25">
      <c r="B32" s="51">
        <v>20</v>
      </c>
      <c r="C32" s="82" t="s">
        <v>186</v>
      </c>
      <c r="D32" s="83" t="s">
        <v>187</v>
      </c>
      <c r="E32" s="98" t="e">
        <v>#VALUE!</v>
      </c>
      <c r="F32" s="83" t="s">
        <v>188</v>
      </c>
      <c r="G32" s="83" t="s">
        <v>156</v>
      </c>
      <c r="H32" s="83"/>
      <c r="I32" s="84"/>
      <c r="K32" s="23"/>
    </row>
    <row r="33" spans="2:16" x14ac:dyDescent="0.25">
      <c r="B33" s="51">
        <v>21</v>
      </c>
      <c r="C33" s="82" t="s">
        <v>222</v>
      </c>
      <c r="D33" s="83" t="s">
        <v>223</v>
      </c>
      <c r="E33" s="98" t="e">
        <v>#VALUE!</v>
      </c>
      <c r="F33" s="83" t="s">
        <v>224</v>
      </c>
      <c r="G33" s="83" t="s">
        <v>152</v>
      </c>
      <c r="H33" s="83"/>
      <c r="I33" s="84"/>
      <c r="K33" s="23"/>
    </row>
    <row r="34" spans="2:16" x14ac:dyDescent="0.25">
      <c r="B34" s="51">
        <v>22</v>
      </c>
      <c r="C34" s="88" t="s">
        <v>201</v>
      </c>
      <c r="D34" s="83" t="s">
        <v>202</v>
      </c>
      <c r="E34" s="98" t="e">
        <v>#VALUE!</v>
      </c>
      <c r="F34" s="83" t="s">
        <v>203</v>
      </c>
      <c r="G34" s="83" t="s">
        <v>154</v>
      </c>
      <c r="H34" s="83"/>
      <c r="I34" s="84"/>
      <c r="K34" s="23"/>
    </row>
    <row r="35" spans="2:16" x14ac:dyDescent="0.25">
      <c r="B35" s="51">
        <v>23</v>
      </c>
      <c r="C35" s="82"/>
      <c r="D35" s="83"/>
      <c r="E35" s="98"/>
      <c r="F35" s="83"/>
      <c r="G35" s="83"/>
      <c r="H35" s="83"/>
      <c r="I35" s="84"/>
      <c r="K35" s="23"/>
    </row>
    <row r="36" spans="2:16" x14ac:dyDescent="0.25">
      <c r="B36" s="51">
        <v>24</v>
      </c>
      <c r="C36" s="82"/>
      <c r="D36" s="83"/>
      <c r="E36" s="98"/>
      <c r="F36" s="83"/>
      <c r="G36" s="83"/>
      <c r="H36" s="83"/>
      <c r="I36" s="84"/>
      <c r="K36" s="23"/>
    </row>
    <row r="37" spans="2:16" x14ac:dyDescent="0.25">
      <c r="B37" s="51">
        <v>25</v>
      </c>
      <c r="C37" s="82"/>
      <c r="D37" s="83"/>
      <c r="E37" s="98"/>
      <c r="F37" s="83"/>
      <c r="G37" s="83"/>
      <c r="H37" s="83"/>
      <c r="I37" s="84"/>
      <c r="K37" s="23"/>
    </row>
    <row r="38" spans="2:16" x14ac:dyDescent="0.25">
      <c r="B38" s="51">
        <v>26</v>
      </c>
      <c r="C38" s="88"/>
      <c r="D38" s="89"/>
      <c r="E38" s="98"/>
      <c r="F38" s="83"/>
      <c r="G38" s="83"/>
      <c r="H38" s="83"/>
      <c r="I38" s="84"/>
      <c r="K38" s="23"/>
    </row>
    <row r="39" spans="2:16" x14ac:dyDescent="0.25">
      <c r="B39" s="51">
        <v>27</v>
      </c>
      <c r="C39" s="82"/>
      <c r="D39" s="83"/>
      <c r="E39" s="99"/>
      <c r="F39" s="27"/>
      <c r="G39" s="27"/>
      <c r="H39" s="27"/>
      <c r="I39" s="29"/>
      <c r="K39" s="24"/>
    </row>
    <row r="40" spans="2:16" x14ac:dyDescent="0.25">
      <c r="B40" s="51">
        <v>28</v>
      </c>
      <c r="C40" s="82"/>
      <c r="D40" s="83"/>
      <c r="E40" s="99"/>
      <c r="F40" s="27"/>
      <c r="G40" s="27"/>
      <c r="H40" s="27"/>
      <c r="I40" s="29"/>
      <c r="K40" s="24"/>
    </row>
    <row r="41" spans="2:16" x14ac:dyDescent="0.25">
      <c r="B41" s="51">
        <v>29</v>
      </c>
      <c r="C41" s="82"/>
      <c r="D41" s="83"/>
      <c r="E41" s="99"/>
      <c r="F41" s="27"/>
      <c r="G41" s="27"/>
      <c r="H41" s="27"/>
      <c r="I41" s="29"/>
      <c r="K41" s="24"/>
    </row>
    <row r="42" spans="2:16" x14ac:dyDescent="0.25">
      <c r="B42" s="49">
        <v>30</v>
      </c>
      <c r="C42" s="85"/>
      <c r="D42" s="86"/>
      <c r="E42" s="100"/>
      <c r="F42" s="81"/>
      <c r="G42" s="81"/>
      <c r="H42" s="81"/>
      <c r="I42" s="30"/>
      <c r="K42" s="24"/>
    </row>
    <row r="43" spans="2:16" x14ac:dyDescent="0.25">
      <c r="B43" s="20"/>
      <c r="C43" s="21"/>
      <c r="D43" s="21"/>
    </row>
    <row r="44" spans="2:16" ht="15" customHeight="1" x14ac:dyDescent="0.25">
      <c r="C44" s="200" t="s">
        <v>75</v>
      </c>
      <c r="D44" s="201"/>
      <c r="E44" s="201"/>
      <c r="F44" s="201"/>
      <c r="G44" s="201"/>
      <c r="H44" s="201"/>
      <c r="I44" s="202"/>
      <c r="J44" s="4"/>
      <c r="K44" s="4"/>
      <c r="L44" s="4"/>
      <c r="M44" s="4"/>
      <c r="N44" s="4"/>
      <c r="O44" s="4"/>
      <c r="P44" s="4"/>
    </row>
    <row r="45" spans="2:16" x14ac:dyDescent="0.25">
      <c r="C45" s="209"/>
      <c r="D45" s="210"/>
      <c r="E45" s="210"/>
      <c r="F45" s="210"/>
      <c r="G45" s="210"/>
      <c r="H45" s="210"/>
      <c r="I45" s="211"/>
      <c r="J45" s="4"/>
      <c r="K45" s="4"/>
      <c r="L45" s="4"/>
      <c r="M45" s="4"/>
      <c r="N45" s="4"/>
      <c r="O45" s="4"/>
      <c r="P45" s="4"/>
    </row>
    <row r="46" spans="2:16" x14ac:dyDescent="0.25">
      <c r="C46" s="209"/>
      <c r="D46" s="210"/>
      <c r="E46" s="210"/>
      <c r="F46" s="210"/>
      <c r="G46" s="210"/>
      <c r="H46" s="210"/>
      <c r="I46" s="211"/>
      <c r="J46" s="4"/>
      <c r="K46" s="4"/>
      <c r="L46" s="4"/>
      <c r="M46" s="4"/>
      <c r="N46" s="4"/>
      <c r="O46" s="4"/>
      <c r="P46" s="4"/>
    </row>
    <row r="47" spans="2:16" x14ac:dyDescent="0.25">
      <c r="C47" s="209"/>
      <c r="D47" s="210"/>
      <c r="E47" s="210"/>
      <c r="F47" s="210"/>
      <c r="G47" s="210"/>
      <c r="H47" s="210"/>
      <c r="I47" s="211"/>
      <c r="J47" s="4"/>
      <c r="K47" s="4"/>
      <c r="L47" s="4"/>
      <c r="M47" s="4"/>
      <c r="N47" s="4"/>
      <c r="O47" s="4"/>
      <c r="P47" s="4"/>
    </row>
    <row r="48" spans="2:16" x14ac:dyDescent="0.25">
      <c r="C48" s="203"/>
      <c r="D48" s="245"/>
      <c r="E48" s="245"/>
      <c r="F48" s="245"/>
      <c r="G48" s="245"/>
      <c r="H48" s="245"/>
      <c r="I48" s="205"/>
      <c r="J48" s="4"/>
      <c r="K48" s="4"/>
      <c r="L48" s="4"/>
      <c r="M48" s="4"/>
      <c r="N48" s="4"/>
      <c r="O48" s="4"/>
      <c r="P48" s="4"/>
    </row>
  </sheetData>
  <mergeCells count="4">
    <mergeCell ref="C7:F8"/>
    <mergeCell ref="K25:K28"/>
    <mergeCell ref="C10:D10"/>
    <mergeCell ref="C44:I4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10</xdr:col>
                    <xdr:colOff>638175</xdr:colOff>
                    <xdr:row>26</xdr:row>
                    <xdr:rowOff>85725</xdr:rowOff>
                  </from>
                  <to>
                    <xdr:col>10</xdr:col>
                    <xdr:colOff>1228725</xdr:colOff>
                    <xdr:row>27</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P54"/>
  <sheetViews>
    <sheetView topLeftCell="H6" zoomScale="70" zoomScaleNormal="70" workbookViewId="0">
      <selection activeCell="P15" sqref="P15"/>
    </sheetView>
  </sheetViews>
  <sheetFormatPr defaultRowHeight="15" x14ac:dyDescent="0.25"/>
  <cols>
    <col min="3" max="3" width="16.140625" customWidth="1"/>
    <col min="4" max="4" width="27.42578125" customWidth="1"/>
    <col min="5" max="5" width="24.7109375" customWidth="1"/>
    <col min="6" max="6" width="33.28515625" customWidth="1"/>
    <col min="7" max="7" width="36.85546875" customWidth="1"/>
    <col min="8" max="8" width="30.7109375" customWidth="1"/>
    <col min="9" max="9" width="27.710937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20.5703125" customWidth="1"/>
    <col min="17" max="17" width="14.28515625" customWidth="1"/>
    <col min="18" max="18" width="13" customWidth="1"/>
  </cols>
  <sheetData>
    <row r="5" spans="2:16" x14ac:dyDescent="0.25">
      <c r="L5" s="262" t="s">
        <v>143</v>
      </c>
      <c r="M5" s="263"/>
      <c r="N5" s="264"/>
    </row>
    <row r="6" spans="2:16" x14ac:dyDescent="0.25">
      <c r="L6" s="265"/>
      <c r="M6" s="266"/>
      <c r="N6" s="267"/>
    </row>
    <row r="7" spans="2:16" ht="15" customHeight="1" x14ac:dyDescent="0.25">
      <c r="C7" s="237" t="s">
        <v>46</v>
      </c>
      <c r="D7" s="238"/>
      <c r="E7" s="238"/>
      <c r="F7" s="238"/>
      <c r="G7" s="238"/>
      <c r="H7" s="238"/>
      <c r="I7" s="239"/>
      <c r="L7" s="265"/>
      <c r="M7" s="266"/>
      <c r="N7" s="267"/>
    </row>
    <row r="8" spans="2:16" ht="15" customHeight="1" x14ac:dyDescent="0.25">
      <c r="C8" s="240"/>
      <c r="D8" s="241"/>
      <c r="E8" s="241"/>
      <c r="F8" s="241"/>
      <c r="G8" s="241"/>
      <c r="H8" s="241"/>
      <c r="I8" s="242"/>
      <c r="L8" s="265"/>
      <c r="M8" s="266"/>
      <c r="N8" s="267"/>
    </row>
    <row r="9" spans="2:16" ht="15.75" x14ac:dyDescent="0.25">
      <c r="C9" s="48"/>
      <c r="D9" s="48"/>
      <c r="E9" s="48"/>
      <c r="F9" s="48"/>
      <c r="G9" s="48"/>
      <c r="H9" s="48"/>
      <c r="I9" s="48"/>
      <c r="L9" s="268"/>
      <c r="M9" s="269"/>
      <c r="N9" s="270"/>
    </row>
    <row r="10" spans="2:16" x14ac:dyDescent="0.25">
      <c r="C10" s="271" t="s">
        <v>118</v>
      </c>
      <c r="D10" s="272"/>
      <c r="E10" s="272"/>
      <c r="F10" s="273"/>
      <c r="G10" s="277"/>
      <c r="H10" s="96"/>
      <c r="I10" s="96"/>
    </row>
    <row r="11" spans="2:16" x14ac:dyDescent="0.25">
      <c r="C11" s="274"/>
      <c r="D11" s="275"/>
      <c r="E11" s="275"/>
      <c r="F11" s="276"/>
      <c r="G11" s="277"/>
      <c r="H11" s="96"/>
      <c r="I11" s="96"/>
    </row>
    <row r="12" spans="2:16" x14ac:dyDescent="0.25">
      <c r="G12" s="1"/>
    </row>
    <row r="13" spans="2:16" x14ac:dyDescent="0.25">
      <c r="C13" t="str">
        <f>_xll.fbnTradesAdd_Template()</f>
        <v>OK</v>
      </c>
    </row>
    <row r="14" spans="2:16" ht="15.75" thickBot="1" x14ac:dyDescent="0.3">
      <c r="C14" s="180" t="s">
        <v>133</v>
      </c>
      <c r="D14" s="155" t="s">
        <v>134</v>
      </c>
      <c r="E14" s="156" t="s">
        <v>38</v>
      </c>
      <c r="F14" s="156" t="s">
        <v>39</v>
      </c>
      <c r="G14" s="155" t="s">
        <v>243</v>
      </c>
      <c r="H14" s="155" t="s">
        <v>135</v>
      </c>
      <c r="I14" s="155" t="s">
        <v>136</v>
      </c>
      <c r="J14" s="155" t="s">
        <v>40</v>
      </c>
      <c r="K14" s="155" t="s">
        <v>137</v>
      </c>
      <c r="L14" s="155" t="s">
        <v>41</v>
      </c>
      <c r="M14" s="155" t="s">
        <v>42</v>
      </c>
      <c r="N14" s="155" t="s">
        <v>43</v>
      </c>
      <c r="O14" s="155" t="s">
        <v>44</v>
      </c>
      <c r="P14" s="179" t="s">
        <v>4</v>
      </c>
    </row>
    <row r="15" spans="2:16" ht="22.5" customHeight="1" thickTop="1" x14ac:dyDescent="0.25">
      <c r="B15" s="50">
        <v>1</v>
      </c>
      <c r="C15" s="92" t="s">
        <v>140</v>
      </c>
      <c r="D15" s="80">
        <f ca="1">IF(C15="","",TODAY())</f>
        <v>43529</v>
      </c>
      <c r="E15" s="80">
        <f ca="1">IF(D15="","",TODAY())</f>
        <v>43529</v>
      </c>
      <c r="F15" s="80" t="str">
        <f ca="1">IF(E15="","","Buy")</f>
        <v>Buy</v>
      </c>
      <c r="G15" s="27" t="str">
        <f ca="1">IF(E15="","",_xlfn.CONCAT("Figi:",Setup!B15))</f>
        <v>Figi:BBG00DKL90B0</v>
      </c>
      <c r="H15" s="355">
        <f t="shared" ref="H15:I34" ca="1" si="0">IF(G15="","",B15)</f>
        <v>1</v>
      </c>
      <c r="I15" s="355" t="str">
        <f>IF(C15="","","GBP")</f>
        <v>GBP</v>
      </c>
      <c r="J15" s="355" t="str">
        <f ca="1">IF(D15="","","client")</f>
        <v>client</v>
      </c>
      <c r="K15" s="355">
        <f ca="1">IF(E15="","",B15)</f>
        <v>1</v>
      </c>
      <c r="L15" s="355">
        <f ca="1">IF(F15="","",B15)</f>
        <v>1</v>
      </c>
      <c r="M15" s="27"/>
      <c r="N15" s="27"/>
      <c r="O15" s="27"/>
      <c r="P15" s="139"/>
    </row>
    <row r="16" spans="2:16" x14ac:dyDescent="0.25">
      <c r="B16" s="51">
        <v>2</v>
      </c>
      <c r="C16" s="92" t="s">
        <v>244</v>
      </c>
      <c r="D16" s="80">
        <f t="shared" ref="D16:E36" ca="1" si="1">IF(C16="","",TODAY())</f>
        <v>43529</v>
      </c>
      <c r="E16" s="80">
        <f t="shared" ca="1" si="1"/>
        <v>43529</v>
      </c>
      <c r="F16" s="80" t="str">
        <f t="shared" ref="F16:H36" ca="1" si="2">IF(E16="","","Buy")</f>
        <v>Buy</v>
      </c>
      <c r="G16" s="27" t="str">
        <f ca="1">IF(E16="","",_xlfn.CONCAT("Figi:",Setup!B16))</f>
        <v>Figi:BBG00DKL91M6</v>
      </c>
      <c r="H16" s="355">
        <f t="shared" ca="1" si="0"/>
        <v>2</v>
      </c>
      <c r="I16" s="355" t="str">
        <f t="shared" ref="I16:I38" si="3">IF(C16="","","GBP")</f>
        <v>GBP</v>
      </c>
      <c r="J16" s="355" t="str">
        <f t="shared" ref="J16:J36" ca="1" si="4">IF(D16="","","client")</f>
        <v>client</v>
      </c>
      <c r="K16" s="355">
        <f t="shared" ref="K16:K36" ca="1" si="5">IF(E16="","",B16)</f>
        <v>2</v>
      </c>
      <c r="L16" s="355">
        <f t="shared" ref="L16:L36" ca="1" si="6">IF(F16="","",B16)</f>
        <v>2</v>
      </c>
      <c r="M16" s="27"/>
      <c r="N16" s="27"/>
      <c r="O16" s="27"/>
      <c r="P16" s="139"/>
    </row>
    <row r="17" spans="2:16" x14ac:dyDescent="0.25">
      <c r="B17" s="51">
        <v>3</v>
      </c>
      <c r="C17" s="92"/>
      <c r="D17" s="80" t="str">
        <f t="shared" ca="1" si="1"/>
        <v/>
      </c>
      <c r="E17" s="80" t="str">
        <f t="shared" ca="1" si="1"/>
        <v/>
      </c>
      <c r="F17" s="80" t="str">
        <f t="shared" ca="1" si="2"/>
        <v/>
      </c>
      <c r="G17" s="27" t="str">
        <f ca="1">IF(E17="","",_xlfn.CONCAT("Figi:",Setup!B17))</f>
        <v/>
      </c>
      <c r="H17" s="355" t="str">
        <f t="shared" ca="1" si="0"/>
        <v/>
      </c>
      <c r="I17" s="355" t="str">
        <f t="shared" si="3"/>
        <v/>
      </c>
      <c r="J17" s="355" t="str">
        <f t="shared" ca="1" si="4"/>
        <v/>
      </c>
      <c r="K17" s="355" t="str">
        <f t="shared" ca="1" si="5"/>
        <v/>
      </c>
      <c r="L17" s="355" t="str">
        <f t="shared" ca="1" si="6"/>
        <v/>
      </c>
      <c r="M17" s="27"/>
      <c r="N17" s="27"/>
      <c r="O17" s="27"/>
      <c r="P17" s="139"/>
    </row>
    <row r="18" spans="2:16" x14ac:dyDescent="0.25">
      <c r="B18" s="51">
        <v>4</v>
      </c>
      <c r="C18" s="92"/>
      <c r="D18" s="80" t="str">
        <f t="shared" ca="1" si="1"/>
        <v/>
      </c>
      <c r="E18" s="80" t="str">
        <f t="shared" ca="1" si="1"/>
        <v/>
      </c>
      <c r="F18" s="80" t="str">
        <f t="shared" ca="1" si="2"/>
        <v/>
      </c>
      <c r="G18" s="27" t="str">
        <f ca="1">IF(E18="","",_xlfn.CONCAT("Figi:",Setup!B18))</f>
        <v/>
      </c>
      <c r="H18" s="355" t="str">
        <f t="shared" ca="1" si="0"/>
        <v/>
      </c>
      <c r="I18" s="355" t="str">
        <f t="shared" si="3"/>
        <v/>
      </c>
      <c r="J18" s="355" t="str">
        <f t="shared" ca="1" si="4"/>
        <v/>
      </c>
      <c r="K18" s="355" t="str">
        <f t="shared" ca="1" si="5"/>
        <v/>
      </c>
      <c r="L18" s="355" t="str">
        <f t="shared" ca="1" si="6"/>
        <v/>
      </c>
      <c r="M18" s="27"/>
      <c r="N18" s="27"/>
      <c r="O18" s="27"/>
      <c r="P18" s="139"/>
    </row>
    <row r="19" spans="2:16" x14ac:dyDescent="0.25">
      <c r="B19" s="51">
        <v>5</v>
      </c>
      <c r="C19" s="92"/>
      <c r="D19" s="80" t="str">
        <f t="shared" ca="1" si="1"/>
        <v/>
      </c>
      <c r="E19" s="80" t="str">
        <f t="shared" ca="1" si="1"/>
        <v/>
      </c>
      <c r="F19" s="80" t="str">
        <f t="shared" ca="1" si="2"/>
        <v/>
      </c>
      <c r="G19" s="27" t="str">
        <f ca="1">IF(E19="","",_xlfn.CONCAT("Figi:",Setup!B19))</f>
        <v/>
      </c>
      <c r="H19" s="355" t="str">
        <f t="shared" ca="1" si="0"/>
        <v/>
      </c>
      <c r="I19" s="355" t="str">
        <f t="shared" si="3"/>
        <v/>
      </c>
      <c r="J19" s="355" t="str">
        <f t="shared" ca="1" si="4"/>
        <v/>
      </c>
      <c r="K19" s="355" t="str">
        <f t="shared" ca="1" si="5"/>
        <v/>
      </c>
      <c r="L19" s="355" t="str">
        <f t="shared" ca="1" si="6"/>
        <v/>
      </c>
      <c r="M19" s="27"/>
      <c r="N19" s="27"/>
      <c r="O19" s="27"/>
      <c r="P19" s="139"/>
    </row>
    <row r="20" spans="2:16" x14ac:dyDescent="0.25">
      <c r="B20" s="51">
        <v>6</v>
      </c>
      <c r="C20" s="92"/>
      <c r="D20" s="80" t="str">
        <f t="shared" ca="1" si="1"/>
        <v/>
      </c>
      <c r="E20" s="80" t="str">
        <f t="shared" ca="1" si="1"/>
        <v/>
      </c>
      <c r="F20" s="80" t="str">
        <f t="shared" ca="1" si="2"/>
        <v/>
      </c>
      <c r="G20" s="27" t="str">
        <f ca="1">IF(E20="","",_xlfn.CONCAT("Figi:",Setup!B20))</f>
        <v/>
      </c>
      <c r="H20" s="355" t="str">
        <f t="shared" ca="1" si="0"/>
        <v/>
      </c>
      <c r="I20" s="355" t="str">
        <f t="shared" si="3"/>
        <v/>
      </c>
      <c r="J20" s="355" t="str">
        <f t="shared" ca="1" si="4"/>
        <v/>
      </c>
      <c r="K20" s="355" t="str">
        <f t="shared" ca="1" si="5"/>
        <v/>
      </c>
      <c r="L20" s="355" t="str">
        <f t="shared" ca="1" si="6"/>
        <v/>
      </c>
      <c r="M20" s="27"/>
      <c r="N20" s="27"/>
      <c r="O20" s="27"/>
      <c r="P20" s="139"/>
    </row>
    <row r="21" spans="2:16" x14ac:dyDescent="0.25">
      <c r="B21" s="51">
        <v>7</v>
      </c>
      <c r="C21" s="92"/>
      <c r="D21" s="80" t="str">
        <f t="shared" ca="1" si="1"/>
        <v/>
      </c>
      <c r="E21" s="80" t="str">
        <f t="shared" ca="1" si="1"/>
        <v/>
      </c>
      <c r="F21" s="80" t="str">
        <f t="shared" ca="1" si="2"/>
        <v/>
      </c>
      <c r="G21" s="27" t="str">
        <f ca="1">IF(E21="","",_xlfn.CONCAT("Figi:",Setup!B21))</f>
        <v/>
      </c>
      <c r="H21" s="355" t="str">
        <f t="shared" ca="1" si="0"/>
        <v/>
      </c>
      <c r="I21" s="355" t="str">
        <f t="shared" si="3"/>
        <v/>
      </c>
      <c r="J21" s="355" t="str">
        <f t="shared" ca="1" si="4"/>
        <v/>
      </c>
      <c r="K21" s="355" t="str">
        <f t="shared" ca="1" si="5"/>
        <v/>
      </c>
      <c r="L21" s="355" t="str">
        <f t="shared" ca="1" si="6"/>
        <v/>
      </c>
      <c r="M21" s="27"/>
      <c r="N21" s="27"/>
      <c r="O21" s="27"/>
      <c r="P21" s="139"/>
    </row>
    <row r="22" spans="2:16" x14ac:dyDescent="0.25">
      <c r="B22" s="51">
        <v>8</v>
      </c>
      <c r="C22" s="92"/>
      <c r="D22" s="80" t="str">
        <f t="shared" ca="1" si="1"/>
        <v/>
      </c>
      <c r="E22" s="80" t="str">
        <f t="shared" ca="1" si="1"/>
        <v/>
      </c>
      <c r="F22" s="80" t="str">
        <f t="shared" ca="1" si="2"/>
        <v/>
      </c>
      <c r="G22" s="27" t="str">
        <f ca="1">IF(E22="","",_xlfn.CONCAT("Figi:",Setup!B22))</f>
        <v/>
      </c>
      <c r="H22" s="355" t="str">
        <f t="shared" ca="1" si="0"/>
        <v/>
      </c>
      <c r="I22" s="355" t="str">
        <f t="shared" si="3"/>
        <v/>
      </c>
      <c r="J22" s="355" t="str">
        <f t="shared" ca="1" si="4"/>
        <v/>
      </c>
      <c r="K22" s="355" t="str">
        <f t="shared" ca="1" si="5"/>
        <v/>
      </c>
      <c r="L22" s="355" t="str">
        <f t="shared" ca="1" si="6"/>
        <v/>
      </c>
      <c r="M22" s="27"/>
      <c r="N22" s="27"/>
      <c r="O22" s="27"/>
      <c r="P22" s="139"/>
    </row>
    <row r="23" spans="2:16" x14ac:dyDescent="0.25">
      <c r="B23" s="51">
        <v>9</v>
      </c>
      <c r="C23" s="92"/>
      <c r="D23" s="80" t="str">
        <f t="shared" ca="1" si="1"/>
        <v/>
      </c>
      <c r="E23" s="80" t="str">
        <f t="shared" ca="1" si="1"/>
        <v/>
      </c>
      <c r="F23" s="80" t="str">
        <f t="shared" ca="1" si="2"/>
        <v/>
      </c>
      <c r="G23" s="27" t="str">
        <f ca="1">IF(E23="","",_xlfn.CONCAT("Figi:",Setup!B23))</f>
        <v/>
      </c>
      <c r="H23" s="355" t="str">
        <f t="shared" ca="1" si="0"/>
        <v/>
      </c>
      <c r="I23" s="355" t="str">
        <f t="shared" si="3"/>
        <v/>
      </c>
      <c r="J23" s="355" t="str">
        <f t="shared" ca="1" si="4"/>
        <v/>
      </c>
      <c r="K23" s="355" t="str">
        <f t="shared" ca="1" si="5"/>
        <v/>
      </c>
      <c r="L23" s="355" t="str">
        <f t="shared" ca="1" si="6"/>
        <v/>
      </c>
      <c r="M23" s="27"/>
      <c r="N23" s="27"/>
      <c r="O23" s="27"/>
      <c r="P23" s="139"/>
    </row>
    <row r="24" spans="2:16" x14ac:dyDescent="0.25">
      <c r="B24" s="51">
        <v>10</v>
      </c>
      <c r="C24" s="92"/>
      <c r="D24" s="80" t="str">
        <f t="shared" ca="1" si="1"/>
        <v/>
      </c>
      <c r="E24" s="80" t="str">
        <f t="shared" ca="1" si="1"/>
        <v/>
      </c>
      <c r="F24" s="80" t="str">
        <f t="shared" ca="1" si="2"/>
        <v/>
      </c>
      <c r="G24" s="27" t="str">
        <f ca="1">IF(E24="","",_xlfn.CONCAT("Figi:",Setup!B24))</f>
        <v/>
      </c>
      <c r="H24" s="355" t="str">
        <f t="shared" ca="1" si="0"/>
        <v/>
      </c>
      <c r="I24" s="355" t="str">
        <f t="shared" si="3"/>
        <v/>
      </c>
      <c r="J24" s="355" t="str">
        <f t="shared" ca="1" si="4"/>
        <v/>
      </c>
      <c r="K24" s="355" t="str">
        <f t="shared" ca="1" si="5"/>
        <v/>
      </c>
      <c r="L24" s="355" t="str">
        <f t="shared" ca="1" si="6"/>
        <v/>
      </c>
      <c r="M24" s="27"/>
      <c r="N24" s="27"/>
      <c r="O24" s="27"/>
      <c r="P24" s="139"/>
    </row>
    <row r="25" spans="2:16" x14ac:dyDescent="0.25">
      <c r="B25" s="51">
        <v>11</v>
      </c>
      <c r="C25" s="92"/>
      <c r="D25" s="80" t="str">
        <f t="shared" ca="1" si="1"/>
        <v/>
      </c>
      <c r="E25" s="80" t="str">
        <f t="shared" ca="1" si="1"/>
        <v/>
      </c>
      <c r="F25" s="80" t="str">
        <f t="shared" ca="1" si="2"/>
        <v/>
      </c>
      <c r="G25" s="27" t="str">
        <f ca="1">IF(E25="","",_xlfn.CONCAT("Figi:",Setup!B25))</f>
        <v/>
      </c>
      <c r="H25" s="355" t="str">
        <f t="shared" ca="1" si="0"/>
        <v/>
      </c>
      <c r="I25" s="355" t="str">
        <f t="shared" si="3"/>
        <v/>
      </c>
      <c r="J25" s="355" t="str">
        <f t="shared" ca="1" si="4"/>
        <v/>
      </c>
      <c r="K25" s="355" t="str">
        <f t="shared" ca="1" si="5"/>
        <v/>
      </c>
      <c r="L25" s="355" t="str">
        <f t="shared" ca="1" si="6"/>
        <v/>
      </c>
      <c r="M25" s="27"/>
      <c r="N25" s="27"/>
      <c r="O25" s="27"/>
      <c r="P25" s="139"/>
    </row>
    <row r="26" spans="2:16" x14ac:dyDescent="0.25">
      <c r="B26" s="51">
        <v>12</v>
      </c>
      <c r="C26" s="92"/>
      <c r="D26" s="80" t="str">
        <f t="shared" ca="1" si="1"/>
        <v/>
      </c>
      <c r="E26" s="80" t="str">
        <f t="shared" ca="1" si="1"/>
        <v/>
      </c>
      <c r="F26" s="80" t="str">
        <f t="shared" ca="1" si="2"/>
        <v/>
      </c>
      <c r="G26" s="27" t="str">
        <f ca="1">IF(E26="","",_xlfn.CONCAT("Figi:",Setup!B26))</f>
        <v/>
      </c>
      <c r="H26" s="355" t="str">
        <f t="shared" ca="1" si="0"/>
        <v/>
      </c>
      <c r="I26" s="355" t="str">
        <f t="shared" si="3"/>
        <v/>
      </c>
      <c r="J26" s="355" t="str">
        <f t="shared" ca="1" si="4"/>
        <v/>
      </c>
      <c r="K26" s="355" t="str">
        <f t="shared" ca="1" si="5"/>
        <v/>
      </c>
      <c r="L26" s="355" t="str">
        <f t="shared" ca="1" si="6"/>
        <v/>
      </c>
      <c r="M26" s="27"/>
      <c r="N26" s="27"/>
      <c r="O26" s="27"/>
      <c r="P26" s="139"/>
    </row>
    <row r="27" spans="2:16" x14ac:dyDescent="0.25">
      <c r="B27" s="51">
        <v>13</v>
      </c>
      <c r="C27" s="92"/>
      <c r="D27" s="80" t="str">
        <f t="shared" ca="1" si="1"/>
        <v/>
      </c>
      <c r="E27" s="80" t="str">
        <f t="shared" ca="1" si="1"/>
        <v/>
      </c>
      <c r="F27" s="80" t="str">
        <f t="shared" ca="1" si="2"/>
        <v/>
      </c>
      <c r="G27" s="27" t="str">
        <f ca="1">IF(E27="","",_xlfn.CONCAT("Figi:",Setup!B27))</f>
        <v/>
      </c>
      <c r="H27" s="355" t="str">
        <f t="shared" ca="1" si="0"/>
        <v/>
      </c>
      <c r="I27" s="355" t="str">
        <f t="shared" si="3"/>
        <v/>
      </c>
      <c r="J27" s="355" t="str">
        <f t="shared" ca="1" si="4"/>
        <v/>
      </c>
      <c r="K27" s="355" t="str">
        <f t="shared" ca="1" si="5"/>
        <v/>
      </c>
      <c r="L27" s="355" t="str">
        <f t="shared" ca="1" si="6"/>
        <v/>
      </c>
      <c r="M27" s="27"/>
      <c r="N27" s="27"/>
      <c r="O27" s="27"/>
      <c r="P27" s="139"/>
    </row>
    <row r="28" spans="2:16" x14ac:dyDescent="0.25">
      <c r="B28" s="51">
        <v>14</v>
      </c>
      <c r="C28" s="92"/>
      <c r="D28" s="80" t="str">
        <f t="shared" ca="1" si="1"/>
        <v/>
      </c>
      <c r="E28" s="80" t="str">
        <f t="shared" ca="1" si="1"/>
        <v/>
      </c>
      <c r="F28" s="80" t="str">
        <f t="shared" ca="1" si="2"/>
        <v/>
      </c>
      <c r="G28" s="27" t="str">
        <f ca="1">IF(E28="","",_xlfn.CONCAT("Figi:",Setup!B28))</f>
        <v/>
      </c>
      <c r="H28" s="355" t="str">
        <f t="shared" ca="1" si="0"/>
        <v/>
      </c>
      <c r="I28" s="355" t="str">
        <f t="shared" si="3"/>
        <v/>
      </c>
      <c r="J28" s="355" t="str">
        <f t="shared" ca="1" si="4"/>
        <v/>
      </c>
      <c r="K28" s="355" t="str">
        <f t="shared" ca="1" si="5"/>
        <v/>
      </c>
      <c r="L28" s="355" t="str">
        <f t="shared" ca="1" si="6"/>
        <v/>
      </c>
      <c r="M28" s="27"/>
      <c r="N28" s="27"/>
      <c r="O28" s="27"/>
      <c r="P28" s="139"/>
    </row>
    <row r="29" spans="2:16" x14ac:dyDescent="0.25">
      <c r="B29" s="51">
        <v>15</v>
      </c>
      <c r="C29" s="92"/>
      <c r="D29" s="80" t="str">
        <f t="shared" ca="1" si="1"/>
        <v/>
      </c>
      <c r="E29" s="80" t="str">
        <f t="shared" ca="1" si="1"/>
        <v/>
      </c>
      <c r="F29" s="80" t="str">
        <f t="shared" ca="1" si="2"/>
        <v/>
      </c>
      <c r="G29" s="27" t="str">
        <f ca="1">IF(E29="","",_xlfn.CONCAT("Figi:",Setup!B29))</f>
        <v/>
      </c>
      <c r="H29" s="355" t="str">
        <f t="shared" ca="1" si="0"/>
        <v/>
      </c>
      <c r="I29" s="355" t="str">
        <f t="shared" si="3"/>
        <v/>
      </c>
      <c r="J29" s="355" t="str">
        <f t="shared" ca="1" si="4"/>
        <v/>
      </c>
      <c r="K29" s="355" t="str">
        <f t="shared" ca="1" si="5"/>
        <v/>
      </c>
      <c r="L29" s="355" t="str">
        <f t="shared" ca="1" si="6"/>
        <v/>
      </c>
      <c r="M29" s="27"/>
      <c r="N29" s="27"/>
      <c r="O29" s="27"/>
      <c r="P29" s="139"/>
    </row>
    <row r="30" spans="2:16" x14ac:dyDescent="0.25">
      <c r="B30" s="51">
        <v>16</v>
      </c>
      <c r="C30" s="92"/>
      <c r="D30" s="80" t="str">
        <f t="shared" ca="1" si="1"/>
        <v/>
      </c>
      <c r="E30" s="80" t="str">
        <f t="shared" ca="1" si="1"/>
        <v/>
      </c>
      <c r="F30" s="80" t="str">
        <f t="shared" ca="1" si="2"/>
        <v/>
      </c>
      <c r="G30" s="27" t="str">
        <f ca="1">IF(E30="","",_xlfn.CONCAT("Figi:",Setup!B30))</f>
        <v/>
      </c>
      <c r="H30" s="355" t="str">
        <f t="shared" ca="1" si="0"/>
        <v/>
      </c>
      <c r="I30" s="355" t="str">
        <f t="shared" si="3"/>
        <v/>
      </c>
      <c r="J30" s="355" t="str">
        <f t="shared" ca="1" si="4"/>
        <v/>
      </c>
      <c r="K30" s="355" t="str">
        <f t="shared" ca="1" si="5"/>
        <v/>
      </c>
      <c r="L30" s="355" t="str">
        <f t="shared" ca="1" si="6"/>
        <v/>
      </c>
      <c r="M30" s="27"/>
      <c r="N30" s="27"/>
      <c r="O30" s="27"/>
      <c r="P30" s="139"/>
    </row>
    <row r="31" spans="2:16" x14ac:dyDescent="0.25">
      <c r="B31" s="51">
        <v>17</v>
      </c>
      <c r="C31" s="92"/>
      <c r="D31" s="80" t="str">
        <f t="shared" ca="1" si="1"/>
        <v/>
      </c>
      <c r="E31" s="80" t="str">
        <f t="shared" ca="1" si="1"/>
        <v/>
      </c>
      <c r="F31" s="80" t="str">
        <f t="shared" ca="1" si="2"/>
        <v/>
      </c>
      <c r="G31" s="27" t="str">
        <f ca="1">IF(E31="","",_xlfn.CONCAT("Figi:",Setup!B31))</f>
        <v/>
      </c>
      <c r="H31" s="355" t="str">
        <f t="shared" ca="1" si="0"/>
        <v/>
      </c>
      <c r="I31" s="355" t="str">
        <f t="shared" si="3"/>
        <v/>
      </c>
      <c r="J31" s="355" t="str">
        <f t="shared" ca="1" si="4"/>
        <v/>
      </c>
      <c r="K31" s="355" t="str">
        <f t="shared" ca="1" si="5"/>
        <v/>
      </c>
      <c r="L31" s="355" t="str">
        <f t="shared" ca="1" si="6"/>
        <v/>
      </c>
      <c r="M31" s="27"/>
      <c r="N31" s="27"/>
      <c r="O31" s="27"/>
      <c r="P31" s="139"/>
    </row>
    <row r="32" spans="2:16" x14ac:dyDescent="0.25">
      <c r="B32" s="51">
        <v>18</v>
      </c>
      <c r="C32" s="92"/>
      <c r="D32" s="80" t="str">
        <f t="shared" ca="1" si="1"/>
        <v/>
      </c>
      <c r="E32" s="80" t="str">
        <f t="shared" ca="1" si="1"/>
        <v/>
      </c>
      <c r="F32" s="80" t="str">
        <f t="shared" ca="1" si="2"/>
        <v/>
      </c>
      <c r="G32" s="27" t="str">
        <f ca="1">IF(E32="","",_xlfn.CONCAT("Figi:",Setup!B32))</f>
        <v/>
      </c>
      <c r="H32" s="355" t="str">
        <f t="shared" ca="1" si="0"/>
        <v/>
      </c>
      <c r="I32" s="355" t="str">
        <f t="shared" si="3"/>
        <v/>
      </c>
      <c r="J32" s="355" t="str">
        <f t="shared" ca="1" si="4"/>
        <v/>
      </c>
      <c r="K32" s="355" t="str">
        <f t="shared" ca="1" si="5"/>
        <v/>
      </c>
      <c r="L32" s="355" t="str">
        <f t="shared" ca="1" si="6"/>
        <v/>
      </c>
      <c r="M32" s="27"/>
      <c r="N32" s="27"/>
      <c r="O32" s="27"/>
      <c r="P32" s="139"/>
    </row>
    <row r="33" spans="2:16" x14ac:dyDescent="0.25">
      <c r="B33" s="51">
        <v>19</v>
      </c>
      <c r="C33" s="92"/>
      <c r="D33" s="80" t="str">
        <f t="shared" ca="1" si="1"/>
        <v/>
      </c>
      <c r="E33" s="80" t="str">
        <f t="shared" ca="1" si="1"/>
        <v/>
      </c>
      <c r="F33" s="80" t="str">
        <f t="shared" ca="1" si="2"/>
        <v/>
      </c>
      <c r="G33" s="27" t="str">
        <f ca="1">IF(E33="","",_xlfn.CONCAT("Figi:",Setup!B33))</f>
        <v/>
      </c>
      <c r="H33" s="355" t="str">
        <f t="shared" ca="1" si="0"/>
        <v/>
      </c>
      <c r="I33" s="355" t="str">
        <f t="shared" si="3"/>
        <v/>
      </c>
      <c r="J33" s="355" t="str">
        <f t="shared" ca="1" si="4"/>
        <v/>
      </c>
      <c r="K33" s="355" t="str">
        <f t="shared" ca="1" si="5"/>
        <v/>
      </c>
      <c r="L33" s="355" t="str">
        <f t="shared" ca="1" si="6"/>
        <v/>
      </c>
      <c r="M33" s="27"/>
      <c r="N33" s="27"/>
      <c r="O33" s="27"/>
      <c r="P33" s="139"/>
    </row>
    <row r="34" spans="2:16" x14ac:dyDescent="0.25">
      <c r="B34" s="51">
        <v>20</v>
      </c>
      <c r="C34" s="92"/>
      <c r="D34" s="80" t="str">
        <f t="shared" ca="1" si="1"/>
        <v/>
      </c>
      <c r="E34" s="80" t="str">
        <f t="shared" ca="1" si="1"/>
        <v/>
      </c>
      <c r="F34" s="80" t="str">
        <f t="shared" ca="1" si="2"/>
        <v/>
      </c>
      <c r="G34" s="27" t="str">
        <f ca="1">IF(E34="","",_xlfn.CONCAT("Figi:",Setup!B34))</f>
        <v/>
      </c>
      <c r="H34" s="355" t="str">
        <f t="shared" ca="1" si="0"/>
        <v/>
      </c>
      <c r="I34" s="355" t="str">
        <f t="shared" si="3"/>
        <v/>
      </c>
      <c r="J34" s="355" t="str">
        <f t="shared" ca="1" si="4"/>
        <v/>
      </c>
      <c r="K34" s="355" t="str">
        <f t="shared" ca="1" si="5"/>
        <v/>
      </c>
      <c r="L34" s="355" t="str">
        <f t="shared" ca="1" si="6"/>
        <v/>
      </c>
      <c r="M34" s="27"/>
      <c r="N34" s="27"/>
      <c r="O34" s="27"/>
      <c r="P34" s="139"/>
    </row>
    <row r="35" spans="2:16" x14ac:dyDescent="0.25">
      <c r="B35" s="51">
        <v>21</v>
      </c>
      <c r="C35" s="92"/>
      <c r="D35" s="80" t="str">
        <f t="shared" ca="1" si="1"/>
        <v/>
      </c>
      <c r="E35" s="80" t="str">
        <f t="shared" ca="1" si="1"/>
        <v/>
      </c>
      <c r="F35" s="80" t="str">
        <f t="shared" ca="1" si="2"/>
        <v/>
      </c>
      <c r="G35" s="27" t="str">
        <f ca="1">IF(E35="","",_xlfn.CONCAT("Figi:",Setup!B35))</f>
        <v/>
      </c>
      <c r="H35" s="355" t="str">
        <f ca="1">IF(G35="","",B35)</f>
        <v/>
      </c>
      <c r="I35" s="355" t="str">
        <f t="shared" si="3"/>
        <v/>
      </c>
      <c r="J35" s="355" t="str">
        <f t="shared" ca="1" si="4"/>
        <v/>
      </c>
      <c r="K35" s="355" t="str">
        <f t="shared" ca="1" si="5"/>
        <v/>
      </c>
      <c r="L35" s="355" t="str">
        <f t="shared" ca="1" si="6"/>
        <v/>
      </c>
      <c r="M35" s="27"/>
      <c r="N35" s="27"/>
      <c r="O35" s="27"/>
      <c r="P35" s="139"/>
    </row>
    <row r="36" spans="2:16" x14ac:dyDescent="0.25">
      <c r="B36" s="51">
        <v>22</v>
      </c>
      <c r="C36" s="92"/>
      <c r="D36" s="80" t="str">
        <f t="shared" ca="1" si="1"/>
        <v/>
      </c>
      <c r="E36" s="80" t="str">
        <f t="shared" ca="1" si="1"/>
        <v/>
      </c>
      <c r="F36" s="80" t="str">
        <f t="shared" ca="1" si="2"/>
        <v/>
      </c>
      <c r="G36" s="27" t="str">
        <f ca="1">IF(E36="","",_xlfn.CONCAT("Figi:",Setup!B36))</f>
        <v/>
      </c>
      <c r="H36" s="355" t="str">
        <f ca="1">IF(G36="","",B36)</f>
        <v/>
      </c>
      <c r="I36" s="355" t="str">
        <f t="shared" si="3"/>
        <v/>
      </c>
      <c r="J36" s="355" t="str">
        <f t="shared" ca="1" si="4"/>
        <v/>
      </c>
      <c r="K36" s="355" t="str">
        <f t="shared" ca="1" si="5"/>
        <v/>
      </c>
      <c r="L36" s="355" t="str">
        <f t="shared" ca="1" si="6"/>
        <v/>
      </c>
      <c r="M36" s="27"/>
      <c r="N36" s="27"/>
      <c r="O36" s="27"/>
      <c r="P36" s="139"/>
    </row>
    <row r="37" spans="2:16" x14ac:dyDescent="0.25">
      <c r="B37" s="51">
        <v>23</v>
      </c>
      <c r="C37" s="92"/>
      <c r="D37" s="27"/>
      <c r="E37" s="80"/>
      <c r="F37" s="80"/>
      <c r="G37" s="27"/>
      <c r="H37" s="355"/>
      <c r="I37" s="355" t="str">
        <f t="shared" si="3"/>
        <v/>
      </c>
      <c r="J37" s="27"/>
      <c r="K37" s="27"/>
      <c r="L37" s="27"/>
      <c r="M37" s="27"/>
      <c r="N37" s="27"/>
      <c r="O37" s="27"/>
      <c r="P37" s="139"/>
    </row>
    <row r="38" spans="2:16" x14ac:dyDescent="0.25">
      <c r="B38" s="51">
        <v>24</v>
      </c>
      <c r="C38" s="92"/>
      <c r="D38" s="27"/>
      <c r="E38" s="80"/>
      <c r="F38" s="80"/>
      <c r="G38" s="27"/>
      <c r="H38" s="355"/>
      <c r="I38" s="355" t="str">
        <f t="shared" si="3"/>
        <v/>
      </c>
      <c r="J38" s="27"/>
      <c r="K38" s="27"/>
      <c r="L38" s="27"/>
      <c r="M38" s="27"/>
      <c r="N38" s="27"/>
      <c r="O38" s="27"/>
      <c r="P38" s="139"/>
    </row>
    <row r="39" spans="2:16" x14ac:dyDescent="0.25">
      <c r="B39" s="51">
        <v>25</v>
      </c>
      <c r="C39" s="92"/>
      <c r="D39" s="27"/>
      <c r="E39" s="80"/>
      <c r="F39" s="80"/>
      <c r="G39" s="28"/>
      <c r="H39" s="355"/>
      <c r="I39" s="27"/>
      <c r="J39" s="27"/>
      <c r="K39" s="27"/>
      <c r="L39" s="27"/>
      <c r="M39" s="27"/>
      <c r="N39" s="27"/>
      <c r="O39" s="27"/>
      <c r="P39" s="139"/>
    </row>
    <row r="40" spans="2:16" x14ac:dyDescent="0.25">
      <c r="B40" s="51">
        <v>26</v>
      </c>
      <c r="C40" s="92"/>
      <c r="D40" s="27"/>
      <c r="E40" s="80"/>
      <c r="F40" s="80"/>
      <c r="G40" s="28"/>
      <c r="H40" s="355"/>
      <c r="I40" s="27"/>
      <c r="J40" s="27"/>
      <c r="K40" s="27"/>
      <c r="L40" s="27"/>
      <c r="M40" s="27"/>
      <c r="N40" s="27"/>
      <c r="O40" s="27"/>
      <c r="P40" s="139"/>
    </row>
    <row r="41" spans="2:16" x14ac:dyDescent="0.25">
      <c r="B41" s="51">
        <v>27</v>
      </c>
      <c r="C41" s="92"/>
      <c r="D41" s="27"/>
      <c r="E41" s="80"/>
      <c r="F41" s="80"/>
      <c r="G41" s="28"/>
      <c r="H41" s="355"/>
      <c r="I41" s="27"/>
      <c r="J41" s="27"/>
      <c r="K41" s="27"/>
      <c r="L41" s="27"/>
      <c r="M41" s="27"/>
      <c r="N41" s="27"/>
      <c r="O41" s="27"/>
      <c r="P41" s="139"/>
    </row>
    <row r="42" spans="2:16" x14ac:dyDescent="0.25">
      <c r="B42" s="51">
        <v>28</v>
      </c>
      <c r="C42" s="92"/>
      <c r="D42" s="27"/>
      <c r="E42" s="80"/>
      <c r="F42" s="80"/>
      <c r="G42" s="28"/>
      <c r="H42" s="355"/>
      <c r="I42" s="27"/>
      <c r="J42" s="27"/>
      <c r="K42" s="27"/>
      <c r="L42" s="27"/>
      <c r="M42" s="27"/>
      <c r="N42" s="27"/>
      <c r="O42" s="27"/>
      <c r="P42" s="139"/>
    </row>
    <row r="43" spans="2:16" x14ac:dyDescent="0.25">
      <c r="B43" s="51">
        <v>29</v>
      </c>
      <c r="C43" s="92"/>
      <c r="D43" s="27"/>
      <c r="E43" s="80"/>
      <c r="F43" s="80"/>
      <c r="G43" s="28"/>
      <c r="H43" s="355"/>
      <c r="I43" s="27"/>
      <c r="J43" s="27"/>
      <c r="K43" s="27"/>
      <c r="L43" s="27"/>
      <c r="M43" s="27"/>
      <c r="N43" s="27"/>
      <c r="O43" s="27"/>
      <c r="P43" s="139"/>
    </row>
    <row r="44" spans="2:16" x14ac:dyDescent="0.25">
      <c r="B44" s="49">
        <v>30</v>
      </c>
      <c r="C44" s="68"/>
      <c r="D44" s="81"/>
      <c r="E44" s="69"/>
      <c r="F44" s="69"/>
      <c r="G44" s="70"/>
      <c r="H44" s="356"/>
      <c r="I44" s="81"/>
      <c r="J44" s="81"/>
      <c r="K44" s="81"/>
      <c r="L44" s="81"/>
      <c r="M44" s="81"/>
      <c r="N44" s="81"/>
      <c r="O44" s="81"/>
      <c r="P44" s="140"/>
    </row>
    <row r="47" spans="2:16" ht="15" customHeight="1" x14ac:dyDescent="0.25">
      <c r="C47" s="200" t="s">
        <v>47</v>
      </c>
      <c r="D47" s="201"/>
      <c r="E47" s="201"/>
      <c r="F47" s="201"/>
      <c r="G47" s="201"/>
      <c r="H47" s="201"/>
      <c r="I47" s="201"/>
      <c r="J47" s="201"/>
      <c r="K47" s="201"/>
      <c r="L47" s="201"/>
      <c r="M47" s="201"/>
      <c r="N47" s="201"/>
      <c r="O47" s="201"/>
    </row>
    <row r="48" spans="2:16" x14ac:dyDescent="0.25">
      <c r="C48" s="209"/>
      <c r="D48" s="210"/>
      <c r="E48" s="210"/>
      <c r="F48" s="210"/>
      <c r="G48" s="210"/>
      <c r="H48" s="210"/>
      <c r="I48" s="210"/>
      <c r="J48" s="210"/>
      <c r="K48" s="210"/>
      <c r="L48" s="210"/>
      <c r="M48" s="210"/>
      <c r="N48" s="210"/>
      <c r="O48" s="210"/>
    </row>
    <row r="49" spans="3:15" x14ac:dyDescent="0.25">
      <c r="C49" s="209"/>
      <c r="D49" s="210"/>
      <c r="E49" s="210"/>
      <c r="F49" s="210"/>
      <c r="G49" s="210"/>
      <c r="H49" s="210"/>
      <c r="I49" s="210"/>
      <c r="J49" s="210"/>
      <c r="K49" s="210"/>
      <c r="L49" s="210"/>
      <c r="M49" s="210"/>
      <c r="N49" s="210"/>
      <c r="O49" s="210"/>
    </row>
    <row r="50" spans="3:15" x14ac:dyDescent="0.25">
      <c r="C50" s="209"/>
      <c r="D50" s="210"/>
      <c r="E50" s="210"/>
      <c r="F50" s="210"/>
      <c r="G50" s="210"/>
      <c r="H50" s="210"/>
      <c r="I50" s="210"/>
      <c r="J50" s="210"/>
      <c r="K50" s="210"/>
      <c r="L50" s="210"/>
      <c r="M50" s="210"/>
      <c r="N50" s="210"/>
      <c r="O50" s="210"/>
    </row>
    <row r="51" spans="3:15" x14ac:dyDescent="0.25">
      <c r="C51" s="203"/>
      <c r="D51" s="245"/>
      <c r="E51" s="245"/>
      <c r="F51" s="245"/>
      <c r="G51" s="245"/>
      <c r="H51" s="245"/>
      <c r="I51" s="245"/>
      <c r="J51" s="245"/>
      <c r="K51" s="245"/>
      <c r="L51" s="245"/>
      <c r="M51" s="245"/>
      <c r="N51" s="245"/>
      <c r="O51" s="245"/>
    </row>
    <row r="54" spans="3:15" x14ac:dyDescent="0.25">
      <c r="J54" s="4"/>
      <c r="K54" s="4"/>
      <c r="L54" s="4"/>
      <c r="M54" s="4"/>
      <c r="N54" s="4"/>
      <c r="O54" s="4"/>
    </row>
  </sheetData>
  <mergeCells count="5">
    <mergeCell ref="C47:O51"/>
    <mergeCell ref="L5:N9"/>
    <mergeCell ref="C7:I8"/>
    <mergeCell ref="C10:F11"/>
    <mergeCell ref="G10:G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1143000</xdr:colOff>
                    <xdr:row>5</xdr:row>
                    <xdr:rowOff>171450</xdr:rowOff>
                  </from>
                  <to>
                    <xdr:col>13</xdr:col>
                    <xdr:colOff>47625</xdr:colOff>
                    <xdr:row>7</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B16" sqref="B16:Q20"/>
    </sheetView>
  </sheetViews>
  <sheetFormatPr defaultRowHeight="15" x14ac:dyDescent="0.25"/>
  <cols>
    <col min="3" max="3" width="15.28515625" bestFit="1" customWidth="1"/>
    <col min="4" max="4" width="17.85546875" bestFit="1" customWidth="1"/>
    <col min="5" max="5" width="17.28515625" style="53" bestFit="1" customWidth="1"/>
    <col min="6" max="6" width="18" style="53" bestFit="1" customWidth="1"/>
    <col min="7" max="7" width="17.28515625" style="53" bestFit="1" customWidth="1"/>
    <col min="8" max="8" width="29.5703125" bestFit="1" customWidth="1"/>
    <col min="9" max="9" width="18" bestFit="1" customWidth="1"/>
    <col min="10" max="10" width="20.85546875" bestFit="1" customWidth="1"/>
    <col min="11" max="11" width="15.28515625" bestFit="1" customWidth="1"/>
    <col min="12" max="12" width="21.5703125" bestFit="1" customWidth="1"/>
    <col min="13" max="13" width="16.42578125" bestFit="1" customWidth="1"/>
    <col min="14" max="14" width="7.7109375" bestFit="1" customWidth="1"/>
    <col min="15" max="15" width="12" bestFit="1" customWidth="1"/>
    <col min="16" max="16" width="22.140625" bestFit="1" customWidth="1"/>
    <col min="17" max="17" width="19.28515625" bestFit="1" customWidth="1"/>
    <col min="18" max="18" width="16.42578125" bestFit="1" customWidth="1"/>
    <col min="19" max="19" width="12" bestFit="1" customWidth="1"/>
    <col min="20" max="20" width="18.140625" bestFit="1" customWidth="1"/>
    <col min="21" max="21" width="22.140625" bestFit="1" customWidth="1"/>
    <col min="22" max="22" width="36.7109375" bestFit="1" customWidth="1"/>
  </cols>
  <sheetData>
    <row r="1" spans="1:14" x14ac:dyDescent="0.25">
      <c r="A1" s="27"/>
    </row>
    <row r="7" spans="1:14" ht="15" customHeight="1" x14ac:dyDescent="0.25">
      <c r="C7" s="237" t="s">
        <v>87</v>
      </c>
      <c r="D7" s="238"/>
      <c r="E7" s="238"/>
      <c r="F7" s="238"/>
      <c r="G7" s="238"/>
      <c r="H7" s="238"/>
      <c r="I7" s="238"/>
      <c r="J7" s="238"/>
      <c r="K7" s="238"/>
      <c r="L7" s="238"/>
      <c r="M7" s="238"/>
      <c r="N7" s="239"/>
    </row>
    <row r="8" spans="1:14" ht="15" customHeight="1" x14ac:dyDescent="0.25">
      <c r="C8" s="240"/>
      <c r="D8" s="248"/>
      <c r="E8" s="248"/>
      <c r="F8" s="248"/>
      <c r="G8" s="248"/>
      <c r="H8" s="248"/>
      <c r="I8" s="248"/>
      <c r="J8" s="248"/>
      <c r="K8" s="248"/>
      <c r="L8" s="248"/>
      <c r="M8" s="248"/>
      <c r="N8" s="242"/>
    </row>
    <row r="9" spans="1:14" ht="15.75" x14ac:dyDescent="0.25">
      <c r="C9" s="48"/>
      <c r="D9" s="48"/>
      <c r="E9" s="52"/>
      <c r="F9" s="52"/>
      <c r="G9" s="52"/>
      <c r="H9" s="48"/>
      <c r="I9" s="48"/>
    </row>
    <row r="10" spans="1:14" ht="15.75" x14ac:dyDescent="0.25">
      <c r="C10" s="280" t="s">
        <v>48</v>
      </c>
      <c r="D10" s="281"/>
      <c r="E10" s="281"/>
      <c r="F10" s="282"/>
      <c r="G10" s="52"/>
      <c r="H10" s="292" t="s">
        <v>81</v>
      </c>
      <c r="I10" s="293"/>
      <c r="J10" s="293"/>
      <c r="K10" s="293"/>
      <c r="L10" s="293"/>
      <c r="M10" s="293"/>
      <c r="N10" s="294"/>
    </row>
    <row r="11" spans="1:14" ht="15.75" x14ac:dyDescent="0.25">
      <c r="C11" s="48"/>
      <c r="D11" s="48"/>
      <c r="E11" s="52"/>
      <c r="F11" s="52"/>
      <c r="G11" s="52"/>
      <c r="H11" s="295"/>
      <c r="I11" s="232"/>
      <c r="J11" s="232"/>
      <c r="K11" s="232"/>
      <c r="L11" s="232"/>
      <c r="M11" s="232"/>
      <c r="N11" s="296"/>
    </row>
    <row r="12" spans="1:14" x14ac:dyDescent="0.25">
      <c r="C12" s="283" t="s">
        <v>123</v>
      </c>
      <c r="D12" s="284"/>
      <c r="E12" s="284"/>
      <c r="F12" s="285"/>
      <c r="G12" s="357"/>
      <c r="H12" s="295"/>
      <c r="I12" s="232"/>
      <c r="J12" s="232"/>
      <c r="K12" s="232"/>
      <c r="L12" s="232"/>
      <c r="M12" s="232"/>
      <c r="N12" s="296"/>
    </row>
    <row r="13" spans="1:14" x14ac:dyDescent="0.25">
      <c r="C13" s="286"/>
      <c r="D13" s="287"/>
      <c r="E13" s="287"/>
      <c r="F13" s="288"/>
      <c r="G13" s="357"/>
      <c r="H13" s="295"/>
      <c r="I13" s="232"/>
      <c r="J13" s="232"/>
      <c r="K13" s="232"/>
      <c r="L13" s="232"/>
      <c r="M13" s="232"/>
      <c r="N13" s="296"/>
    </row>
    <row r="14" spans="1:14" x14ac:dyDescent="0.25">
      <c r="C14" s="289"/>
      <c r="D14" s="290"/>
      <c r="E14" s="290"/>
      <c r="F14" s="291"/>
      <c r="G14" s="358"/>
      <c r="H14" s="297"/>
      <c r="I14" s="298"/>
      <c r="J14" s="298"/>
      <c r="K14" s="298"/>
      <c r="L14" s="298"/>
      <c r="M14" s="298"/>
      <c r="N14" s="299"/>
    </row>
    <row r="15" spans="1:14" x14ac:dyDescent="0.25">
      <c r="G15" s="359"/>
    </row>
    <row r="16" spans="1:14" x14ac:dyDescent="0.25">
      <c r="E16"/>
    </row>
    <row r="17" spans="2:23" x14ac:dyDescent="0.25">
      <c r="E17"/>
      <c r="F17"/>
      <c r="G17"/>
      <c r="W17" s="93"/>
    </row>
    <row r="18" spans="2:23" x14ac:dyDescent="0.25">
      <c r="E18"/>
      <c r="F18"/>
      <c r="G18"/>
      <c r="W18" s="93"/>
    </row>
    <row r="19" spans="2:23" x14ac:dyDescent="0.25">
      <c r="E19"/>
      <c r="F19"/>
      <c r="G19"/>
      <c r="W19" s="93"/>
    </row>
    <row r="20" spans="2:23" x14ac:dyDescent="0.25">
      <c r="E20"/>
      <c r="F20"/>
      <c r="G20"/>
      <c r="W20" s="93"/>
    </row>
    <row r="21" spans="2:23" x14ac:dyDescent="0.25">
      <c r="E21"/>
      <c r="F21"/>
      <c r="G21"/>
      <c r="W21" s="93"/>
    </row>
    <row r="22" spans="2:23" x14ac:dyDescent="0.25">
      <c r="E22"/>
      <c r="F22"/>
      <c r="G22"/>
      <c r="W22" s="93"/>
    </row>
    <row r="23" spans="2:23" x14ac:dyDescent="0.25">
      <c r="E23"/>
      <c r="F23"/>
      <c r="G23"/>
      <c r="W23" s="93"/>
    </row>
    <row r="24" spans="2:23" x14ac:dyDescent="0.25">
      <c r="E24"/>
      <c r="F24"/>
      <c r="G24"/>
      <c r="W24" s="93"/>
    </row>
    <row r="25" spans="2:23" x14ac:dyDescent="0.25">
      <c r="E25"/>
      <c r="F25"/>
      <c r="G25"/>
      <c r="W25" s="93"/>
    </row>
    <row r="26" spans="2:23" x14ac:dyDescent="0.25">
      <c r="B26" s="20"/>
      <c r="E26"/>
      <c r="F26"/>
      <c r="G26"/>
      <c r="T26" s="93"/>
      <c r="U26" s="93"/>
      <c r="V26" s="93"/>
      <c r="W26" s="93"/>
    </row>
    <row r="27" spans="2:23" x14ac:dyDescent="0.25">
      <c r="B27" s="20"/>
      <c r="E27"/>
      <c r="F27"/>
      <c r="G27"/>
      <c r="T27" s="93"/>
      <c r="U27" s="93"/>
      <c r="V27" s="93"/>
      <c r="W27" s="93"/>
    </row>
    <row r="28" spans="2:23" x14ac:dyDescent="0.25">
      <c r="B28" s="20"/>
      <c r="E28"/>
      <c r="F28"/>
      <c r="G28"/>
      <c r="T28" s="93"/>
      <c r="U28" s="93"/>
      <c r="V28" s="93"/>
      <c r="W28" s="93"/>
    </row>
    <row r="29" spans="2:23" x14ac:dyDescent="0.25">
      <c r="B29" s="20"/>
      <c r="E29"/>
      <c r="F29"/>
      <c r="G29"/>
      <c r="T29" s="93"/>
      <c r="U29" s="93"/>
      <c r="V29" s="93"/>
      <c r="W29" s="93"/>
    </row>
    <row r="30" spans="2:23" x14ac:dyDescent="0.25">
      <c r="B30" s="20"/>
      <c r="E30"/>
      <c r="F30"/>
      <c r="G30"/>
      <c r="T30" s="93"/>
      <c r="U30" s="93"/>
      <c r="V30" s="93"/>
      <c r="W30" s="93"/>
    </row>
    <row r="31" spans="2:23" x14ac:dyDescent="0.25">
      <c r="B31" s="20"/>
      <c r="E31"/>
      <c r="F31"/>
      <c r="G31"/>
      <c r="T31" s="93"/>
      <c r="U31" s="93"/>
      <c r="V31" s="93"/>
      <c r="W31" s="93"/>
    </row>
    <row r="32" spans="2:23" x14ac:dyDescent="0.25">
      <c r="B32" s="20"/>
      <c r="E32"/>
      <c r="F32"/>
      <c r="G32"/>
      <c r="T32" s="93"/>
      <c r="U32" s="93"/>
      <c r="V32" s="93"/>
      <c r="W32" s="93"/>
    </row>
    <row r="33" spans="2:23" x14ac:dyDescent="0.25">
      <c r="B33" s="20"/>
      <c r="E33"/>
      <c r="F33"/>
      <c r="G33"/>
      <c r="T33" s="93"/>
      <c r="U33" s="93"/>
      <c r="V33" s="93"/>
      <c r="W33" s="93"/>
    </row>
    <row r="34" spans="2:23" x14ac:dyDescent="0.25">
      <c r="B34" s="20"/>
      <c r="E34"/>
      <c r="F34"/>
      <c r="G34"/>
      <c r="T34" s="93"/>
      <c r="U34" s="93"/>
      <c r="V34" s="93"/>
      <c r="W34" s="93"/>
    </row>
    <row r="35" spans="2:23" x14ac:dyDescent="0.25">
      <c r="B35" s="20"/>
      <c r="E35"/>
      <c r="F35"/>
      <c r="G35"/>
      <c r="T35" s="93"/>
      <c r="U35" s="93"/>
      <c r="V35" s="93"/>
      <c r="W35" s="93"/>
    </row>
    <row r="36" spans="2:23" x14ac:dyDescent="0.25">
      <c r="B36" s="20"/>
      <c r="E36"/>
      <c r="F36"/>
      <c r="G36"/>
      <c r="T36" s="93"/>
      <c r="U36" s="93"/>
      <c r="V36" s="93"/>
      <c r="W36" s="93"/>
    </row>
    <row r="37" spans="2:23" x14ac:dyDescent="0.25">
      <c r="B37" s="20"/>
      <c r="E37"/>
      <c r="F37"/>
      <c r="G37"/>
      <c r="T37" s="93"/>
      <c r="U37" s="93"/>
      <c r="V37" s="93"/>
      <c r="W37" s="93"/>
    </row>
    <row r="38" spans="2:23" x14ac:dyDescent="0.25">
      <c r="B38" s="20"/>
      <c r="E38"/>
      <c r="F38"/>
      <c r="G38"/>
      <c r="T38" s="93"/>
      <c r="U38" s="93"/>
      <c r="V38" s="93"/>
      <c r="W38" s="93"/>
    </row>
    <row r="39" spans="2:23" x14ac:dyDescent="0.25">
      <c r="B39" s="20"/>
      <c r="E39"/>
      <c r="F39"/>
      <c r="G39"/>
      <c r="T39" s="93"/>
      <c r="U39" s="93"/>
      <c r="V39" s="93"/>
      <c r="W39" s="93"/>
    </row>
    <row r="40" spans="2:23" x14ac:dyDescent="0.25">
      <c r="B40" s="20"/>
      <c r="E40"/>
      <c r="F40"/>
      <c r="G40"/>
      <c r="T40" s="93"/>
      <c r="U40" s="93"/>
      <c r="V40" s="93"/>
      <c r="W40" s="93"/>
    </row>
    <row r="41" spans="2:23" x14ac:dyDescent="0.25">
      <c r="B41" s="20"/>
      <c r="E41"/>
      <c r="F41"/>
      <c r="G41"/>
      <c r="T41" s="93"/>
      <c r="U41" s="93"/>
      <c r="V41" s="93"/>
      <c r="W41" s="93"/>
    </row>
    <row r="42" spans="2:23" x14ac:dyDescent="0.25">
      <c r="B42" s="20"/>
      <c r="E42"/>
      <c r="F42"/>
      <c r="G42"/>
      <c r="T42" s="93"/>
      <c r="U42" s="93"/>
      <c r="V42" s="93"/>
      <c r="W42" s="93"/>
    </row>
    <row r="43" spans="2:23" x14ac:dyDescent="0.25">
      <c r="B43" s="20"/>
      <c r="E43"/>
      <c r="F43"/>
      <c r="G43"/>
      <c r="T43" s="93"/>
      <c r="U43" s="93"/>
      <c r="V43" s="93"/>
      <c r="W43" s="93"/>
    </row>
    <row r="44" spans="2:23" x14ac:dyDescent="0.25">
      <c r="B44" s="20"/>
      <c r="E44"/>
      <c r="F44"/>
      <c r="G44"/>
      <c r="T44" s="93"/>
      <c r="U44" s="93"/>
      <c r="V44" s="93"/>
      <c r="W44" s="93"/>
    </row>
    <row r="45" spans="2:23" x14ac:dyDescent="0.25">
      <c r="B45" s="20"/>
      <c r="E45"/>
      <c r="F45"/>
      <c r="G45"/>
      <c r="T45" s="93"/>
      <c r="U45" s="93"/>
      <c r="V45" s="93"/>
      <c r="W45" s="93"/>
    </row>
    <row r="46" spans="2:23" x14ac:dyDescent="0.25">
      <c r="B46" s="20"/>
      <c r="E46"/>
      <c r="F46"/>
      <c r="G46"/>
      <c r="T46" s="93"/>
      <c r="U46" s="93"/>
      <c r="V46" s="93"/>
      <c r="W46" s="93"/>
    </row>
    <row r="47" spans="2:23" x14ac:dyDescent="0.25">
      <c r="B47" s="20"/>
      <c r="E47"/>
      <c r="F47"/>
      <c r="G47"/>
      <c r="T47" s="93"/>
      <c r="U47" s="93"/>
      <c r="V47" s="93"/>
      <c r="W47" s="93"/>
    </row>
    <row r="48" spans="2:23" x14ac:dyDescent="0.25">
      <c r="E48"/>
    </row>
    <row r="49" spans="3:19" x14ac:dyDescent="0.25">
      <c r="E49"/>
    </row>
    <row r="50" spans="3:19" x14ac:dyDescent="0.25">
      <c r="E50"/>
    </row>
    <row r="51" spans="3:19" x14ac:dyDescent="0.25">
      <c r="E51"/>
    </row>
    <row r="52" spans="3:19" x14ac:dyDescent="0.25">
      <c r="E52"/>
    </row>
    <row r="53" spans="3:19" x14ac:dyDescent="0.25">
      <c r="E53"/>
    </row>
    <row r="54" spans="3:19" x14ac:dyDescent="0.25">
      <c r="C54" s="4"/>
      <c r="D54" s="4"/>
      <c r="E54" s="4"/>
      <c r="F54" s="360"/>
      <c r="G54" s="360"/>
      <c r="H54" s="4"/>
      <c r="I54" s="4"/>
      <c r="J54" s="4"/>
      <c r="K54" s="4"/>
      <c r="L54" s="4"/>
      <c r="M54" s="4"/>
      <c r="N54" s="4"/>
      <c r="O54" s="4"/>
      <c r="P54" s="4"/>
      <c r="Q54" s="4"/>
      <c r="R54" s="4"/>
      <c r="S54" s="4"/>
    </row>
    <row r="55" spans="3:19" x14ac:dyDescent="0.25">
      <c r="C55" s="4"/>
      <c r="D55" s="4"/>
      <c r="E55" s="4"/>
      <c r="F55" s="360"/>
      <c r="G55" s="360"/>
      <c r="H55" s="4"/>
      <c r="I55" s="4"/>
      <c r="J55" s="4"/>
      <c r="K55" s="4"/>
      <c r="L55" s="4"/>
      <c r="M55" s="4"/>
      <c r="N55" s="4"/>
      <c r="O55" s="4"/>
      <c r="P55" s="4"/>
      <c r="Q55" s="4"/>
      <c r="R55" s="4"/>
      <c r="S55" s="4"/>
    </row>
    <row r="56" spans="3:19" x14ac:dyDescent="0.25">
      <c r="C56" s="4"/>
      <c r="D56" s="4"/>
      <c r="E56" s="4"/>
      <c r="F56" s="360"/>
      <c r="G56" s="360"/>
      <c r="H56" s="4"/>
      <c r="I56" s="4"/>
      <c r="J56" s="4"/>
      <c r="K56" s="4"/>
      <c r="L56" s="4"/>
      <c r="M56" s="4"/>
      <c r="N56" s="4"/>
      <c r="O56" s="4"/>
      <c r="P56" s="4"/>
      <c r="Q56" s="4"/>
      <c r="R56" s="4"/>
      <c r="S56" s="4"/>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D4FC2-6F52-4A86-B3E8-1D4FE6B767FC}">
  <sheetPr codeName="Sheet3"/>
  <dimension ref="B7:M51"/>
  <sheetViews>
    <sheetView topLeftCell="A7" zoomScale="80" zoomScaleNormal="80" workbookViewId="0">
      <selection activeCell="M14" sqref="K14:M14"/>
    </sheetView>
  </sheetViews>
  <sheetFormatPr defaultColWidth="9.140625" defaultRowHeight="15" x14ac:dyDescent="0.25"/>
  <cols>
    <col min="1" max="1" width="7.7109375" customWidth="1"/>
    <col min="2" max="2" width="3.5703125" customWidth="1"/>
    <col min="3" max="3" width="38.140625" customWidth="1"/>
    <col min="4" max="4" width="21.7109375" customWidth="1"/>
    <col min="5" max="5" width="13" style="56" customWidth="1"/>
    <col min="6" max="6" width="14.28515625" customWidth="1"/>
    <col min="7" max="7" width="15.7109375" customWidth="1"/>
    <col min="8" max="8" width="9.7109375" customWidth="1"/>
    <col min="9" max="9" width="15.140625" customWidth="1"/>
    <col min="10" max="10" width="18.140625" customWidth="1"/>
  </cols>
  <sheetData>
    <row r="7" spans="2:13" ht="15" customHeight="1" x14ac:dyDescent="0.25">
      <c r="C7" s="237" t="s">
        <v>119</v>
      </c>
      <c r="D7" s="239"/>
      <c r="E7" s="71"/>
    </row>
    <row r="8" spans="2:13" ht="15" customHeight="1" x14ac:dyDescent="0.25">
      <c r="C8" s="240"/>
      <c r="D8" s="242"/>
      <c r="E8" s="71"/>
      <c r="J8" s="170" t="s">
        <v>121</v>
      </c>
      <c r="K8" s="162"/>
      <c r="L8" s="162"/>
      <c r="M8" s="163"/>
    </row>
    <row r="9" spans="2:13" ht="15.75" x14ac:dyDescent="0.25">
      <c r="C9" s="48"/>
      <c r="D9" s="48"/>
      <c r="E9" s="57"/>
      <c r="J9" s="164"/>
      <c r="K9" s="165"/>
      <c r="L9" s="165"/>
      <c r="M9" s="166"/>
    </row>
    <row r="10" spans="2:13" ht="15" customHeight="1" x14ac:dyDescent="0.25">
      <c r="C10" s="278" t="s">
        <v>120</v>
      </c>
      <c r="D10" s="279"/>
      <c r="E10" s="132" t="s">
        <v>91</v>
      </c>
      <c r="F10" s="67">
        <f ca="1">TODAY()</f>
        <v>43529</v>
      </c>
      <c r="J10" s="164"/>
      <c r="K10" s="165"/>
      <c r="L10" s="165"/>
      <c r="M10" s="166"/>
    </row>
    <row r="11" spans="2:13" x14ac:dyDescent="0.25">
      <c r="C11" s="113"/>
      <c r="D11" s="113"/>
      <c r="E11" s="112"/>
      <c r="F11" s="53"/>
      <c r="J11" s="167"/>
      <c r="K11" s="168"/>
      <c r="L11" s="168"/>
      <c r="M11" s="169"/>
    </row>
    <row r="12" spans="2:13" x14ac:dyDescent="0.25">
      <c r="C12" t="str">
        <f>_xll.fbnHoldings_Template()</f>
        <v>OK</v>
      </c>
    </row>
    <row r="13" spans="2:13" ht="15.75" thickBot="1" x14ac:dyDescent="0.3">
      <c r="C13" s="155" t="s">
        <v>243</v>
      </c>
      <c r="D13" s="155" t="s">
        <v>90</v>
      </c>
      <c r="E13" s="343" t="s">
        <v>89</v>
      </c>
      <c r="F13" s="343" t="s">
        <v>142</v>
      </c>
      <c r="G13" s="343" t="s">
        <v>112</v>
      </c>
      <c r="H13" s="155" t="s">
        <v>245</v>
      </c>
      <c r="I13" s="155" t="s">
        <v>246</v>
      </c>
      <c r="J13" s="155" t="s">
        <v>247</v>
      </c>
      <c r="K13" s="344" t="s">
        <v>16</v>
      </c>
    </row>
    <row r="14" spans="2:13" ht="15.75" thickTop="1" x14ac:dyDescent="0.25">
      <c r="B14" s="50">
        <v>1</v>
      </c>
      <c r="C14" s="92" t="str">
        <f>_xlfn.CONCAT("Figi:",Setup!B14)</f>
        <v>Figi:BBG00JVF3738</v>
      </c>
      <c r="D14" s="27">
        <f>IF(C14="","",B14)</f>
        <v>1</v>
      </c>
      <c r="E14" s="27">
        <f>IF(C14="","",B14)</f>
        <v>1</v>
      </c>
      <c r="F14" s="27" t="str">
        <f>IF(C14="","","USD")</f>
        <v>USD</v>
      </c>
      <c r="G14" s="171"/>
      <c r="H14" s="171"/>
      <c r="I14" s="80">
        <f ca="1">IF(C14="","",TODAY())</f>
        <v>43529</v>
      </c>
      <c r="J14" s="80">
        <f ca="1">IF(C14="","",TODAY())</f>
        <v>43529</v>
      </c>
      <c r="K14" s="139"/>
    </row>
    <row r="15" spans="2:13" x14ac:dyDescent="0.25">
      <c r="B15" s="51">
        <v>2</v>
      </c>
      <c r="C15" s="92" t="str">
        <f>_xlfn.CONCAT("Figi:",Setup!B15)</f>
        <v>Figi:BBG00DKL90B0</v>
      </c>
      <c r="D15" s="27">
        <f t="shared" ref="D15:D35" si="0">IF(C15="","",B15)</f>
        <v>2</v>
      </c>
      <c r="E15" s="27">
        <f t="shared" ref="E15:E35" si="1">IF(C15="","",B15)</f>
        <v>2</v>
      </c>
      <c r="F15" s="27" t="str">
        <f t="shared" ref="F15:F35" si="2">IF(C15="","","USD")</f>
        <v>USD</v>
      </c>
      <c r="G15" s="171"/>
      <c r="H15" s="171"/>
      <c r="I15" s="80">
        <f t="shared" ref="I15:I35" ca="1" si="3">IF(C15="","",TODAY())</f>
        <v>43529</v>
      </c>
      <c r="J15" s="80">
        <f t="shared" ref="J15:J35" ca="1" si="4">IF(C15="","",TODAY())</f>
        <v>43529</v>
      </c>
      <c r="K15" s="139"/>
    </row>
    <row r="16" spans="2:13" x14ac:dyDescent="0.25">
      <c r="B16" s="51">
        <v>3</v>
      </c>
      <c r="C16" s="92" t="str">
        <f>_xlfn.CONCAT("Figi:",Setup!B16)</f>
        <v>Figi:BBG00DKL91M6</v>
      </c>
      <c r="D16" s="27">
        <f t="shared" si="0"/>
        <v>3</v>
      </c>
      <c r="E16" s="27">
        <f t="shared" si="1"/>
        <v>3</v>
      </c>
      <c r="F16" s="27" t="str">
        <f t="shared" si="2"/>
        <v>USD</v>
      </c>
      <c r="G16" s="171"/>
      <c r="H16" s="171"/>
      <c r="I16" s="80">
        <f t="shared" ca="1" si="3"/>
        <v>43529</v>
      </c>
      <c r="J16" s="80">
        <f t="shared" ca="1" si="4"/>
        <v>43529</v>
      </c>
      <c r="K16" s="139"/>
    </row>
    <row r="17" spans="2:11" x14ac:dyDescent="0.25">
      <c r="B17" s="51">
        <v>4</v>
      </c>
      <c r="C17" s="92"/>
      <c r="D17" s="27" t="str">
        <f t="shared" si="0"/>
        <v/>
      </c>
      <c r="E17" s="27" t="str">
        <f t="shared" si="1"/>
        <v/>
      </c>
      <c r="F17" s="27" t="str">
        <f t="shared" si="2"/>
        <v/>
      </c>
      <c r="G17" s="171"/>
      <c r="H17" s="171"/>
      <c r="I17" s="80" t="str">
        <f t="shared" ca="1" si="3"/>
        <v/>
      </c>
      <c r="J17" s="80" t="str">
        <f t="shared" ca="1" si="4"/>
        <v/>
      </c>
      <c r="K17" s="139"/>
    </row>
    <row r="18" spans="2:11" x14ac:dyDescent="0.25">
      <c r="B18" s="51">
        <v>5</v>
      </c>
      <c r="C18" s="92"/>
      <c r="D18" s="27" t="str">
        <f t="shared" si="0"/>
        <v/>
      </c>
      <c r="E18" s="27" t="str">
        <f t="shared" si="1"/>
        <v/>
      </c>
      <c r="F18" s="27" t="str">
        <f t="shared" si="2"/>
        <v/>
      </c>
      <c r="G18" s="171"/>
      <c r="H18" s="171"/>
      <c r="I18" s="80" t="str">
        <f t="shared" ca="1" si="3"/>
        <v/>
      </c>
      <c r="J18" s="80" t="str">
        <f t="shared" ca="1" si="4"/>
        <v/>
      </c>
      <c r="K18" s="139"/>
    </row>
    <row r="19" spans="2:11" x14ac:dyDescent="0.25">
      <c r="B19" s="51">
        <v>6</v>
      </c>
      <c r="C19" s="92"/>
      <c r="D19" s="27" t="str">
        <f t="shared" si="0"/>
        <v/>
      </c>
      <c r="E19" s="27" t="str">
        <f t="shared" si="1"/>
        <v/>
      </c>
      <c r="F19" s="27" t="str">
        <f t="shared" si="2"/>
        <v/>
      </c>
      <c r="G19" s="171"/>
      <c r="H19" s="171"/>
      <c r="I19" s="80" t="str">
        <f t="shared" ca="1" si="3"/>
        <v/>
      </c>
      <c r="J19" s="80" t="str">
        <f t="shared" ca="1" si="4"/>
        <v/>
      </c>
      <c r="K19" s="139"/>
    </row>
    <row r="20" spans="2:11" x14ac:dyDescent="0.25">
      <c r="B20" s="51">
        <v>7</v>
      </c>
      <c r="C20" s="92"/>
      <c r="D20" s="27" t="str">
        <f t="shared" si="0"/>
        <v/>
      </c>
      <c r="E20" s="27" t="str">
        <f t="shared" si="1"/>
        <v/>
      </c>
      <c r="F20" s="27" t="str">
        <f t="shared" si="2"/>
        <v/>
      </c>
      <c r="G20" s="171"/>
      <c r="H20" s="171"/>
      <c r="I20" s="80" t="str">
        <f t="shared" ca="1" si="3"/>
        <v/>
      </c>
      <c r="J20" s="80" t="str">
        <f t="shared" ca="1" si="4"/>
        <v/>
      </c>
      <c r="K20" s="139"/>
    </row>
    <row r="21" spans="2:11" x14ac:dyDescent="0.25">
      <c r="B21" s="51">
        <v>8</v>
      </c>
      <c r="C21" s="92"/>
      <c r="D21" s="27" t="str">
        <f t="shared" si="0"/>
        <v/>
      </c>
      <c r="E21" s="27" t="str">
        <f t="shared" si="1"/>
        <v/>
      </c>
      <c r="F21" s="27" t="str">
        <f t="shared" si="2"/>
        <v/>
      </c>
      <c r="G21" s="171"/>
      <c r="H21" s="171"/>
      <c r="I21" s="80" t="str">
        <f t="shared" ca="1" si="3"/>
        <v/>
      </c>
      <c r="J21" s="80" t="str">
        <f t="shared" ca="1" si="4"/>
        <v/>
      </c>
      <c r="K21" s="139"/>
    </row>
    <row r="22" spans="2:11" x14ac:dyDescent="0.25">
      <c r="B22" s="51">
        <v>9</v>
      </c>
      <c r="C22" s="92"/>
      <c r="D22" s="27" t="str">
        <f t="shared" si="0"/>
        <v/>
      </c>
      <c r="E22" s="27" t="str">
        <f t="shared" si="1"/>
        <v/>
      </c>
      <c r="F22" s="27" t="str">
        <f t="shared" si="2"/>
        <v/>
      </c>
      <c r="G22" s="171"/>
      <c r="H22" s="171"/>
      <c r="I22" s="80" t="str">
        <f t="shared" ca="1" si="3"/>
        <v/>
      </c>
      <c r="J22" s="80" t="str">
        <f t="shared" ca="1" si="4"/>
        <v/>
      </c>
      <c r="K22" s="139"/>
    </row>
    <row r="23" spans="2:11" x14ac:dyDescent="0.25">
      <c r="B23" s="51">
        <v>10</v>
      </c>
      <c r="C23" s="92"/>
      <c r="D23" s="27" t="str">
        <f t="shared" si="0"/>
        <v/>
      </c>
      <c r="E23" s="27" t="str">
        <f t="shared" si="1"/>
        <v/>
      </c>
      <c r="F23" s="27" t="str">
        <f t="shared" si="2"/>
        <v/>
      </c>
      <c r="G23" s="171"/>
      <c r="H23" s="171"/>
      <c r="I23" s="80" t="str">
        <f t="shared" ca="1" si="3"/>
        <v/>
      </c>
      <c r="J23" s="80" t="str">
        <f t="shared" ca="1" si="4"/>
        <v/>
      </c>
      <c r="K23" s="139"/>
    </row>
    <row r="24" spans="2:11" x14ac:dyDescent="0.25">
      <c r="B24" s="51">
        <v>11</v>
      </c>
      <c r="C24" s="92"/>
      <c r="D24" s="27" t="str">
        <f t="shared" si="0"/>
        <v/>
      </c>
      <c r="E24" s="27" t="str">
        <f t="shared" si="1"/>
        <v/>
      </c>
      <c r="F24" s="27" t="str">
        <f t="shared" si="2"/>
        <v/>
      </c>
      <c r="G24" s="171"/>
      <c r="H24" s="171"/>
      <c r="I24" s="80" t="str">
        <f t="shared" ca="1" si="3"/>
        <v/>
      </c>
      <c r="J24" s="80" t="str">
        <f t="shared" ca="1" si="4"/>
        <v/>
      </c>
      <c r="K24" s="139"/>
    </row>
    <row r="25" spans="2:11" x14ac:dyDescent="0.25">
      <c r="B25" s="51">
        <v>12</v>
      </c>
      <c r="C25" s="92"/>
      <c r="D25" s="27" t="str">
        <f t="shared" si="0"/>
        <v/>
      </c>
      <c r="E25" s="27" t="str">
        <f t="shared" si="1"/>
        <v/>
      </c>
      <c r="F25" s="27" t="str">
        <f t="shared" si="2"/>
        <v/>
      </c>
      <c r="G25" s="171"/>
      <c r="H25" s="171"/>
      <c r="I25" s="80" t="str">
        <f t="shared" ca="1" si="3"/>
        <v/>
      </c>
      <c r="J25" s="80" t="str">
        <f t="shared" ca="1" si="4"/>
        <v/>
      </c>
      <c r="K25" s="139"/>
    </row>
    <row r="26" spans="2:11" x14ac:dyDescent="0.25">
      <c r="B26" s="51">
        <v>13</v>
      </c>
      <c r="C26" s="92"/>
      <c r="D26" s="27" t="str">
        <f t="shared" si="0"/>
        <v/>
      </c>
      <c r="E26" s="27" t="str">
        <f t="shared" si="1"/>
        <v/>
      </c>
      <c r="F26" s="27" t="str">
        <f t="shared" si="2"/>
        <v/>
      </c>
      <c r="G26" s="171"/>
      <c r="H26" s="171"/>
      <c r="I26" s="80" t="str">
        <f t="shared" ca="1" si="3"/>
        <v/>
      </c>
      <c r="J26" s="80" t="str">
        <f t="shared" ca="1" si="4"/>
        <v/>
      </c>
      <c r="K26" s="139"/>
    </row>
    <row r="27" spans="2:11" x14ac:dyDescent="0.25">
      <c r="B27" s="51">
        <v>14</v>
      </c>
      <c r="C27" s="92"/>
      <c r="D27" s="27" t="str">
        <f t="shared" si="0"/>
        <v/>
      </c>
      <c r="E27" s="27" t="str">
        <f t="shared" si="1"/>
        <v/>
      </c>
      <c r="F27" s="27" t="str">
        <f t="shared" si="2"/>
        <v/>
      </c>
      <c r="G27" s="171"/>
      <c r="H27" s="171"/>
      <c r="I27" s="80" t="str">
        <f t="shared" ca="1" si="3"/>
        <v/>
      </c>
      <c r="J27" s="80" t="str">
        <f t="shared" ca="1" si="4"/>
        <v/>
      </c>
      <c r="K27" s="139"/>
    </row>
    <row r="28" spans="2:11" x14ac:dyDescent="0.25">
      <c r="B28" s="51">
        <v>15</v>
      </c>
      <c r="C28" s="92"/>
      <c r="D28" s="27" t="str">
        <f t="shared" si="0"/>
        <v/>
      </c>
      <c r="E28" s="27" t="str">
        <f t="shared" si="1"/>
        <v/>
      </c>
      <c r="F28" s="27" t="str">
        <f t="shared" si="2"/>
        <v/>
      </c>
      <c r="G28" s="171"/>
      <c r="H28" s="171"/>
      <c r="I28" s="80" t="str">
        <f t="shared" ca="1" si="3"/>
        <v/>
      </c>
      <c r="J28" s="80" t="str">
        <f t="shared" ca="1" si="4"/>
        <v/>
      </c>
      <c r="K28" s="139"/>
    </row>
    <row r="29" spans="2:11" x14ac:dyDescent="0.25">
      <c r="B29" s="51">
        <v>16</v>
      </c>
      <c r="C29" s="92"/>
      <c r="D29" s="27" t="str">
        <f t="shared" si="0"/>
        <v/>
      </c>
      <c r="E29" s="27" t="str">
        <f t="shared" si="1"/>
        <v/>
      </c>
      <c r="F29" s="27" t="str">
        <f t="shared" si="2"/>
        <v/>
      </c>
      <c r="G29" s="171"/>
      <c r="H29" s="171"/>
      <c r="I29" s="80" t="str">
        <f t="shared" ca="1" si="3"/>
        <v/>
      </c>
      <c r="J29" s="80" t="str">
        <f t="shared" ca="1" si="4"/>
        <v/>
      </c>
      <c r="K29" s="139"/>
    </row>
    <row r="30" spans="2:11" x14ac:dyDescent="0.25">
      <c r="B30" s="51">
        <v>17</v>
      </c>
      <c r="C30" s="92"/>
      <c r="D30" s="27" t="str">
        <f t="shared" si="0"/>
        <v/>
      </c>
      <c r="E30" s="27" t="str">
        <f t="shared" si="1"/>
        <v/>
      </c>
      <c r="F30" s="27" t="str">
        <f t="shared" si="2"/>
        <v/>
      </c>
      <c r="G30" s="171"/>
      <c r="H30" s="171"/>
      <c r="I30" s="80" t="str">
        <f t="shared" ca="1" si="3"/>
        <v/>
      </c>
      <c r="J30" s="80" t="str">
        <f t="shared" ca="1" si="4"/>
        <v/>
      </c>
      <c r="K30" s="139"/>
    </row>
    <row r="31" spans="2:11" x14ac:dyDescent="0.25">
      <c r="B31" s="51">
        <v>18</v>
      </c>
      <c r="C31" s="92"/>
      <c r="D31" s="27" t="str">
        <f t="shared" si="0"/>
        <v/>
      </c>
      <c r="E31" s="27" t="str">
        <f t="shared" si="1"/>
        <v/>
      </c>
      <c r="F31" s="27" t="str">
        <f t="shared" si="2"/>
        <v/>
      </c>
      <c r="G31" s="171"/>
      <c r="H31" s="171"/>
      <c r="I31" s="80" t="str">
        <f t="shared" ca="1" si="3"/>
        <v/>
      </c>
      <c r="J31" s="80" t="str">
        <f t="shared" ca="1" si="4"/>
        <v/>
      </c>
      <c r="K31" s="139"/>
    </row>
    <row r="32" spans="2:11" x14ac:dyDescent="0.25">
      <c r="B32" s="51">
        <v>19</v>
      </c>
      <c r="C32" s="92"/>
      <c r="D32" s="27" t="str">
        <f t="shared" si="0"/>
        <v/>
      </c>
      <c r="E32" s="27" t="str">
        <f t="shared" si="1"/>
        <v/>
      </c>
      <c r="F32" s="27" t="str">
        <f t="shared" si="2"/>
        <v/>
      </c>
      <c r="G32" s="171"/>
      <c r="H32" s="171"/>
      <c r="I32" s="80" t="str">
        <f t="shared" ca="1" si="3"/>
        <v/>
      </c>
      <c r="J32" s="80" t="str">
        <f t="shared" ca="1" si="4"/>
        <v/>
      </c>
      <c r="K32" s="139"/>
    </row>
    <row r="33" spans="2:11" x14ac:dyDescent="0.25">
      <c r="B33" s="51">
        <v>20</v>
      </c>
      <c r="C33" s="92"/>
      <c r="D33" s="27" t="str">
        <f t="shared" si="0"/>
        <v/>
      </c>
      <c r="E33" s="27" t="str">
        <f t="shared" si="1"/>
        <v/>
      </c>
      <c r="F33" s="27" t="str">
        <f t="shared" si="2"/>
        <v/>
      </c>
      <c r="G33" s="171"/>
      <c r="H33" s="171"/>
      <c r="I33" s="80" t="str">
        <f t="shared" ca="1" si="3"/>
        <v/>
      </c>
      <c r="J33" s="80" t="str">
        <f t="shared" ca="1" si="4"/>
        <v/>
      </c>
      <c r="K33" s="139"/>
    </row>
    <row r="34" spans="2:11" x14ac:dyDescent="0.25">
      <c r="B34" s="51">
        <v>21</v>
      </c>
      <c r="C34" s="92"/>
      <c r="D34" s="27" t="str">
        <f t="shared" si="0"/>
        <v/>
      </c>
      <c r="E34" s="27" t="str">
        <f t="shared" si="1"/>
        <v/>
      </c>
      <c r="F34" s="27" t="str">
        <f t="shared" si="2"/>
        <v/>
      </c>
      <c r="G34" s="171"/>
      <c r="H34" s="171"/>
      <c r="I34" s="80" t="str">
        <f t="shared" ca="1" si="3"/>
        <v/>
      </c>
      <c r="J34" s="80" t="str">
        <f t="shared" ca="1" si="4"/>
        <v/>
      </c>
      <c r="K34" s="139"/>
    </row>
    <row r="35" spans="2:11" x14ac:dyDescent="0.25">
      <c r="B35" s="51">
        <v>22</v>
      </c>
      <c r="C35" s="92"/>
      <c r="D35" s="27" t="str">
        <f t="shared" si="0"/>
        <v/>
      </c>
      <c r="E35" s="27" t="str">
        <f t="shared" si="1"/>
        <v/>
      </c>
      <c r="F35" s="27" t="str">
        <f t="shared" si="2"/>
        <v/>
      </c>
      <c r="G35" s="171"/>
      <c r="H35" s="171"/>
      <c r="I35" s="80" t="str">
        <f t="shared" ca="1" si="3"/>
        <v/>
      </c>
      <c r="J35" s="80" t="str">
        <f t="shared" ca="1" si="4"/>
        <v/>
      </c>
      <c r="K35" s="139"/>
    </row>
    <row r="36" spans="2:11" x14ac:dyDescent="0.25">
      <c r="B36" s="51">
        <v>23</v>
      </c>
      <c r="C36" s="92"/>
      <c r="D36" s="27"/>
      <c r="E36" s="27"/>
      <c r="F36" s="99"/>
      <c r="G36" s="171"/>
      <c r="H36" s="171"/>
      <c r="I36" s="345"/>
      <c r="J36" s="338"/>
      <c r="K36" s="139"/>
    </row>
    <row r="37" spans="2:11" x14ac:dyDescent="0.25">
      <c r="B37" s="51">
        <v>24</v>
      </c>
      <c r="C37" s="92"/>
      <c r="D37" s="27"/>
      <c r="E37" s="27"/>
      <c r="F37" s="99"/>
      <c r="G37" s="171"/>
      <c r="H37" s="171"/>
      <c r="I37" s="345"/>
      <c r="J37" s="338"/>
      <c r="K37" s="139"/>
    </row>
    <row r="38" spans="2:11" x14ac:dyDescent="0.25">
      <c r="B38" s="51">
        <v>25</v>
      </c>
      <c r="C38" s="92"/>
      <c r="D38" s="27"/>
      <c r="E38" s="27"/>
      <c r="F38" s="99"/>
      <c r="G38" s="171"/>
      <c r="H38" s="171"/>
      <c r="I38" s="345"/>
      <c r="J38" s="338"/>
      <c r="K38" s="139"/>
    </row>
    <row r="39" spans="2:11" x14ac:dyDescent="0.25">
      <c r="B39" s="51">
        <v>26</v>
      </c>
      <c r="C39" s="92"/>
      <c r="D39" s="27"/>
      <c r="E39" s="27"/>
      <c r="F39" s="99"/>
      <c r="G39" s="171"/>
      <c r="H39" s="171"/>
      <c r="I39" s="345"/>
      <c r="J39" s="338"/>
      <c r="K39" s="139"/>
    </row>
    <row r="40" spans="2:11" x14ac:dyDescent="0.25">
      <c r="B40" s="51">
        <v>27</v>
      </c>
      <c r="C40" s="92"/>
      <c r="D40" s="27"/>
      <c r="E40" s="27"/>
      <c r="F40" s="99"/>
      <c r="G40" s="171"/>
      <c r="H40" s="171"/>
      <c r="I40" s="345"/>
      <c r="J40" s="338"/>
      <c r="K40" s="139"/>
    </row>
    <row r="41" spans="2:11" x14ac:dyDescent="0.25">
      <c r="B41" s="51">
        <v>28</v>
      </c>
      <c r="C41" s="92"/>
      <c r="D41" s="27"/>
      <c r="E41" s="27"/>
      <c r="F41" s="99"/>
      <c r="G41" s="171"/>
      <c r="H41" s="171"/>
      <c r="I41" s="345"/>
      <c r="J41" s="338"/>
      <c r="K41" s="139"/>
    </row>
    <row r="42" spans="2:11" x14ac:dyDescent="0.25">
      <c r="B42" s="51">
        <v>29</v>
      </c>
      <c r="C42" s="92"/>
      <c r="D42" s="27"/>
      <c r="E42" s="27"/>
      <c r="F42" s="99"/>
      <c r="G42" s="171"/>
      <c r="H42" s="171"/>
      <c r="I42" s="345"/>
      <c r="J42" s="338"/>
      <c r="K42" s="139"/>
    </row>
    <row r="43" spans="2:11" x14ac:dyDescent="0.25">
      <c r="B43" s="49">
        <v>30</v>
      </c>
      <c r="C43" s="92"/>
      <c r="D43" s="27"/>
      <c r="E43" s="27"/>
      <c r="F43" s="99"/>
      <c r="G43" s="171"/>
      <c r="H43" s="171"/>
      <c r="I43" s="345"/>
      <c r="J43" s="338"/>
      <c r="K43" s="139"/>
    </row>
    <row r="44" spans="2:11" x14ac:dyDescent="0.25">
      <c r="C44" s="339"/>
      <c r="D44" s="111"/>
      <c r="E44" s="111"/>
      <c r="F44" s="99"/>
      <c r="G44" s="171"/>
      <c r="H44" s="171"/>
      <c r="I44" s="345"/>
      <c r="J44" s="338"/>
      <c r="K44" s="139"/>
    </row>
    <row r="45" spans="2:11" x14ac:dyDescent="0.25">
      <c r="C45" s="340"/>
      <c r="D45" s="138"/>
      <c r="E45" s="138"/>
      <c r="F45" s="100"/>
      <c r="G45" s="341"/>
      <c r="H45" s="341"/>
      <c r="I45" s="346"/>
      <c r="J45" s="342"/>
      <c r="K45" s="140"/>
    </row>
    <row r="47" spans="2:11" x14ac:dyDescent="0.25">
      <c r="C47" s="200" t="s">
        <v>88</v>
      </c>
      <c r="D47" s="201"/>
      <c r="E47" s="201"/>
      <c r="F47" s="202"/>
    </row>
    <row r="48" spans="2:11" x14ac:dyDescent="0.25">
      <c r="C48" s="209"/>
      <c r="D48" s="210"/>
      <c r="E48" s="210"/>
      <c r="F48" s="211"/>
    </row>
    <row r="49" spans="3:6" ht="15" customHeight="1" x14ac:dyDescent="0.25">
      <c r="C49" s="209"/>
      <c r="D49" s="210"/>
      <c r="E49" s="210"/>
      <c r="F49" s="211"/>
    </row>
    <row r="50" spans="3:6" x14ac:dyDescent="0.25">
      <c r="C50" s="209"/>
      <c r="D50" s="210"/>
      <c r="E50" s="210"/>
      <c r="F50" s="211"/>
    </row>
    <row r="51" spans="3:6" x14ac:dyDescent="0.25">
      <c r="C51" s="203"/>
      <c r="D51" s="245"/>
      <c r="E51" s="245"/>
      <c r="F51" s="205"/>
    </row>
  </sheetData>
  <mergeCells count="3">
    <mergeCell ref="C7:D8"/>
    <mergeCell ref="C10:D10"/>
    <mergeCell ref="C47:F5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do_AdjustHoldings">
                <anchor moveWithCells="1">
                  <from>
                    <xdr:col>9</xdr:col>
                    <xdr:colOff>666750</xdr:colOff>
                    <xdr:row>8</xdr:row>
                    <xdr:rowOff>95250</xdr:rowOff>
                  </from>
                  <to>
                    <xdr:col>11</xdr:col>
                    <xdr:colOff>361950</xdr:colOff>
                    <xdr:row>10</xdr:row>
                    <xdr:rowOff>95250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B2:O16"/>
  <sheetViews>
    <sheetView zoomScale="80" zoomScaleNormal="80" workbookViewId="0">
      <selection activeCell="G16" sqref="B16:G21"/>
    </sheetView>
  </sheetViews>
  <sheetFormatPr defaultRowHeight="15" x14ac:dyDescent="0.25"/>
  <cols>
    <col min="2" max="2" width="17.28515625" bestFit="1" customWidth="1"/>
    <col min="3" max="3" width="13.85546875" bestFit="1" customWidth="1"/>
    <col min="4" max="4" width="6.42578125" bestFit="1" customWidth="1"/>
    <col min="5" max="5" width="13.42578125" bestFit="1" customWidth="1"/>
    <col min="6" max="6" width="5.2851562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2:15" x14ac:dyDescent="0.25">
      <c r="D2" s="53"/>
      <c r="E2" s="53"/>
    </row>
    <row r="3" spans="2:15" x14ac:dyDescent="0.25">
      <c r="D3" s="53"/>
      <c r="E3" s="53"/>
    </row>
    <row r="4" spans="2:15" x14ac:dyDescent="0.25">
      <c r="D4" s="53"/>
      <c r="E4" s="53"/>
    </row>
    <row r="5" spans="2:15" x14ac:dyDescent="0.25">
      <c r="D5" s="53"/>
      <c r="E5" s="53"/>
    </row>
    <row r="6" spans="2:15" x14ac:dyDescent="0.25">
      <c r="D6" s="53"/>
      <c r="E6" s="53"/>
    </row>
    <row r="7" spans="2:15" x14ac:dyDescent="0.25">
      <c r="B7" s="237" t="s">
        <v>86</v>
      </c>
      <c r="C7" s="238"/>
      <c r="D7" s="238"/>
      <c r="E7" s="238"/>
      <c r="F7" s="238"/>
      <c r="G7" s="238"/>
      <c r="H7" s="238"/>
      <c r="I7" s="238"/>
      <c r="J7" s="238"/>
      <c r="K7" s="238"/>
      <c r="L7" s="238"/>
      <c r="M7" s="239"/>
    </row>
    <row r="8" spans="2:15" x14ac:dyDescent="0.25">
      <c r="B8" s="240"/>
      <c r="C8" s="248"/>
      <c r="D8" s="248"/>
      <c r="E8" s="248"/>
      <c r="F8" s="248"/>
      <c r="G8" s="248"/>
      <c r="H8" s="248"/>
      <c r="I8" s="248"/>
      <c r="J8" s="248"/>
      <c r="K8" s="248"/>
      <c r="L8" s="248"/>
      <c r="M8" s="242"/>
    </row>
    <row r="9" spans="2:15" ht="15.75" x14ac:dyDescent="0.25">
      <c r="B9" s="48"/>
      <c r="C9" s="48"/>
      <c r="D9" s="52"/>
      <c r="E9" s="52"/>
      <c r="F9" s="48"/>
      <c r="G9" s="48"/>
      <c r="H9" s="52"/>
    </row>
    <row r="10" spans="2:15" ht="15.75" x14ac:dyDescent="0.25">
      <c r="B10" s="303" t="s">
        <v>72</v>
      </c>
      <c r="C10" s="304"/>
      <c r="D10" s="304"/>
      <c r="E10" s="304"/>
      <c r="F10" s="305"/>
      <c r="G10" s="48" t="s">
        <v>73</v>
      </c>
      <c r="H10" s="55">
        <f ca="1">TODAY()</f>
        <v>43529</v>
      </c>
    </row>
    <row r="11" spans="2:15" ht="15.75" x14ac:dyDescent="0.25">
      <c r="B11" s="48"/>
      <c r="C11" s="48"/>
      <c r="D11" s="52"/>
      <c r="E11" s="52"/>
      <c r="F11" s="48"/>
      <c r="G11" s="54"/>
      <c r="H11" s="54"/>
    </row>
    <row r="12" spans="2:15" ht="15.75" customHeight="1" x14ac:dyDescent="0.25">
      <c r="B12" s="48"/>
      <c r="C12" s="48"/>
      <c r="D12" s="52"/>
      <c r="E12" s="52"/>
      <c r="F12" s="48"/>
      <c r="G12" s="54"/>
      <c r="H12" s="54"/>
      <c r="I12" s="228" t="s">
        <v>76</v>
      </c>
      <c r="J12" s="229"/>
      <c r="K12" s="229"/>
      <c r="L12" s="229"/>
      <c r="M12" s="230"/>
      <c r="N12" s="71"/>
      <c r="O12" s="71"/>
    </row>
    <row r="13" spans="2:15" ht="15" customHeight="1" x14ac:dyDescent="0.25">
      <c r="B13" s="283" t="s">
        <v>49</v>
      </c>
      <c r="C13" s="284"/>
      <c r="D13" s="284"/>
      <c r="E13" s="285"/>
      <c r="F13" s="300"/>
      <c r="G13" s="301"/>
      <c r="H13" s="54"/>
      <c r="I13" s="231"/>
      <c r="J13" s="232"/>
      <c r="K13" s="232"/>
      <c r="L13" s="232"/>
      <c r="M13" s="233"/>
      <c r="N13" s="71"/>
      <c r="O13" s="71"/>
    </row>
    <row r="14" spans="2:15" ht="15" customHeight="1" x14ac:dyDescent="0.25">
      <c r="B14" s="289"/>
      <c r="C14" s="290"/>
      <c r="D14" s="290"/>
      <c r="E14" s="291"/>
      <c r="F14" s="300"/>
      <c r="G14" s="302"/>
      <c r="H14" s="54"/>
      <c r="I14" s="231"/>
      <c r="J14" s="232"/>
      <c r="K14" s="232"/>
      <c r="L14" s="232"/>
      <c r="M14" s="233"/>
      <c r="N14" s="71"/>
      <c r="O14" s="71"/>
    </row>
    <row r="15" spans="2:15" ht="15" customHeight="1" x14ac:dyDescent="0.25">
      <c r="D15" s="53"/>
      <c r="E15" s="53"/>
      <c r="F15" s="1"/>
      <c r="I15" s="231"/>
      <c r="J15" s="232"/>
      <c r="K15" s="232"/>
      <c r="L15" s="232"/>
      <c r="M15" s="233"/>
      <c r="N15" s="71"/>
      <c r="O15" s="71"/>
    </row>
    <row r="16" spans="2:15" ht="15" customHeight="1" x14ac:dyDescent="0.25">
      <c r="I16" s="234"/>
      <c r="J16" s="235"/>
      <c r="K16" s="235"/>
      <c r="L16" s="235"/>
      <c r="M16" s="236"/>
      <c r="N16" s="71"/>
      <c r="O16" s="71"/>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O46"/>
  <sheetViews>
    <sheetView zoomScale="80" zoomScaleNormal="80" workbookViewId="0">
      <selection activeCell="C16" sqref="C16:D46"/>
    </sheetView>
  </sheetViews>
  <sheetFormatPr defaultRowHeight="15" x14ac:dyDescent="0.25"/>
  <cols>
    <col min="2" max="2" width="3.28515625" customWidth="1"/>
    <col min="3" max="3" width="25.85546875" customWidth="1"/>
    <col min="4" max="4" width="22.85546875" customWidth="1"/>
    <col min="5" max="5" width="33.5703125" customWidth="1"/>
  </cols>
  <sheetData>
    <row r="2" spans="3:15" x14ac:dyDescent="0.25">
      <c r="E2" s="56"/>
    </row>
    <row r="3" spans="3:15" x14ac:dyDescent="0.25">
      <c r="E3" s="56"/>
    </row>
    <row r="4" spans="3:15" x14ac:dyDescent="0.25">
      <c r="E4" s="56"/>
    </row>
    <row r="5" spans="3:15" x14ac:dyDescent="0.25">
      <c r="E5" s="56"/>
    </row>
    <row r="6" spans="3:15" x14ac:dyDescent="0.25">
      <c r="E6" s="56"/>
    </row>
    <row r="7" spans="3:15" ht="15" customHeight="1" x14ac:dyDescent="0.25">
      <c r="C7" s="228" t="s">
        <v>105</v>
      </c>
      <c r="D7" s="229"/>
      <c r="E7" s="229"/>
      <c r="F7" s="229"/>
      <c r="G7" s="229"/>
      <c r="H7" s="229"/>
      <c r="I7" s="229"/>
      <c r="J7" s="230"/>
      <c r="K7" s="65"/>
      <c r="L7" s="65"/>
      <c r="M7" s="65"/>
      <c r="N7" s="65"/>
      <c r="O7" s="65"/>
    </row>
    <row r="8" spans="3:15" ht="15" customHeight="1" x14ac:dyDescent="0.25">
      <c r="C8" s="234"/>
      <c r="D8" s="235"/>
      <c r="E8" s="235"/>
      <c r="F8" s="235"/>
      <c r="G8" s="235"/>
      <c r="H8" s="235"/>
      <c r="I8" s="235"/>
      <c r="J8" s="236"/>
      <c r="K8" s="65"/>
      <c r="L8" s="65"/>
      <c r="M8" s="65"/>
      <c r="N8" s="65"/>
      <c r="O8" s="65"/>
    </row>
    <row r="9" spans="3:15" ht="15.75" customHeight="1" x14ac:dyDescent="0.25">
      <c r="C9" s="131"/>
      <c r="D9" s="131"/>
      <c r="E9" s="131"/>
      <c r="F9" s="131"/>
      <c r="G9" s="131"/>
      <c r="H9" s="131"/>
      <c r="I9" s="131"/>
      <c r="J9" s="131"/>
    </row>
    <row r="10" spans="3:15" ht="15.75" x14ac:dyDescent="0.25">
      <c r="C10" s="280" t="s">
        <v>106</v>
      </c>
      <c r="D10" s="281"/>
      <c r="E10" s="281"/>
      <c r="F10" s="281"/>
      <c r="G10" s="281"/>
      <c r="H10" s="281"/>
      <c r="I10" s="281"/>
      <c r="J10" s="282"/>
    </row>
    <row r="11" spans="3:15" ht="15.75" x14ac:dyDescent="0.25">
      <c r="C11" s="48"/>
      <c r="D11" s="48"/>
      <c r="E11" s="57"/>
    </row>
    <row r="12" spans="3:15" ht="15" customHeight="1" x14ac:dyDescent="0.25">
      <c r="C12" s="314" t="s">
        <v>54</v>
      </c>
      <c r="D12" s="315"/>
      <c r="E12" s="315"/>
      <c r="F12" s="315"/>
      <c r="G12" s="315"/>
      <c r="H12" s="316"/>
    </row>
    <row r="13" spans="3:15" ht="15" customHeight="1" x14ac:dyDescent="0.25">
      <c r="C13" s="317"/>
      <c r="D13" s="318"/>
      <c r="E13" s="318"/>
      <c r="F13" s="318"/>
      <c r="G13" s="318"/>
      <c r="H13" s="319"/>
    </row>
    <row r="14" spans="3:15" ht="15" customHeight="1" x14ac:dyDescent="0.25"/>
    <row r="15" spans="3:15" ht="15" customHeight="1" x14ac:dyDescent="0.25"/>
    <row r="16" spans="3:15" ht="15" customHeight="1" x14ac:dyDescent="0.25">
      <c r="C16" s="172" t="s">
        <v>2</v>
      </c>
      <c r="D16" s="173" t="s">
        <v>53</v>
      </c>
      <c r="E16" s="135" t="s">
        <v>4</v>
      </c>
      <c r="G16" s="228" t="s">
        <v>77</v>
      </c>
      <c r="H16" s="229"/>
      <c r="I16" s="229"/>
      <c r="J16" s="229"/>
      <c r="K16" s="230"/>
    </row>
    <row r="17" spans="2:11" ht="15.75" customHeight="1" x14ac:dyDescent="0.25">
      <c r="B17" s="50">
        <v>1</v>
      </c>
      <c r="C17" s="174" t="str">
        <f>Scope</f>
        <v>DemoScope99</v>
      </c>
      <c r="D17" s="175">
        <f ca="1">Setup!G36</f>
        <v>43529</v>
      </c>
      <c r="E17" s="136" t="s">
        <v>273</v>
      </c>
      <c r="G17" s="231"/>
      <c r="H17" s="232"/>
      <c r="I17" s="232"/>
      <c r="J17" s="232"/>
      <c r="K17" s="233"/>
    </row>
    <row r="18" spans="2:11" ht="15.75" customHeight="1" x14ac:dyDescent="0.25">
      <c r="B18" s="51">
        <v>2</v>
      </c>
      <c r="C18" s="174" t="str">
        <f>_xlfn.CONCAT(Scope,"_FX")</f>
        <v>DemoScope99_FX</v>
      </c>
      <c r="D18" s="175">
        <f ca="1">Setup!G36</f>
        <v>43529</v>
      </c>
      <c r="E18" s="136" t="s">
        <v>274</v>
      </c>
      <c r="G18" s="231"/>
      <c r="H18" s="232"/>
      <c r="I18" s="232"/>
      <c r="J18" s="232"/>
      <c r="K18" s="233"/>
    </row>
    <row r="19" spans="2:11" ht="15.75" customHeight="1" x14ac:dyDescent="0.25">
      <c r="B19" s="51">
        <v>3</v>
      </c>
      <c r="C19" s="174" t="str">
        <f>_xlfn.CONCAT(Scope,"_Accrual")</f>
        <v>DemoScope99_Accrual</v>
      </c>
      <c r="D19" s="175">
        <f ca="1">TODAY()</f>
        <v>43529</v>
      </c>
      <c r="E19" s="136" t="s">
        <v>275</v>
      </c>
      <c r="G19" s="231"/>
      <c r="H19" s="232"/>
      <c r="I19" s="232"/>
      <c r="J19" s="232"/>
      <c r="K19" s="233"/>
    </row>
    <row r="20" spans="2:11" ht="15.75" customHeight="1" x14ac:dyDescent="0.25">
      <c r="B20" s="51">
        <v>4</v>
      </c>
      <c r="C20" s="174"/>
      <c r="D20" s="83"/>
      <c r="E20" s="136"/>
      <c r="G20" s="234"/>
      <c r="H20" s="235"/>
      <c r="I20" s="235"/>
      <c r="J20" s="235"/>
      <c r="K20" s="236"/>
    </row>
    <row r="21" spans="2:11" x14ac:dyDescent="0.25">
      <c r="B21" s="51">
        <v>5</v>
      </c>
      <c r="C21" s="174"/>
      <c r="D21" s="83"/>
      <c r="E21" s="136"/>
    </row>
    <row r="22" spans="2:11" x14ac:dyDescent="0.25">
      <c r="B22" s="51">
        <v>6</v>
      </c>
      <c r="C22" s="174"/>
      <c r="D22" s="83"/>
      <c r="E22" s="136"/>
    </row>
    <row r="23" spans="2:11" ht="15" customHeight="1" x14ac:dyDescent="0.25">
      <c r="B23" s="51">
        <v>7</v>
      </c>
      <c r="C23" s="174"/>
      <c r="D23" s="83"/>
      <c r="E23" s="136"/>
      <c r="G23" s="306" t="s">
        <v>122</v>
      </c>
      <c r="H23" s="307"/>
      <c r="I23" s="307"/>
      <c r="J23" s="308"/>
    </row>
    <row r="24" spans="2:11" x14ac:dyDescent="0.25">
      <c r="B24" s="51">
        <v>8</v>
      </c>
      <c r="C24" s="174"/>
      <c r="D24" s="83"/>
      <c r="E24" s="136"/>
      <c r="G24" s="309"/>
      <c r="H24" s="244"/>
      <c r="I24" s="244"/>
      <c r="J24" s="310"/>
    </row>
    <row r="25" spans="2:11" x14ac:dyDescent="0.25">
      <c r="B25" s="51">
        <v>9</v>
      </c>
      <c r="C25" s="174"/>
      <c r="D25" s="83"/>
      <c r="E25" s="136"/>
      <c r="G25" s="309"/>
      <c r="H25" s="244"/>
      <c r="I25" s="244"/>
      <c r="J25" s="310"/>
    </row>
    <row r="26" spans="2:11" x14ac:dyDescent="0.25">
      <c r="B26" s="51">
        <v>10</v>
      </c>
      <c r="C26" s="174"/>
      <c r="D26" s="83"/>
      <c r="E26" s="136"/>
      <c r="G26" s="309"/>
      <c r="H26" s="244"/>
      <c r="I26" s="244"/>
      <c r="J26" s="310"/>
    </row>
    <row r="27" spans="2:11" x14ac:dyDescent="0.25">
      <c r="B27" s="51">
        <v>11</v>
      </c>
      <c r="C27" s="174"/>
      <c r="D27" s="83"/>
      <c r="E27" s="136"/>
      <c r="G27" s="309"/>
      <c r="H27" s="244"/>
      <c r="I27" s="244"/>
      <c r="J27" s="310"/>
    </row>
    <row r="28" spans="2:11" x14ac:dyDescent="0.25">
      <c r="B28" s="51">
        <v>12</v>
      </c>
      <c r="C28" s="174"/>
      <c r="D28" s="83"/>
      <c r="E28" s="136"/>
      <c r="G28" s="309"/>
      <c r="H28" s="244"/>
      <c r="I28" s="244"/>
      <c r="J28" s="310"/>
    </row>
    <row r="29" spans="2:11" x14ac:dyDescent="0.25">
      <c r="B29" s="51">
        <v>13</v>
      </c>
      <c r="C29" s="174"/>
      <c r="D29" s="83"/>
      <c r="E29" s="136"/>
      <c r="G29" s="309"/>
      <c r="H29" s="244"/>
      <c r="I29" s="244"/>
      <c r="J29" s="310"/>
    </row>
    <row r="30" spans="2:11" x14ac:dyDescent="0.25">
      <c r="B30" s="51">
        <v>14</v>
      </c>
      <c r="C30" s="174"/>
      <c r="D30" s="83"/>
      <c r="E30" s="136"/>
      <c r="G30" s="309"/>
      <c r="H30" s="244"/>
      <c r="I30" s="244"/>
      <c r="J30" s="310"/>
    </row>
    <row r="31" spans="2:11" x14ac:dyDescent="0.25">
      <c r="B31" s="51">
        <v>15</v>
      </c>
      <c r="C31" s="174"/>
      <c r="D31" s="83"/>
      <c r="E31" s="136"/>
      <c r="G31" s="311"/>
      <c r="H31" s="312"/>
      <c r="I31" s="312"/>
      <c r="J31" s="313"/>
    </row>
    <row r="32" spans="2:11" x14ac:dyDescent="0.25">
      <c r="B32" s="51">
        <v>16</v>
      </c>
      <c r="C32" s="174"/>
      <c r="D32" s="83"/>
      <c r="E32" s="136"/>
    </row>
    <row r="33" spans="2:5" x14ac:dyDescent="0.25">
      <c r="B33" s="51">
        <v>17</v>
      </c>
      <c r="C33" s="174"/>
      <c r="D33" s="83"/>
      <c r="E33" s="136"/>
    </row>
    <row r="34" spans="2:5" x14ac:dyDescent="0.25">
      <c r="B34" s="51">
        <v>18</v>
      </c>
      <c r="C34" s="174"/>
      <c r="D34" s="83"/>
      <c r="E34" s="136"/>
    </row>
    <row r="35" spans="2:5" x14ac:dyDescent="0.25">
      <c r="B35" s="51">
        <v>19</v>
      </c>
      <c r="C35" s="174"/>
      <c r="D35" s="83"/>
      <c r="E35" s="136"/>
    </row>
    <row r="36" spans="2:5" x14ac:dyDescent="0.25">
      <c r="B36" s="51">
        <v>20</v>
      </c>
      <c r="C36" s="174"/>
      <c r="D36" s="83"/>
      <c r="E36" s="136"/>
    </row>
    <row r="37" spans="2:5" x14ac:dyDescent="0.25">
      <c r="B37" s="51">
        <v>21</v>
      </c>
      <c r="C37" s="174"/>
      <c r="D37" s="83"/>
      <c r="E37" s="136"/>
    </row>
    <row r="38" spans="2:5" x14ac:dyDescent="0.25">
      <c r="B38" s="51">
        <v>22</v>
      </c>
      <c r="C38" s="174"/>
      <c r="D38" s="83"/>
      <c r="E38" s="136"/>
    </row>
    <row r="39" spans="2:5" x14ac:dyDescent="0.25">
      <c r="B39" s="51">
        <v>23</v>
      </c>
      <c r="C39" s="174"/>
      <c r="D39" s="83"/>
      <c r="E39" s="136"/>
    </row>
    <row r="40" spans="2:5" x14ac:dyDescent="0.25">
      <c r="B40" s="51">
        <v>24</v>
      </c>
      <c r="C40" s="174"/>
      <c r="D40" s="83"/>
      <c r="E40" s="136"/>
    </row>
    <row r="41" spans="2:5" x14ac:dyDescent="0.25">
      <c r="B41" s="51">
        <v>25</v>
      </c>
      <c r="C41" s="174"/>
      <c r="D41" s="83"/>
      <c r="E41" s="136"/>
    </row>
    <row r="42" spans="2:5" x14ac:dyDescent="0.25">
      <c r="B42" s="51">
        <v>26</v>
      </c>
      <c r="C42" s="174"/>
      <c r="D42" s="83"/>
      <c r="E42" s="136"/>
    </row>
    <row r="43" spans="2:5" x14ac:dyDescent="0.25">
      <c r="B43" s="51">
        <v>27</v>
      </c>
      <c r="C43" s="174"/>
      <c r="D43" s="83"/>
      <c r="E43" s="136"/>
    </row>
    <row r="44" spans="2:5" x14ac:dyDescent="0.25">
      <c r="B44" s="51">
        <v>28</v>
      </c>
      <c r="C44" s="174"/>
      <c r="D44" s="83"/>
      <c r="E44" s="136"/>
    </row>
    <row r="45" spans="2:5" x14ac:dyDescent="0.25">
      <c r="B45" s="51">
        <v>29</v>
      </c>
      <c r="C45" s="174"/>
      <c r="D45" s="83"/>
      <c r="E45" s="136"/>
    </row>
    <row r="46" spans="2:5" x14ac:dyDescent="0.25">
      <c r="B46" s="49">
        <v>30</v>
      </c>
      <c r="C46" s="176"/>
      <c r="D46" s="177"/>
      <c r="E46" s="137"/>
    </row>
  </sheetData>
  <mergeCells count="5">
    <mergeCell ref="G23:J31"/>
    <mergeCell ref="C12:H13"/>
    <mergeCell ref="C10:J10"/>
    <mergeCell ref="C7:J8"/>
    <mergeCell ref="G16:K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7</xdr:col>
                    <xdr:colOff>66675</xdr:colOff>
                    <xdr:row>24</xdr:row>
                    <xdr:rowOff>161925</xdr:rowOff>
                  </from>
                  <to>
                    <xdr:col>9</xdr:col>
                    <xdr:colOff>95250</xdr:colOff>
                    <xdr:row>28</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topLeftCell="A7" zoomScale="80" zoomScaleNormal="80" workbookViewId="0">
      <selection activeCell="G25" sqref="G25"/>
    </sheetView>
  </sheetViews>
  <sheetFormatPr defaultRowHeight="15" x14ac:dyDescent="0.25"/>
  <cols>
    <col min="2" max="2" width="4.140625" customWidth="1"/>
    <col min="3" max="3" width="7.85546875" customWidth="1"/>
    <col min="4" max="4" width="5.7109375" customWidth="1"/>
    <col min="5" max="5" width="43.85546875" customWidth="1"/>
    <col min="6" max="6" width="21.28515625" style="56" customWidth="1"/>
    <col min="7" max="7" width="14.85546875" customWidth="1"/>
    <col min="8" max="8" width="11.5703125" bestFit="1" customWidth="1"/>
  </cols>
  <sheetData>
    <row r="8" spans="3:11" ht="15.75" customHeight="1" x14ac:dyDescent="0.25">
      <c r="C8" s="228" t="s">
        <v>104</v>
      </c>
      <c r="D8" s="229"/>
      <c r="E8" s="229"/>
      <c r="F8" s="229"/>
      <c r="G8" s="229"/>
      <c r="H8" s="230"/>
      <c r="I8" s="71"/>
      <c r="J8" s="320">
        <f ca="1">'Setup Analytics'!D17</f>
        <v>43529</v>
      </c>
      <c r="K8" s="321"/>
    </row>
    <row r="9" spans="3:11" ht="15" customHeight="1" x14ac:dyDescent="0.25">
      <c r="C9" s="234"/>
      <c r="D9" s="235"/>
      <c r="E9" s="235"/>
      <c r="F9" s="235"/>
      <c r="G9" s="235"/>
      <c r="H9" s="236"/>
      <c r="I9" s="71"/>
      <c r="J9" s="321"/>
      <c r="K9" s="321"/>
    </row>
    <row r="10" spans="3:11" ht="15" customHeight="1" x14ac:dyDescent="0.25">
      <c r="C10" s="48"/>
      <c r="D10" s="48"/>
      <c r="E10" s="48"/>
      <c r="F10" s="57"/>
    </row>
    <row r="11" spans="3:11" ht="15.75" x14ac:dyDescent="0.25">
      <c r="C11" s="280" t="s">
        <v>48</v>
      </c>
      <c r="D11" s="281"/>
      <c r="E11" s="281"/>
      <c r="F11" s="281"/>
      <c r="G11" s="281"/>
      <c r="H11" s="282"/>
    </row>
    <row r="12" spans="3:11" ht="15.75" x14ac:dyDescent="0.25">
      <c r="C12" s="48"/>
      <c r="D12" s="48"/>
      <c r="E12" s="48"/>
      <c r="F12" s="57"/>
    </row>
    <row r="13" spans="3:11" ht="15" customHeight="1" x14ac:dyDescent="0.25">
      <c r="C13" s="322" t="s">
        <v>107</v>
      </c>
      <c r="D13" s="323"/>
      <c r="E13" s="323"/>
      <c r="F13" s="323"/>
      <c r="G13" s="323"/>
      <c r="H13" s="324"/>
    </row>
    <row r="14" spans="3:11" x14ac:dyDescent="0.25">
      <c r="C14" s="325"/>
      <c r="D14" s="326"/>
      <c r="E14" s="326"/>
      <c r="F14" s="326"/>
      <c r="G14" s="326"/>
      <c r="H14" s="327"/>
    </row>
    <row r="16" spans="3:11" ht="15" customHeight="1" x14ac:dyDescent="0.25">
      <c r="C16" s="328" t="s">
        <v>55</v>
      </c>
      <c r="D16" s="329"/>
      <c r="E16" s="329"/>
      <c r="F16" s="329"/>
      <c r="G16" s="329"/>
      <c r="H16" s="330"/>
    </row>
    <row r="18" spans="3:12" ht="15.75" thickBot="1" x14ac:dyDescent="0.3">
      <c r="C18" s="2"/>
      <c r="D18" s="2"/>
      <c r="E18" s="58" t="s">
        <v>138</v>
      </c>
      <c r="F18" s="59" t="s">
        <v>51</v>
      </c>
      <c r="G18" s="59" t="s">
        <v>98</v>
      </c>
      <c r="H18" s="133" t="s">
        <v>16</v>
      </c>
    </row>
    <row r="19" spans="3:12" ht="15.75" thickTop="1" x14ac:dyDescent="0.25">
      <c r="D19" s="19">
        <v>1</v>
      </c>
      <c r="E19" s="174" t="str">
        <f>IF(Setup!D14="",NA(),Setup!D14)</f>
        <v>LUID_FO3MZVDA</v>
      </c>
      <c r="F19" s="181">
        <f t="shared" ref="F19:G39" si="0">IF(E19="","",D19)</f>
        <v>1</v>
      </c>
      <c r="G19" s="181" t="str">
        <f>IF(E19="","","USD")</f>
        <v>USD</v>
      </c>
      <c r="H19" s="34" t="s">
        <v>19</v>
      </c>
    </row>
    <row r="20" spans="3:12" x14ac:dyDescent="0.25">
      <c r="D20" s="19">
        <v>2</v>
      </c>
      <c r="E20" s="174" t="str">
        <f>IF(Setup!D15="",NA(),Setup!D15)</f>
        <v>LUID_L0MLT3RF</v>
      </c>
      <c r="F20" s="181">
        <f t="shared" si="0"/>
        <v>2</v>
      </c>
      <c r="G20" s="181" t="str">
        <f t="shared" ref="G20:G48" si="1">IF(E20="","","USD")</f>
        <v>USD</v>
      </c>
      <c r="H20" s="34"/>
    </row>
    <row r="21" spans="3:12" x14ac:dyDescent="0.25">
      <c r="D21" s="19">
        <v>3</v>
      </c>
      <c r="E21" s="174" t="str">
        <f>IF(Setup!D16="",NA(),Setup!D16)</f>
        <v>LUID_0QA5WPQ7</v>
      </c>
      <c r="F21" s="181">
        <f t="shared" si="0"/>
        <v>3</v>
      </c>
      <c r="G21" s="181" t="str">
        <f t="shared" si="1"/>
        <v>USD</v>
      </c>
      <c r="H21" s="34"/>
    </row>
    <row r="22" spans="3:12" x14ac:dyDescent="0.25">
      <c r="D22" s="19">
        <v>4</v>
      </c>
      <c r="E22" s="174" t="str">
        <f>IF(Setup!D17="",NA(),Setup!D17)</f>
        <v>LUID_KAHJTUG3</v>
      </c>
      <c r="F22" s="181">
        <f t="shared" si="0"/>
        <v>4</v>
      </c>
      <c r="G22" s="181" t="str">
        <f t="shared" si="1"/>
        <v>USD</v>
      </c>
      <c r="H22" s="34"/>
    </row>
    <row r="23" spans="3:12" x14ac:dyDescent="0.25">
      <c r="D23" s="19">
        <v>5</v>
      </c>
      <c r="E23" s="174" t="str">
        <f>IF(Setup!D18="",NA(),Setup!D18)</f>
        <v>LUID_5ZJXMMXB</v>
      </c>
      <c r="F23" s="181">
        <f t="shared" si="0"/>
        <v>5</v>
      </c>
      <c r="G23" s="181" t="str">
        <f t="shared" si="1"/>
        <v>USD</v>
      </c>
      <c r="H23" s="34"/>
    </row>
    <row r="24" spans="3:12" x14ac:dyDescent="0.25">
      <c r="D24" s="19">
        <v>6</v>
      </c>
      <c r="E24" s="174" t="str">
        <f>IF(Setup!D19="",NA(),Setup!D19)</f>
        <v>LUID_G4OYJ3P0</v>
      </c>
      <c r="F24" s="181">
        <f t="shared" si="0"/>
        <v>6</v>
      </c>
      <c r="G24" s="181" t="str">
        <f t="shared" si="1"/>
        <v>USD</v>
      </c>
      <c r="H24" s="34"/>
    </row>
    <row r="25" spans="3:12" x14ac:dyDescent="0.25">
      <c r="D25" s="19">
        <v>7</v>
      </c>
      <c r="E25" s="174" t="str">
        <f>IF(Setup!D20="",NA(),Setup!D20)</f>
        <v>LUID_PJKDDUP2</v>
      </c>
      <c r="F25" s="181">
        <f t="shared" si="0"/>
        <v>7</v>
      </c>
      <c r="G25" s="181" t="str">
        <f t="shared" si="1"/>
        <v>USD</v>
      </c>
      <c r="H25" s="34"/>
    </row>
    <row r="26" spans="3:12" x14ac:dyDescent="0.25">
      <c r="D26" s="19">
        <v>8</v>
      </c>
      <c r="E26" s="174" t="str">
        <f>IF(Setup!D21="",NA(),Setup!D21)</f>
        <v>LUID_IWQ59HNL</v>
      </c>
      <c r="F26" s="181">
        <f t="shared" si="0"/>
        <v>8</v>
      </c>
      <c r="G26" s="181" t="str">
        <f t="shared" si="1"/>
        <v>USD</v>
      </c>
      <c r="H26" s="34"/>
    </row>
    <row r="27" spans="3:12" x14ac:dyDescent="0.25">
      <c r="D27" s="19">
        <v>9</v>
      </c>
      <c r="E27" s="174" t="str">
        <f>IF(Setup!D22="",NA(),Setup!D22)</f>
        <v>LUID_YQU54HEB</v>
      </c>
      <c r="F27" s="181">
        <f t="shared" si="0"/>
        <v>9</v>
      </c>
      <c r="G27" s="181" t="str">
        <f t="shared" si="1"/>
        <v>USD</v>
      </c>
      <c r="H27" s="34"/>
    </row>
    <row r="28" spans="3:12" x14ac:dyDescent="0.25">
      <c r="D28" s="19">
        <v>10</v>
      </c>
      <c r="E28" s="174" t="str">
        <f>IF(Setup!D23="",NA(),Setup!D23)</f>
        <v>LUID_BIYPT5WE</v>
      </c>
      <c r="F28" s="181">
        <f t="shared" si="0"/>
        <v>10</v>
      </c>
      <c r="G28" s="181" t="str">
        <f t="shared" si="1"/>
        <v>USD</v>
      </c>
      <c r="H28" s="34"/>
    </row>
    <row r="29" spans="3:12" x14ac:dyDescent="0.25">
      <c r="D29" s="19">
        <v>11</v>
      </c>
      <c r="E29" s="174" t="str">
        <f>IF(Setup!D24="",NA(),Setup!D24)</f>
        <v>LUID_35DC4EH5</v>
      </c>
      <c r="F29" s="181">
        <f t="shared" si="0"/>
        <v>11</v>
      </c>
      <c r="G29" s="181" t="str">
        <f t="shared" si="1"/>
        <v>USD</v>
      </c>
      <c r="H29" s="34"/>
      <c r="J29" s="306" t="s">
        <v>56</v>
      </c>
      <c r="K29" s="307"/>
      <c r="L29" s="308"/>
    </row>
    <row r="30" spans="3:12" x14ac:dyDescent="0.25">
      <c r="D30" s="19">
        <v>12</v>
      </c>
      <c r="E30" s="174" t="str">
        <f>IF(Setup!D25="",NA(),Setup!D25)</f>
        <v>LUID_YNFUT4CG</v>
      </c>
      <c r="F30" s="181">
        <f t="shared" si="0"/>
        <v>12</v>
      </c>
      <c r="G30" s="181" t="str">
        <f t="shared" si="1"/>
        <v>USD</v>
      </c>
      <c r="H30" s="34"/>
      <c r="J30" s="309"/>
      <c r="K30" s="244"/>
      <c r="L30" s="310"/>
    </row>
    <row r="31" spans="3:12" x14ac:dyDescent="0.25">
      <c r="D31" s="19">
        <v>13</v>
      </c>
      <c r="E31" s="174" t="str">
        <f>IF(Setup!D26="",NA(),Setup!D26)</f>
        <v>LUID_GV2Z426B</v>
      </c>
      <c r="F31" s="181">
        <f t="shared" si="0"/>
        <v>13</v>
      </c>
      <c r="G31" s="181" t="str">
        <f t="shared" si="1"/>
        <v>USD</v>
      </c>
      <c r="H31" s="34"/>
      <c r="J31" s="309"/>
      <c r="K31" s="244"/>
      <c r="L31" s="310"/>
    </row>
    <row r="32" spans="3:12" x14ac:dyDescent="0.25">
      <c r="D32" s="19">
        <v>14</v>
      </c>
      <c r="E32" s="174" t="str">
        <f>IF(Setup!D27="",NA(),Setup!D27)</f>
        <v>LUID_NPNS4BL3</v>
      </c>
      <c r="F32" s="181">
        <f t="shared" si="0"/>
        <v>14</v>
      </c>
      <c r="G32" s="181" t="str">
        <f t="shared" si="1"/>
        <v>USD</v>
      </c>
      <c r="H32" s="34"/>
      <c r="J32" s="309"/>
      <c r="K32" s="244"/>
      <c r="L32" s="310"/>
    </row>
    <row r="33" spans="3:12" x14ac:dyDescent="0.25">
      <c r="D33" s="19">
        <v>15</v>
      </c>
      <c r="E33" s="174" t="str">
        <f>IF(Setup!D28="",NA(),Setup!D28)</f>
        <v>LUID_YGHMDW9Z</v>
      </c>
      <c r="F33" s="181">
        <f t="shared" si="0"/>
        <v>15</v>
      </c>
      <c r="G33" s="181" t="str">
        <f t="shared" si="1"/>
        <v>USD</v>
      </c>
      <c r="H33" s="34"/>
      <c r="J33" s="309"/>
      <c r="K33" s="244"/>
      <c r="L33" s="310"/>
    </row>
    <row r="34" spans="3:12" x14ac:dyDescent="0.25">
      <c r="D34" s="19">
        <v>16</v>
      </c>
      <c r="E34" s="174" t="str">
        <f>IF(Setup!D29="",NA(),Setup!D29)</f>
        <v>LUID_DNJRWJO9</v>
      </c>
      <c r="F34" s="181">
        <f t="shared" si="0"/>
        <v>16</v>
      </c>
      <c r="G34" s="181" t="str">
        <f t="shared" si="1"/>
        <v>USD</v>
      </c>
      <c r="H34" s="34"/>
      <c r="J34" s="309"/>
      <c r="K34" s="244"/>
      <c r="L34" s="310"/>
    </row>
    <row r="35" spans="3:12" x14ac:dyDescent="0.25">
      <c r="D35" s="19">
        <v>17</v>
      </c>
      <c r="E35" s="174" t="str">
        <f>IF(Setup!D30="",NA(),Setup!D30)</f>
        <v>LUID_MOTO0E4D</v>
      </c>
      <c r="F35" s="181">
        <f t="shared" si="0"/>
        <v>17</v>
      </c>
      <c r="G35" s="181" t="str">
        <f t="shared" si="1"/>
        <v>USD</v>
      </c>
      <c r="H35" s="34"/>
      <c r="J35" s="311"/>
      <c r="K35" s="312"/>
      <c r="L35" s="313"/>
    </row>
    <row r="36" spans="3:12" x14ac:dyDescent="0.25">
      <c r="D36" s="19">
        <v>18</v>
      </c>
      <c r="E36" s="174" t="str">
        <f>IF(Setup!D31="",NA(),Setup!D31)</f>
        <v>LUID_FKU04OF1</v>
      </c>
      <c r="F36" s="181">
        <f t="shared" si="0"/>
        <v>18</v>
      </c>
      <c r="G36" s="181" t="str">
        <f t="shared" si="1"/>
        <v>USD</v>
      </c>
      <c r="H36" s="34"/>
    </row>
    <row r="37" spans="3:12" x14ac:dyDescent="0.25">
      <c r="D37" s="19">
        <v>19</v>
      </c>
      <c r="E37" s="174" t="str">
        <f>IF(Setup!D32="",NA(),Setup!D32)</f>
        <v>LUID_9665UL2T</v>
      </c>
      <c r="F37" s="181">
        <f t="shared" si="0"/>
        <v>19</v>
      </c>
      <c r="G37" s="181" t="str">
        <f t="shared" si="1"/>
        <v>USD</v>
      </c>
      <c r="H37" s="34"/>
    </row>
    <row r="38" spans="3:12" x14ac:dyDescent="0.25">
      <c r="D38" s="19">
        <v>20</v>
      </c>
      <c r="E38" s="174" t="str">
        <f>IF(Setup!D33="",NA(),Setup!D33)</f>
        <v>LUID_P3U3U6KY</v>
      </c>
      <c r="F38" s="181">
        <f t="shared" si="0"/>
        <v>20</v>
      </c>
      <c r="G38" s="181" t="str">
        <f t="shared" si="1"/>
        <v>USD</v>
      </c>
      <c r="H38" s="34"/>
    </row>
    <row r="39" spans="3:12" x14ac:dyDescent="0.25">
      <c r="D39" s="19">
        <v>21</v>
      </c>
      <c r="E39" s="174" t="str">
        <f>IF(Setup!D34="",NA(),Setup!D34)</f>
        <v>LUID_3MZPBTJD</v>
      </c>
      <c r="F39" s="181">
        <f t="shared" si="0"/>
        <v>21</v>
      </c>
      <c r="G39" s="181" t="str">
        <f t="shared" si="1"/>
        <v>USD</v>
      </c>
      <c r="H39" s="34"/>
    </row>
    <row r="40" spans="3:12" x14ac:dyDescent="0.25">
      <c r="D40" s="19">
        <v>22</v>
      </c>
      <c r="E40" s="174" t="str">
        <f>IF(Setup!D35="",NA(),Setup!D35)</f>
        <v>LUID_F70QBY6X</v>
      </c>
      <c r="F40" s="181">
        <f>IF(E40="","",D40)</f>
        <v>22</v>
      </c>
      <c r="G40" s="181" t="str">
        <f t="shared" si="1"/>
        <v>USD</v>
      </c>
      <c r="H40" s="34"/>
    </row>
    <row r="41" spans="3:12" x14ac:dyDescent="0.25">
      <c r="D41" s="19">
        <v>23</v>
      </c>
      <c r="E41" s="174" t="str">
        <f>IF(Setup!D36="","",Setup!D36)</f>
        <v/>
      </c>
      <c r="F41" s="181" t="str">
        <f t="shared" ref="F41:F48" si="2">IF(E41="","",D41)</f>
        <v/>
      </c>
      <c r="G41" s="181" t="str">
        <f t="shared" si="1"/>
        <v/>
      </c>
      <c r="H41" s="34"/>
    </row>
    <row r="42" spans="3:12" x14ac:dyDescent="0.25">
      <c r="D42" s="19">
        <v>24</v>
      </c>
      <c r="E42" s="174" t="str">
        <f>IF(Setup!D37="","",Setup!D37)</f>
        <v/>
      </c>
      <c r="F42" s="181" t="str">
        <f t="shared" si="2"/>
        <v/>
      </c>
      <c r="G42" s="181" t="str">
        <f t="shared" si="1"/>
        <v/>
      </c>
      <c r="H42" s="34"/>
    </row>
    <row r="43" spans="3:12" x14ac:dyDescent="0.25">
      <c r="D43" s="19">
        <v>25</v>
      </c>
      <c r="E43" s="174" t="str">
        <f>IF(Setup!D38="","",Setup!D38)</f>
        <v/>
      </c>
      <c r="F43" s="181" t="str">
        <f t="shared" si="2"/>
        <v/>
      </c>
      <c r="G43" s="181" t="str">
        <f t="shared" si="1"/>
        <v/>
      </c>
      <c r="H43" s="34"/>
    </row>
    <row r="44" spans="3:12" x14ac:dyDescent="0.25">
      <c r="D44" s="19">
        <v>26</v>
      </c>
      <c r="E44" s="174" t="str">
        <f>IF(Setup!D39="","",Setup!D39)</f>
        <v/>
      </c>
      <c r="F44" s="181" t="str">
        <f t="shared" si="2"/>
        <v/>
      </c>
      <c r="G44" s="181" t="str">
        <f t="shared" si="1"/>
        <v/>
      </c>
      <c r="H44" s="34"/>
    </row>
    <row r="45" spans="3:12" x14ac:dyDescent="0.25">
      <c r="D45" s="19">
        <v>27</v>
      </c>
      <c r="E45" s="174" t="str">
        <f>IF(Setup!D40="","",Setup!D40)</f>
        <v/>
      </c>
      <c r="F45" s="181" t="str">
        <f t="shared" si="2"/>
        <v/>
      </c>
      <c r="G45" s="181" t="str">
        <f t="shared" si="1"/>
        <v/>
      </c>
      <c r="H45" s="34"/>
    </row>
    <row r="46" spans="3:12" x14ac:dyDescent="0.25">
      <c r="D46" s="19">
        <v>28</v>
      </c>
      <c r="E46" s="174" t="str">
        <f>IF(Setup!D41="","",Setup!D41)</f>
        <v/>
      </c>
      <c r="F46" s="181" t="str">
        <f t="shared" si="2"/>
        <v/>
      </c>
      <c r="G46" s="181" t="str">
        <f t="shared" si="1"/>
        <v/>
      </c>
      <c r="H46" s="34"/>
    </row>
    <row r="47" spans="3:12" x14ac:dyDescent="0.25">
      <c r="D47" s="19">
        <v>29</v>
      </c>
      <c r="E47" s="174" t="str">
        <f>IF(Setup!D42="","",Setup!D42)</f>
        <v/>
      </c>
      <c r="F47" s="181" t="str">
        <f t="shared" si="2"/>
        <v/>
      </c>
      <c r="G47" s="181" t="str">
        <f t="shared" si="1"/>
        <v/>
      </c>
      <c r="H47" s="34"/>
    </row>
    <row r="48" spans="3:12" x14ac:dyDescent="0.25">
      <c r="C48" s="20"/>
      <c r="D48" s="19">
        <v>30</v>
      </c>
      <c r="E48" s="174" t="str">
        <f>IF(Setup!D43="","",Setup!D43)</f>
        <v/>
      </c>
      <c r="F48" s="181" t="str">
        <f t="shared" si="2"/>
        <v/>
      </c>
      <c r="G48" s="181" t="str">
        <f t="shared" si="1"/>
        <v/>
      </c>
      <c r="H48" s="37"/>
    </row>
    <row r="52" spans="5:9" x14ac:dyDescent="0.25">
      <c r="E52" s="228" t="s">
        <v>78</v>
      </c>
      <c r="F52" s="229"/>
      <c r="G52" s="229"/>
      <c r="H52" s="229"/>
      <c r="I52" s="230"/>
    </row>
    <row r="53" spans="5:9" x14ac:dyDescent="0.25">
      <c r="E53" s="231"/>
      <c r="F53" s="232"/>
      <c r="G53" s="232"/>
      <c r="H53" s="232"/>
      <c r="I53" s="233"/>
    </row>
    <row r="54" spans="5:9" x14ac:dyDescent="0.25">
      <c r="E54" s="231"/>
      <c r="F54" s="232"/>
      <c r="G54" s="232"/>
      <c r="H54" s="232"/>
      <c r="I54" s="233"/>
    </row>
    <row r="55" spans="5:9" x14ac:dyDescent="0.25">
      <c r="E55" s="231"/>
      <c r="F55" s="232"/>
      <c r="G55" s="232"/>
      <c r="H55" s="232"/>
      <c r="I55" s="233"/>
    </row>
    <row r="56" spans="5:9" x14ac:dyDescent="0.25">
      <c r="E56" s="234"/>
      <c r="F56" s="235"/>
      <c r="G56" s="235"/>
      <c r="H56" s="235"/>
      <c r="I56" s="236"/>
    </row>
  </sheetData>
  <mergeCells count="7">
    <mergeCell ref="E52:I56"/>
    <mergeCell ref="J29:L35"/>
    <mergeCell ref="J8:K9"/>
    <mergeCell ref="C8:H9"/>
    <mergeCell ref="C11:H11"/>
    <mergeCell ref="C13:H14"/>
    <mergeCell ref="C16:H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6A5F5-DB2A-4B81-9DA7-D9BEBC93E0BE}">
  <sheetPr codeName="Sheet15"/>
  <dimension ref="B1:O183"/>
  <sheetViews>
    <sheetView topLeftCell="A4" zoomScale="80" zoomScaleNormal="80" workbookViewId="0">
      <selection activeCell="G17" sqref="G17"/>
    </sheetView>
  </sheetViews>
  <sheetFormatPr defaultRowHeight="15" x14ac:dyDescent="0.25"/>
  <cols>
    <col min="4" max="4" width="27.42578125" customWidth="1"/>
    <col min="5" max="5" width="10.42578125" customWidth="1"/>
    <col min="6" max="6" width="14.140625" customWidth="1"/>
  </cols>
  <sheetData>
    <row r="1" spans="2:15" x14ac:dyDescent="0.25">
      <c r="E1" s="56"/>
    </row>
    <row r="2" spans="2:15" x14ac:dyDescent="0.25">
      <c r="E2" s="56"/>
    </row>
    <row r="3" spans="2:15" x14ac:dyDescent="0.25">
      <c r="E3" s="56"/>
    </row>
    <row r="4" spans="2:15" x14ac:dyDescent="0.25">
      <c r="E4" s="56"/>
    </row>
    <row r="5" spans="2:15" x14ac:dyDescent="0.25">
      <c r="E5" s="56"/>
    </row>
    <row r="6" spans="2:15" x14ac:dyDescent="0.25">
      <c r="B6" s="237" t="s">
        <v>103</v>
      </c>
      <c r="C6" s="238"/>
      <c r="D6" s="238"/>
      <c r="E6" s="238"/>
      <c r="F6" s="238"/>
      <c r="G6" s="238"/>
      <c r="H6" s="238"/>
      <c r="I6" s="239"/>
      <c r="K6" s="320">
        <f ca="1">TODAY()</f>
        <v>43529</v>
      </c>
      <c r="L6" s="321"/>
    </row>
    <row r="7" spans="2:15" x14ac:dyDescent="0.25">
      <c r="B7" s="240"/>
      <c r="C7" s="248"/>
      <c r="D7" s="248"/>
      <c r="E7" s="248"/>
      <c r="F7" s="248"/>
      <c r="G7" s="248"/>
      <c r="H7" s="248"/>
      <c r="I7" s="242"/>
      <c r="K7" s="321"/>
      <c r="L7" s="321"/>
    </row>
    <row r="8" spans="2:15" ht="15.75" x14ac:dyDescent="0.25">
      <c r="B8" s="48"/>
      <c r="C8" s="48"/>
      <c r="D8" s="48"/>
      <c r="E8" s="57"/>
    </row>
    <row r="9" spans="2:15" ht="15.75" x14ac:dyDescent="0.25">
      <c r="B9" s="280" t="s">
        <v>95</v>
      </c>
      <c r="C9" s="281"/>
      <c r="D9" s="281"/>
      <c r="E9" s="281"/>
      <c r="F9" s="281"/>
      <c r="G9" s="281"/>
      <c r="H9" s="281"/>
      <c r="I9" s="282"/>
    </row>
    <row r="10" spans="2:15" ht="15.75" x14ac:dyDescent="0.25">
      <c r="B10" s="48"/>
      <c r="C10" s="48"/>
      <c r="D10" s="48"/>
      <c r="E10" s="57"/>
    </row>
    <row r="11" spans="2:15" ht="15" customHeight="1" x14ac:dyDescent="0.25">
      <c r="B11" s="322" t="s">
        <v>108</v>
      </c>
      <c r="C11" s="323"/>
      <c r="D11" s="323"/>
      <c r="E11" s="323"/>
      <c r="F11" s="323"/>
      <c r="G11" s="323"/>
      <c r="H11" s="323"/>
      <c r="I11" s="324"/>
    </row>
    <row r="12" spans="2:15" x14ac:dyDescent="0.25">
      <c r="B12" s="325"/>
      <c r="C12" s="326"/>
      <c r="D12" s="326"/>
      <c r="E12" s="326"/>
      <c r="F12" s="326"/>
      <c r="G12" s="326"/>
      <c r="H12" s="326"/>
      <c r="I12" s="327"/>
    </row>
    <row r="13" spans="2:15" x14ac:dyDescent="0.25">
      <c r="E13" s="56"/>
    </row>
    <row r="14" spans="2:15" ht="15" customHeight="1" x14ac:dyDescent="0.25">
      <c r="B14" s="328" t="s">
        <v>96</v>
      </c>
      <c r="C14" s="329"/>
      <c r="D14" s="329"/>
      <c r="E14" s="329"/>
      <c r="F14" s="329"/>
      <c r="G14" s="329"/>
      <c r="H14" s="329"/>
      <c r="I14" s="330"/>
    </row>
    <row r="15" spans="2:15" x14ac:dyDescent="0.25">
      <c r="E15" s="56"/>
      <c r="N15" s="127"/>
      <c r="O15" s="123"/>
    </row>
    <row r="16" spans="2:15" ht="15.75" thickBot="1" x14ac:dyDescent="0.3">
      <c r="B16" s="2"/>
      <c r="C16" s="2"/>
      <c r="D16" s="58" t="s">
        <v>138</v>
      </c>
      <c r="E16" s="59" t="s">
        <v>51</v>
      </c>
      <c r="F16" s="130" t="s">
        <v>98</v>
      </c>
      <c r="G16" s="134" t="s">
        <v>16</v>
      </c>
      <c r="N16" s="127"/>
      <c r="O16" s="123"/>
    </row>
    <row r="17" spans="3:15" ht="15.75" thickTop="1" x14ac:dyDescent="0.25">
      <c r="C17" s="19">
        <v>1</v>
      </c>
      <c r="D17" s="174" t="s">
        <v>93</v>
      </c>
      <c r="E17" s="181">
        <v>1</v>
      </c>
      <c r="F17" s="361" t="str">
        <f>IF(D17="","","USD")</f>
        <v>USD</v>
      </c>
      <c r="G17" s="90"/>
      <c r="N17" s="127"/>
      <c r="O17" s="123"/>
    </row>
    <row r="18" spans="3:15" x14ac:dyDescent="0.25">
      <c r="C18" s="19">
        <v>2</v>
      </c>
      <c r="D18" s="174" t="s">
        <v>92</v>
      </c>
      <c r="E18" s="181">
        <v>1.34</v>
      </c>
      <c r="F18" s="361" t="str">
        <f t="shared" ref="F18:F46" si="0">IF(D18="","","USD")</f>
        <v>USD</v>
      </c>
      <c r="G18" s="34"/>
      <c r="N18" s="127"/>
      <c r="O18" s="123"/>
    </row>
    <row r="19" spans="3:15" x14ac:dyDescent="0.25">
      <c r="C19" s="19">
        <v>3</v>
      </c>
      <c r="D19" s="174" t="s">
        <v>97</v>
      </c>
      <c r="E19" s="181">
        <v>7.9000000000000001E-2</v>
      </c>
      <c r="F19" s="361" t="str">
        <f t="shared" si="0"/>
        <v>USD</v>
      </c>
      <c r="G19" s="34"/>
    </row>
    <row r="20" spans="3:15" x14ac:dyDescent="0.25">
      <c r="C20" s="19">
        <v>4</v>
      </c>
      <c r="D20" s="174" t="s">
        <v>94</v>
      </c>
      <c r="E20" s="181">
        <v>1.17</v>
      </c>
      <c r="F20" s="361" t="str">
        <f t="shared" si="0"/>
        <v>USD</v>
      </c>
      <c r="G20" s="34"/>
    </row>
    <row r="21" spans="3:15" x14ac:dyDescent="0.25">
      <c r="C21" s="19">
        <v>5</v>
      </c>
      <c r="D21" s="174"/>
      <c r="E21" s="181"/>
      <c r="F21" s="361" t="str">
        <f t="shared" si="0"/>
        <v/>
      </c>
      <c r="G21" s="34"/>
    </row>
    <row r="22" spans="3:15" x14ac:dyDescent="0.25">
      <c r="C22" s="19">
        <v>6</v>
      </c>
      <c r="D22" s="174"/>
      <c r="E22" s="181"/>
      <c r="F22" s="361" t="str">
        <f t="shared" si="0"/>
        <v/>
      </c>
      <c r="G22" s="34"/>
    </row>
    <row r="23" spans="3:15" x14ac:dyDescent="0.25">
      <c r="C23" s="19">
        <v>7</v>
      </c>
      <c r="D23" s="174"/>
      <c r="E23" s="181"/>
      <c r="F23" s="361" t="str">
        <f t="shared" si="0"/>
        <v/>
      </c>
      <c r="G23" s="34"/>
    </row>
    <row r="24" spans="3:15" x14ac:dyDescent="0.25">
      <c r="C24" s="19">
        <v>8</v>
      </c>
      <c r="D24" s="174"/>
      <c r="E24" s="181"/>
      <c r="F24" s="361" t="str">
        <f t="shared" si="0"/>
        <v/>
      </c>
      <c r="G24" s="34"/>
    </row>
    <row r="25" spans="3:15" x14ac:dyDescent="0.25">
      <c r="C25" s="19">
        <v>9</v>
      </c>
      <c r="D25" s="174"/>
      <c r="E25" s="181"/>
      <c r="F25" s="361" t="str">
        <f t="shared" si="0"/>
        <v/>
      </c>
      <c r="G25" s="34"/>
    </row>
    <row r="26" spans="3:15" x14ac:dyDescent="0.25">
      <c r="C26" s="19">
        <v>10</v>
      </c>
      <c r="D26" s="174"/>
      <c r="E26" s="181"/>
      <c r="F26" s="361" t="str">
        <f t="shared" si="0"/>
        <v/>
      </c>
      <c r="G26" s="34"/>
    </row>
    <row r="27" spans="3:15" x14ac:dyDescent="0.25">
      <c r="C27" s="19">
        <v>11</v>
      </c>
      <c r="D27" s="174"/>
      <c r="E27" s="181"/>
      <c r="F27" s="361" t="str">
        <f t="shared" si="0"/>
        <v/>
      </c>
      <c r="G27" s="34"/>
      <c r="I27" s="306" t="s">
        <v>56</v>
      </c>
      <c r="J27" s="307"/>
      <c r="K27" s="308"/>
    </row>
    <row r="28" spans="3:15" x14ac:dyDescent="0.25">
      <c r="C28" s="19">
        <v>12</v>
      </c>
      <c r="D28" s="174"/>
      <c r="E28" s="181"/>
      <c r="F28" s="361" t="str">
        <f t="shared" si="0"/>
        <v/>
      </c>
      <c r="G28" s="34"/>
      <c r="I28" s="309"/>
      <c r="J28" s="244"/>
      <c r="K28" s="310"/>
    </row>
    <row r="29" spans="3:15" x14ac:dyDescent="0.25">
      <c r="C29" s="19">
        <v>13</v>
      </c>
      <c r="D29" s="174"/>
      <c r="E29" s="181"/>
      <c r="F29" s="361" t="str">
        <f t="shared" si="0"/>
        <v/>
      </c>
      <c r="G29" s="34"/>
      <c r="I29" s="309"/>
      <c r="J29" s="244"/>
      <c r="K29" s="310"/>
    </row>
    <row r="30" spans="3:15" x14ac:dyDescent="0.25">
      <c r="C30" s="19">
        <v>14</v>
      </c>
      <c r="D30" s="174"/>
      <c r="E30" s="181"/>
      <c r="F30" s="361" t="str">
        <f t="shared" si="0"/>
        <v/>
      </c>
      <c r="G30" s="34"/>
      <c r="I30" s="309"/>
      <c r="J30" s="244"/>
      <c r="K30" s="310"/>
    </row>
    <row r="31" spans="3:15" x14ac:dyDescent="0.25">
      <c r="C31" s="19">
        <v>15</v>
      </c>
      <c r="D31" s="174"/>
      <c r="E31" s="181"/>
      <c r="F31" s="361" t="str">
        <f t="shared" si="0"/>
        <v/>
      </c>
      <c r="G31" s="34"/>
      <c r="I31" s="309"/>
      <c r="J31" s="244"/>
      <c r="K31" s="310"/>
    </row>
    <row r="32" spans="3:15" x14ac:dyDescent="0.25">
      <c r="C32" s="19">
        <v>16</v>
      </c>
      <c r="D32" s="174"/>
      <c r="E32" s="181"/>
      <c r="F32" s="361" t="str">
        <f t="shared" si="0"/>
        <v/>
      </c>
      <c r="G32" s="34"/>
      <c r="I32" s="309"/>
      <c r="J32" s="244"/>
      <c r="K32" s="310"/>
    </row>
    <row r="33" spans="2:11" x14ac:dyDescent="0.25">
      <c r="C33" s="19">
        <v>17</v>
      </c>
      <c r="D33" s="174"/>
      <c r="E33" s="181"/>
      <c r="F33" s="361" t="str">
        <f t="shared" si="0"/>
        <v/>
      </c>
      <c r="G33" s="34"/>
      <c r="I33" s="311"/>
      <c r="J33" s="312"/>
      <c r="K33" s="313"/>
    </row>
    <row r="34" spans="2:11" x14ac:dyDescent="0.25">
      <c r="C34" s="19">
        <v>18</v>
      </c>
      <c r="D34" s="174"/>
      <c r="E34" s="181"/>
      <c r="F34" s="361" t="str">
        <f t="shared" si="0"/>
        <v/>
      </c>
      <c r="G34" s="34"/>
    </row>
    <row r="35" spans="2:11" x14ac:dyDescent="0.25">
      <c r="C35" s="19">
        <v>19</v>
      </c>
      <c r="D35" s="174"/>
      <c r="E35" s="181"/>
      <c r="F35" s="361" t="str">
        <f t="shared" si="0"/>
        <v/>
      </c>
      <c r="G35" s="34"/>
    </row>
    <row r="36" spans="2:11" x14ac:dyDescent="0.25">
      <c r="C36" s="19">
        <v>20</v>
      </c>
      <c r="D36" s="174"/>
      <c r="E36" s="181"/>
      <c r="F36" s="361" t="str">
        <f t="shared" si="0"/>
        <v/>
      </c>
      <c r="G36" s="34"/>
    </row>
    <row r="37" spans="2:11" x14ac:dyDescent="0.25">
      <c r="C37" s="19">
        <v>21</v>
      </c>
      <c r="D37" s="174"/>
      <c r="E37" s="181"/>
      <c r="F37" s="361" t="str">
        <f>IF(D37="","","USD")</f>
        <v/>
      </c>
      <c r="G37" s="34"/>
    </row>
    <row r="38" spans="2:11" x14ac:dyDescent="0.25">
      <c r="C38" s="19">
        <v>22</v>
      </c>
      <c r="D38" s="174"/>
      <c r="E38" s="181"/>
      <c r="F38" s="361" t="str">
        <f t="shared" si="0"/>
        <v/>
      </c>
      <c r="G38" s="34"/>
    </row>
    <row r="39" spans="2:11" x14ac:dyDescent="0.25">
      <c r="C39" s="19">
        <v>23</v>
      </c>
      <c r="D39" s="174"/>
      <c r="E39" s="181"/>
      <c r="F39" s="361" t="str">
        <f t="shared" si="0"/>
        <v/>
      </c>
      <c r="G39" s="34"/>
    </row>
    <row r="40" spans="2:11" x14ac:dyDescent="0.25">
      <c r="C40" s="19">
        <v>24</v>
      </c>
      <c r="D40" s="174"/>
      <c r="E40" s="181"/>
      <c r="F40" s="361" t="str">
        <f t="shared" si="0"/>
        <v/>
      </c>
      <c r="G40" s="34"/>
    </row>
    <row r="41" spans="2:11" x14ac:dyDescent="0.25">
      <c r="C41" s="19">
        <v>25</v>
      </c>
      <c r="D41" s="174"/>
      <c r="E41" s="181"/>
      <c r="F41" s="361" t="str">
        <f t="shared" si="0"/>
        <v/>
      </c>
      <c r="G41" s="34"/>
    </row>
    <row r="42" spans="2:11" x14ac:dyDescent="0.25">
      <c r="C42" s="19">
        <v>26</v>
      </c>
      <c r="D42" s="174"/>
      <c r="E42" s="181"/>
      <c r="F42" s="361" t="str">
        <f t="shared" si="0"/>
        <v/>
      </c>
      <c r="G42" s="34"/>
    </row>
    <row r="43" spans="2:11" x14ac:dyDescent="0.25">
      <c r="C43" s="19">
        <v>27</v>
      </c>
      <c r="D43" s="174"/>
      <c r="E43" s="181"/>
      <c r="F43" s="361" t="str">
        <f t="shared" si="0"/>
        <v/>
      </c>
      <c r="G43" s="34"/>
    </row>
    <row r="44" spans="2:11" x14ac:dyDescent="0.25">
      <c r="C44" s="19">
        <v>28</v>
      </c>
      <c r="D44" s="174"/>
      <c r="E44" s="181"/>
      <c r="F44" s="361" t="str">
        <f t="shared" si="0"/>
        <v/>
      </c>
      <c r="G44" s="34"/>
    </row>
    <row r="45" spans="2:11" x14ac:dyDescent="0.25">
      <c r="C45" s="19">
        <v>29</v>
      </c>
      <c r="D45" s="174"/>
      <c r="E45" s="181"/>
      <c r="F45" s="361" t="str">
        <f t="shared" si="0"/>
        <v/>
      </c>
      <c r="G45" s="34"/>
    </row>
    <row r="46" spans="2:11" x14ac:dyDescent="0.25">
      <c r="B46" s="20"/>
      <c r="C46" s="19">
        <v>30</v>
      </c>
      <c r="D46" s="176"/>
      <c r="E46" s="182"/>
      <c r="F46" s="361" t="str">
        <f t="shared" si="0"/>
        <v/>
      </c>
      <c r="G46" s="37"/>
    </row>
    <row r="47" spans="2:11" x14ac:dyDescent="0.25">
      <c r="E47" s="123"/>
    </row>
    <row r="48" spans="2:11" x14ac:dyDescent="0.25">
      <c r="E48" s="123"/>
    </row>
    <row r="49" spans="4:8" x14ac:dyDescent="0.25">
      <c r="E49" s="123"/>
    </row>
    <row r="50" spans="4:8" ht="15" customHeight="1" x14ac:dyDescent="0.25">
      <c r="D50" s="114"/>
      <c r="E50" s="125"/>
      <c r="F50" s="115"/>
      <c r="G50" s="115"/>
      <c r="H50" s="116"/>
    </row>
    <row r="51" spans="4:8" ht="15" customHeight="1" x14ac:dyDescent="0.25">
      <c r="D51" s="117"/>
      <c r="E51" s="124"/>
      <c r="F51" s="118"/>
      <c r="G51" s="118"/>
      <c r="H51" s="119"/>
    </row>
    <row r="52" spans="4:8" ht="15" customHeight="1" x14ac:dyDescent="0.25">
      <c r="D52" s="117"/>
      <c r="E52" s="124"/>
      <c r="F52" s="118"/>
      <c r="G52" s="118"/>
      <c r="H52" s="119"/>
    </row>
    <row r="53" spans="4:8" ht="15" customHeight="1" x14ac:dyDescent="0.25">
      <c r="D53" s="117"/>
      <c r="E53" s="124"/>
      <c r="F53" s="118"/>
      <c r="G53" s="118"/>
      <c r="H53" s="119"/>
    </row>
    <row r="54" spans="4:8" ht="15" customHeight="1" x14ac:dyDescent="0.25">
      <c r="D54" s="120"/>
      <c r="E54" s="126"/>
      <c r="F54" s="121"/>
      <c r="G54" s="121"/>
      <c r="H54" s="122"/>
    </row>
    <row r="55" spans="4:8" x14ac:dyDescent="0.25">
      <c r="E55" s="123"/>
    </row>
    <row r="56" spans="4:8" x14ac:dyDescent="0.25">
      <c r="E56" s="123"/>
    </row>
    <row r="57" spans="4:8" x14ac:dyDescent="0.25">
      <c r="E57" s="123"/>
    </row>
    <row r="58" spans="4:8" x14ac:dyDescent="0.25">
      <c r="E58" s="123"/>
    </row>
    <row r="59" spans="4:8" x14ac:dyDescent="0.25">
      <c r="E59" s="123"/>
    </row>
    <row r="60" spans="4:8" x14ac:dyDescent="0.25">
      <c r="E60" s="123"/>
    </row>
    <row r="61" spans="4:8" x14ac:dyDescent="0.25">
      <c r="E61" s="123"/>
    </row>
    <row r="62" spans="4:8" x14ac:dyDescent="0.25">
      <c r="E62" s="123"/>
    </row>
    <row r="63" spans="4:8" x14ac:dyDescent="0.25">
      <c r="E63" s="123"/>
    </row>
    <row r="64" spans="4:8" x14ac:dyDescent="0.25">
      <c r="E64" s="123"/>
    </row>
    <row r="65" spans="5:5" x14ac:dyDescent="0.25">
      <c r="E65" s="123"/>
    </row>
    <row r="66" spans="5:5" x14ac:dyDescent="0.25">
      <c r="E66" s="123"/>
    </row>
    <row r="67" spans="5:5" x14ac:dyDescent="0.25">
      <c r="E67" s="123"/>
    </row>
    <row r="68" spans="5:5" x14ac:dyDescent="0.25">
      <c r="E68" s="123"/>
    </row>
    <row r="69" spans="5:5" x14ac:dyDescent="0.25">
      <c r="E69" s="123"/>
    </row>
    <row r="70" spans="5:5" x14ac:dyDescent="0.25">
      <c r="E70" s="123"/>
    </row>
    <row r="71" spans="5:5" x14ac:dyDescent="0.25">
      <c r="E71" s="123"/>
    </row>
    <row r="72" spans="5:5" x14ac:dyDescent="0.25">
      <c r="E72" s="123"/>
    </row>
    <row r="73" spans="5:5" x14ac:dyDescent="0.25">
      <c r="E73" s="123"/>
    </row>
    <row r="74" spans="5:5" x14ac:dyDescent="0.25">
      <c r="E74" s="123"/>
    </row>
    <row r="75" spans="5:5" x14ac:dyDescent="0.25">
      <c r="E75" s="123"/>
    </row>
    <row r="76" spans="5:5" x14ac:dyDescent="0.25">
      <c r="E76" s="123"/>
    </row>
    <row r="77" spans="5:5" x14ac:dyDescent="0.25">
      <c r="E77" s="123"/>
    </row>
    <row r="78" spans="5:5" x14ac:dyDescent="0.25">
      <c r="E78" s="123"/>
    </row>
    <row r="79" spans="5:5" x14ac:dyDescent="0.25">
      <c r="E79" s="123"/>
    </row>
    <row r="80" spans="5:5" x14ac:dyDescent="0.25">
      <c r="E80" s="123"/>
    </row>
    <row r="81" spans="5:5" x14ac:dyDescent="0.25">
      <c r="E81" s="123"/>
    </row>
    <row r="82" spans="5:5" x14ac:dyDescent="0.25">
      <c r="E82" s="123"/>
    </row>
    <row r="83" spans="5:5" x14ac:dyDescent="0.25">
      <c r="E83" s="123"/>
    </row>
    <row r="84" spans="5:5" x14ac:dyDescent="0.25">
      <c r="E84" s="123"/>
    </row>
    <row r="85" spans="5:5" x14ac:dyDescent="0.25">
      <c r="E85" s="123"/>
    </row>
    <row r="86" spans="5:5" x14ac:dyDescent="0.25">
      <c r="E86" s="123"/>
    </row>
    <row r="87" spans="5:5" x14ac:dyDescent="0.25">
      <c r="E87" s="123"/>
    </row>
    <row r="88" spans="5:5" x14ac:dyDescent="0.25">
      <c r="E88" s="123"/>
    </row>
    <row r="89" spans="5:5" x14ac:dyDescent="0.25">
      <c r="E89" s="123"/>
    </row>
    <row r="90" spans="5:5" x14ac:dyDescent="0.25">
      <c r="E90" s="123"/>
    </row>
    <row r="91" spans="5:5" x14ac:dyDescent="0.25">
      <c r="E91" s="123"/>
    </row>
    <row r="92" spans="5:5" x14ac:dyDescent="0.25">
      <c r="E92" s="123"/>
    </row>
    <row r="93" spans="5:5" x14ac:dyDescent="0.25">
      <c r="E93" s="123"/>
    </row>
    <row r="94" spans="5:5" x14ac:dyDescent="0.25">
      <c r="E94" s="123"/>
    </row>
    <row r="95" spans="5:5" x14ac:dyDescent="0.25">
      <c r="E95" s="123"/>
    </row>
    <row r="96" spans="5:5" x14ac:dyDescent="0.25">
      <c r="E96" s="123"/>
    </row>
    <row r="97" spans="5:5" x14ac:dyDescent="0.25">
      <c r="E97" s="123"/>
    </row>
    <row r="98" spans="5:5" x14ac:dyDescent="0.25">
      <c r="E98" s="123"/>
    </row>
    <row r="99" spans="5:5" x14ac:dyDescent="0.25">
      <c r="E99" s="123"/>
    </row>
    <row r="100" spans="5:5" x14ac:dyDescent="0.25">
      <c r="E100" s="123"/>
    </row>
    <row r="101" spans="5:5" x14ac:dyDescent="0.25">
      <c r="E101" s="123"/>
    </row>
    <row r="102" spans="5:5" x14ac:dyDescent="0.25">
      <c r="E102" s="123"/>
    </row>
    <row r="103" spans="5:5" x14ac:dyDescent="0.25">
      <c r="E103" s="123"/>
    </row>
    <row r="104" spans="5:5" x14ac:dyDescent="0.25">
      <c r="E104" s="123"/>
    </row>
    <row r="105" spans="5:5" x14ac:dyDescent="0.25">
      <c r="E105" s="123"/>
    </row>
    <row r="106" spans="5:5" x14ac:dyDescent="0.25">
      <c r="E106" s="123"/>
    </row>
    <row r="107" spans="5:5" x14ac:dyDescent="0.25">
      <c r="E107" s="123"/>
    </row>
    <row r="108" spans="5:5" x14ac:dyDescent="0.25">
      <c r="E108" s="123"/>
    </row>
    <row r="109" spans="5:5" x14ac:dyDescent="0.25">
      <c r="E109" s="123"/>
    </row>
    <row r="110" spans="5:5" x14ac:dyDescent="0.25">
      <c r="E110" s="123"/>
    </row>
    <row r="111" spans="5:5" x14ac:dyDescent="0.25">
      <c r="E111" s="123"/>
    </row>
    <row r="112" spans="5:5" x14ac:dyDescent="0.25">
      <c r="E112" s="123"/>
    </row>
    <row r="113" spans="5:5" x14ac:dyDescent="0.25">
      <c r="E113" s="123"/>
    </row>
    <row r="114" spans="5:5" x14ac:dyDescent="0.25">
      <c r="E114" s="123"/>
    </row>
    <row r="115" spans="5:5" x14ac:dyDescent="0.25">
      <c r="E115" s="123"/>
    </row>
    <row r="116" spans="5:5" x14ac:dyDescent="0.25">
      <c r="E116" s="123"/>
    </row>
    <row r="117" spans="5:5" x14ac:dyDescent="0.25">
      <c r="E117" s="123"/>
    </row>
    <row r="118" spans="5:5" x14ac:dyDescent="0.25">
      <c r="E118" s="123"/>
    </row>
    <row r="119" spans="5:5" x14ac:dyDescent="0.25">
      <c r="E119" s="123"/>
    </row>
    <row r="120" spans="5:5" x14ac:dyDescent="0.25">
      <c r="E120" s="123"/>
    </row>
    <row r="121" spans="5:5" x14ac:dyDescent="0.25">
      <c r="E121" s="123"/>
    </row>
    <row r="122" spans="5:5" x14ac:dyDescent="0.25">
      <c r="E122" s="123"/>
    </row>
    <row r="123" spans="5:5" x14ac:dyDescent="0.25">
      <c r="E123" s="123"/>
    </row>
    <row r="124" spans="5:5" x14ac:dyDescent="0.25">
      <c r="E124" s="123"/>
    </row>
    <row r="125" spans="5:5" x14ac:dyDescent="0.25">
      <c r="E125" s="123"/>
    </row>
    <row r="126" spans="5:5" x14ac:dyDescent="0.25">
      <c r="E126" s="123"/>
    </row>
    <row r="127" spans="5:5" x14ac:dyDescent="0.25">
      <c r="E127" s="123"/>
    </row>
    <row r="128" spans="5:5" x14ac:dyDescent="0.25">
      <c r="E128" s="123"/>
    </row>
    <row r="129" spans="5:5" x14ac:dyDescent="0.25">
      <c r="E129" s="123"/>
    </row>
    <row r="130" spans="5:5" x14ac:dyDescent="0.25">
      <c r="E130" s="123"/>
    </row>
    <row r="131" spans="5:5" x14ac:dyDescent="0.25">
      <c r="E131" s="123"/>
    </row>
    <row r="132" spans="5:5" x14ac:dyDescent="0.25">
      <c r="E132" s="123"/>
    </row>
    <row r="133" spans="5:5" x14ac:dyDescent="0.25">
      <c r="E133" s="123"/>
    </row>
    <row r="134" spans="5:5" x14ac:dyDescent="0.25">
      <c r="E134" s="123"/>
    </row>
    <row r="135" spans="5:5" x14ac:dyDescent="0.25">
      <c r="E135" s="123"/>
    </row>
    <row r="136" spans="5:5" x14ac:dyDescent="0.25">
      <c r="E136" s="123"/>
    </row>
    <row r="137" spans="5:5" x14ac:dyDescent="0.25">
      <c r="E137" s="123"/>
    </row>
    <row r="138" spans="5:5" x14ac:dyDescent="0.25">
      <c r="E138" s="123"/>
    </row>
    <row r="139" spans="5:5" x14ac:dyDescent="0.25">
      <c r="E139" s="123"/>
    </row>
    <row r="140" spans="5:5" x14ac:dyDescent="0.25">
      <c r="E140" s="123"/>
    </row>
    <row r="141" spans="5:5" x14ac:dyDescent="0.25">
      <c r="E141" s="123"/>
    </row>
    <row r="142" spans="5:5" x14ac:dyDescent="0.25">
      <c r="E142" s="123"/>
    </row>
    <row r="143" spans="5:5" x14ac:dyDescent="0.25">
      <c r="E143" s="123"/>
    </row>
    <row r="144" spans="5:5" x14ac:dyDescent="0.25">
      <c r="E144" s="123"/>
    </row>
    <row r="145" spans="5:5" x14ac:dyDescent="0.25">
      <c r="E145" s="123"/>
    </row>
    <row r="146" spans="5:5" x14ac:dyDescent="0.25">
      <c r="E146" s="123"/>
    </row>
    <row r="147" spans="5:5" x14ac:dyDescent="0.25">
      <c r="E147" s="123"/>
    </row>
    <row r="148" spans="5:5" x14ac:dyDescent="0.25">
      <c r="E148" s="123"/>
    </row>
    <row r="149" spans="5:5" x14ac:dyDescent="0.25">
      <c r="E149" s="123"/>
    </row>
    <row r="150" spans="5:5" x14ac:dyDescent="0.25">
      <c r="E150" s="123"/>
    </row>
    <row r="151" spans="5:5" x14ac:dyDescent="0.25">
      <c r="E151" s="123"/>
    </row>
    <row r="152" spans="5:5" x14ac:dyDescent="0.25">
      <c r="E152" s="123"/>
    </row>
    <row r="153" spans="5:5" x14ac:dyDescent="0.25">
      <c r="E153" s="123"/>
    </row>
    <row r="154" spans="5:5" x14ac:dyDescent="0.25">
      <c r="E154" s="123"/>
    </row>
    <row r="155" spans="5:5" x14ac:dyDescent="0.25">
      <c r="E155" s="123"/>
    </row>
    <row r="156" spans="5:5" x14ac:dyDescent="0.25">
      <c r="E156" s="123"/>
    </row>
    <row r="157" spans="5:5" x14ac:dyDescent="0.25">
      <c r="E157" s="123"/>
    </row>
    <row r="158" spans="5:5" x14ac:dyDescent="0.25">
      <c r="E158" s="123"/>
    </row>
    <row r="159" spans="5:5" x14ac:dyDescent="0.25">
      <c r="E159" s="123"/>
    </row>
    <row r="160" spans="5:5" x14ac:dyDescent="0.25">
      <c r="E160" s="123"/>
    </row>
    <row r="161" spans="5:5" x14ac:dyDescent="0.25">
      <c r="E161" s="123"/>
    </row>
    <row r="162" spans="5:5" x14ac:dyDescent="0.25">
      <c r="E162" s="123"/>
    </row>
    <row r="163" spans="5:5" x14ac:dyDescent="0.25">
      <c r="E163" s="123"/>
    </row>
    <row r="164" spans="5:5" x14ac:dyDescent="0.25">
      <c r="E164" s="123"/>
    </row>
    <row r="165" spans="5:5" x14ac:dyDescent="0.25">
      <c r="E165" s="123"/>
    </row>
    <row r="166" spans="5:5" x14ac:dyDescent="0.25">
      <c r="E166" s="123"/>
    </row>
    <row r="167" spans="5:5" x14ac:dyDescent="0.25">
      <c r="E167" s="123"/>
    </row>
    <row r="168" spans="5:5" x14ac:dyDescent="0.25">
      <c r="E168" s="123"/>
    </row>
    <row r="169" spans="5:5" x14ac:dyDescent="0.25">
      <c r="E169" s="123"/>
    </row>
    <row r="170" spans="5:5" x14ac:dyDescent="0.25">
      <c r="E170" s="123"/>
    </row>
    <row r="171" spans="5:5" x14ac:dyDescent="0.25">
      <c r="E171" s="123"/>
    </row>
    <row r="172" spans="5:5" x14ac:dyDescent="0.25">
      <c r="E172" s="123"/>
    </row>
    <row r="173" spans="5:5" x14ac:dyDescent="0.25">
      <c r="E173" s="123"/>
    </row>
    <row r="174" spans="5:5" x14ac:dyDescent="0.25">
      <c r="E174" s="123"/>
    </row>
    <row r="175" spans="5:5" x14ac:dyDescent="0.25">
      <c r="E175" s="123"/>
    </row>
    <row r="176" spans="5:5" x14ac:dyDescent="0.25">
      <c r="E176" s="123"/>
    </row>
    <row r="177" spans="5:5" x14ac:dyDescent="0.25">
      <c r="E177" s="123"/>
    </row>
    <row r="178" spans="5:5" x14ac:dyDescent="0.25">
      <c r="E178" s="123"/>
    </row>
    <row r="179" spans="5:5" x14ac:dyDescent="0.25">
      <c r="E179" s="123"/>
    </row>
    <row r="180" spans="5:5" x14ac:dyDescent="0.25">
      <c r="E180" s="123"/>
    </row>
    <row r="181" spans="5:5" x14ac:dyDescent="0.25">
      <c r="E181" s="123"/>
    </row>
    <row r="182" spans="5:5" x14ac:dyDescent="0.25">
      <c r="E182" s="123"/>
    </row>
    <row r="183" spans="5:5" x14ac:dyDescent="0.25">
      <c r="E183" s="123"/>
    </row>
  </sheetData>
  <mergeCells count="6">
    <mergeCell ref="I27:K33"/>
    <mergeCell ref="B6:I7"/>
    <mergeCell ref="K6:L7"/>
    <mergeCell ref="B9:I9"/>
    <mergeCell ref="B11:I12"/>
    <mergeCell ref="B14:I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do_ApplyFXRate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5C6BC-009C-468A-9842-83353218384D}">
  <sheetPr codeName="Sheet16"/>
  <dimension ref="B1:O183"/>
  <sheetViews>
    <sheetView topLeftCell="A3" zoomScale="80" zoomScaleNormal="80" workbookViewId="0">
      <selection activeCell="G17" sqref="G17"/>
    </sheetView>
  </sheetViews>
  <sheetFormatPr defaultColWidth="9.140625" defaultRowHeight="15" x14ac:dyDescent="0.25"/>
  <cols>
    <col min="4" max="4" width="27.42578125" customWidth="1"/>
    <col min="5" max="5" width="10.42578125" customWidth="1"/>
    <col min="6" max="6" width="15.28515625" customWidth="1"/>
  </cols>
  <sheetData>
    <row r="1" spans="2:15" x14ac:dyDescent="0.25">
      <c r="E1" s="56"/>
    </row>
    <row r="2" spans="2:15" x14ac:dyDescent="0.25">
      <c r="E2" s="56"/>
    </row>
    <row r="3" spans="2:15" x14ac:dyDescent="0.25">
      <c r="E3" s="56"/>
    </row>
    <row r="4" spans="2:15" x14ac:dyDescent="0.25">
      <c r="E4" s="56"/>
    </row>
    <row r="5" spans="2:15" x14ac:dyDescent="0.25">
      <c r="E5" s="56"/>
    </row>
    <row r="6" spans="2:15" x14ac:dyDescent="0.25">
      <c r="B6" s="237" t="s">
        <v>110</v>
      </c>
      <c r="C6" s="238"/>
      <c r="D6" s="238"/>
      <c r="E6" s="238"/>
      <c r="F6" s="238"/>
      <c r="G6" s="238"/>
      <c r="H6" s="238"/>
      <c r="I6" s="239"/>
      <c r="K6" s="320">
        <f ca="1">TODAY()</f>
        <v>43529</v>
      </c>
      <c r="L6" s="321"/>
    </row>
    <row r="7" spans="2:15" x14ac:dyDescent="0.25">
      <c r="B7" s="240"/>
      <c r="C7" s="248"/>
      <c r="D7" s="248"/>
      <c r="E7" s="248"/>
      <c r="F7" s="248"/>
      <c r="G7" s="248"/>
      <c r="H7" s="248"/>
      <c r="I7" s="242"/>
      <c r="K7" s="321"/>
      <c r="L7" s="321"/>
    </row>
    <row r="8" spans="2:15" ht="15.75" x14ac:dyDescent="0.25">
      <c r="B8" s="48"/>
      <c r="C8" s="48"/>
      <c r="D8" s="48"/>
      <c r="E8" s="57"/>
    </row>
    <row r="9" spans="2:15" ht="15.75" x14ac:dyDescent="0.25">
      <c r="B9" s="280" t="s">
        <v>100</v>
      </c>
      <c r="C9" s="281"/>
      <c r="D9" s="281"/>
      <c r="E9" s="281"/>
      <c r="F9" s="281"/>
      <c r="G9" s="281"/>
      <c r="H9" s="281"/>
      <c r="I9" s="282"/>
    </row>
    <row r="10" spans="2:15" ht="15.75" x14ac:dyDescent="0.25">
      <c r="B10" s="48"/>
      <c r="C10" s="48"/>
      <c r="D10" s="48"/>
      <c r="E10" s="57"/>
    </row>
    <row r="11" spans="2:15" ht="15" customHeight="1" x14ac:dyDescent="0.25">
      <c r="B11" s="322" t="s">
        <v>109</v>
      </c>
      <c r="C11" s="323"/>
      <c r="D11" s="323"/>
      <c r="E11" s="323"/>
      <c r="F11" s="323"/>
      <c r="G11" s="323"/>
      <c r="H11" s="323"/>
      <c r="I11" s="324"/>
    </row>
    <row r="12" spans="2:15" x14ac:dyDescent="0.25">
      <c r="B12" s="325"/>
      <c r="C12" s="326"/>
      <c r="D12" s="326"/>
      <c r="E12" s="326"/>
      <c r="F12" s="326"/>
      <c r="G12" s="326"/>
      <c r="H12" s="326"/>
      <c r="I12" s="327"/>
    </row>
    <row r="13" spans="2:15" x14ac:dyDescent="0.25">
      <c r="E13" s="56"/>
    </row>
    <row r="14" spans="2:15" ht="15" customHeight="1" x14ac:dyDescent="0.25">
      <c r="B14" s="328" t="s">
        <v>101</v>
      </c>
      <c r="C14" s="329"/>
      <c r="D14" s="329"/>
      <c r="E14" s="329"/>
      <c r="F14" s="329"/>
      <c r="G14" s="329"/>
      <c r="H14" s="329"/>
      <c r="I14" s="330"/>
    </row>
    <row r="15" spans="2:15" x14ac:dyDescent="0.25">
      <c r="E15" s="56"/>
      <c r="N15" s="127"/>
      <c r="O15" s="123"/>
    </row>
    <row r="16" spans="2:15" ht="15.75" thickBot="1" x14ac:dyDescent="0.3">
      <c r="B16" s="2"/>
      <c r="C16" s="2"/>
      <c r="D16" s="129" t="s">
        <v>138</v>
      </c>
      <c r="E16" s="59" t="s">
        <v>51</v>
      </c>
      <c r="F16" s="130" t="s">
        <v>98</v>
      </c>
      <c r="G16" s="134" t="s">
        <v>16</v>
      </c>
      <c r="N16" s="127"/>
      <c r="O16" s="123"/>
    </row>
    <row r="17" spans="3:15" ht="15.75" thickTop="1" x14ac:dyDescent="0.25">
      <c r="C17" s="19">
        <v>1</v>
      </c>
      <c r="D17" s="60" t="str">
        <f>IF(Setup!D14="","",Setup!D14)</f>
        <v>LUID_FO3MZVDA</v>
      </c>
      <c r="E17" s="181">
        <f>IF(D17="","",C17)</f>
        <v>1</v>
      </c>
      <c r="F17" s="183" t="str">
        <f>IF(D17="","","USD")</f>
        <v>USD</v>
      </c>
      <c r="G17" s="90"/>
      <c r="N17" s="127"/>
      <c r="O17" s="123"/>
    </row>
    <row r="18" spans="3:15" x14ac:dyDescent="0.25">
      <c r="C18" s="19">
        <v>2</v>
      </c>
      <c r="D18" s="60" t="str">
        <f>IF(Setup!D15="","",Setup!D15)</f>
        <v>LUID_L0MLT3RF</v>
      </c>
      <c r="E18" s="181">
        <f t="shared" ref="E18:E46" si="0">IF(D18="","",C18)</f>
        <v>2</v>
      </c>
      <c r="F18" s="183" t="str">
        <f t="shared" ref="F18:F46" si="1">IF(D18="","","USD")</f>
        <v>USD</v>
      </c>
      <c r="G18" s="34"/>
      <c r="N18" s="127"/>
      <c r="O18" s="123"/>
    </row>
    <row r="19" spans="3:15" x14ac:dyDescent="0.25">
      <c r="C19" s="19">
        <v>3</v>
      </c>
      <c r="D19" s="60" t="str">
        <f>IF(Setup!D16="","",Setup!D16)</f>
        <v>LUID_0QA5WPQ7</v>
      </c>
      <c r="E19" s="181">
        <f t="shared" si="0"/>
        <v>3</v>
      </c>
      <c r="F19" s="183" t="str">
        <f t="shared" si="1"/>
        <v>USD</v>
      </c>
      <c r="G19" s="34"/>
    </row>
    <row r="20" spans="3:15" x14ac:dyDescent="0.25">
      <c r="C20" s="19">
        <v>4</v>
      </c>
      <c r="D20" s="60" t="str">
        <f>IF(Setup!D17="","",Setup!D17)</f>
        <v>LUID_KAHJTUG3</v>
      </c>
      <c r="E20" s="181">
        <f t="shared" si="0"/>
        <v>4</v>
      </c>
      <c r="F20" s="183" t="str">
        <f t="shared" si="1"/>
        <v>USD</v>
      </c>
      <c r="G20" s="34"/>
    </row>
    <row r="21" spans="3:15" x14ac:dyDescent="0.25">
      <c r="C21" s="19">
        <v>5</v>
      </c>
      <c r="D21" s="60" t="str">
        <f>IF(Setup!D18="","",Setup!D18)</f>
        <v>LUID_5ZJXMMXB</v>
      </c>
      <c r="E21" s="181">
        <f t="shared" si="0"/>
        <v>5</v>
      </c>
      <c r="F21" s="183" t="str">
        <f t="shared" si="1"/>
        <v>USD</v>
      </c>
      <c r="G21" s="34"/>
    </row>
    <row r="22" spans="3:15" x14ac:dyDescent="0.25">
      <c r="C22" s="19">
        <v>6</v>
      </c>
      <c r="D22" s="60" t="str">
        <f>IF(Setup!D19="","",Setup!D19)</f>
        <v>LUID_G4OYJ3P0</v>
      </c>
      <c r="E22" s="181">
        <f t="shared" si="0"/>
        <v>6</v>
      </c>
      <c r="F22" s="183" t="str">
        <f t="shared" si="1"/>
        <v>USD</v>
      </c>
      <c r="G22" s="34"/>
    </row>
    <row r="23" spans="3:15" x14ac:dyDescent="0.25">
      <c r="C23" s="19">
        <v>7</v>
      </c>
      <c r="D23" s="60" t="str">
        <f>IF(Setup!D20="","",Setup!D20)</f>
        <v>LUID_PJKDDUP2</v>
      </c>
      <c r="E23" s="181">
        <f t="shared" si="0"/>
        <v>7</v>
      </c>
      <c r="F23" s="183" t="str">
        <f t="shared" si="1"/>
        <v>USD</v>
      </c>
      <c r="G23" s="34"/>
    </row>
    <row r="24" spans="3:15" x14ac:dyDescent="0.25">
      <c r="C24" s="19">
        <v>8</v>
      </c>
      <c r="D24" s="60" t="str">
        <f>IF(Setup!D21="","",Setup!D21)</f>
        <v>LUID_IWQ59HNL</v>
      </c>
      <c r="E24" s="181">
        <f t="shared" si="0"/>
        <v>8</v>
      </c>
      <c r="F24" s="183" t="str">
        <f t="shared" si="1"/>
        <v>USD</v>
      </c>
      <c r="G24" s="34"/>
    </row>
    <row r="25" spans="3:15" x14ac:dyDescent="0.25">
      <c r="C25" s="19">
        <v>9</v>
      </c>
      <c r="D25" s="60" t="str">
        <f>IF(Setup!D22="","",Setup!D22)</f>
        <v>LUID_YQU54HEB</v>
      </c>
      <c r="E25" s="181">
        <f t="shared" si="0"/>
        <v>9</v>
      </c>
      <c r="F25" s="183" t="str">
        <f t="shared" si="1"/>
        <v>USD</v>
      </c>
      <c r="G25" s="34"/>
    </row>
    <row r="26" spans="3:15" x14ac:dyDescent="0.25">
      <c r="C26" s="19">
        <v>10</v>
      </c>
      <c r="D26" s="60" t="str">
        <f>IF(Setup!D23="","",Setup!D23)</f>
        <v>LUID_BIYPT5WE</v>
      </c>
      <c r="E26" s="181">
        <f t="shared" si="0"/>
        <v>10</v>
      </c>
      <c r="F26" s="183" t="str">
        <f t="shared" si="1"/>
        <v>USD</v>
      </c>
      <c r="G26" s="34"/>
    </row>
    <row r="27" spans="3:15" x14ac:dyDescent="0.25">
      <c r="C27" s="19">
        <v>11</v>
      </c>
      <c r="D27" s="60" t="str">
        <f>IF(Setup!D24="","",Setup!D24)</f>
        <v>LUID_35DC4EH5</v>
      </c>
      <c r="E27" s="181">
        <f t="shared" si="0"/>
        <v>11</v>
      </c>
      <c r="F27" s="183" t="str">
        <f t="shared" si="1"/>
        <v>USD</v>
      </c>
      <c r="G27" s="34"/>
      <c r="I27" s="306" t="s">
        <v>99</v>
      </c>
      <c r="J27" s="307"/>
      <c r="K27" s="308"/>
    </row>
    <row r="28" spans="3:15" x14ac:dyDescent="0.25">
      <c r="C28" s="19">
        <v>12</v>
      </c>
      <c r="D28" s="60" t="str">
        <f>IF(Setup!D25="","",Setup!D25)</f>
        <v>LUID_YNFUT4CG</v>
      </c>
      <c r="E28" s="181">
        <f t="shared" si="0"/>
        <v>12</v>
      </c>
      <c r="F28" s="183" t="str">
        <f t="shared" si="1"/>
        <v>USD</v>
      </c>
      <c r="G28" s="34"/>
      <c r="I28" s="309"/>
      <c r="J28" s="244"/>
      <c r="K28" s="310"/>
    </row>
    <row r="29" spans="3:15" x14ac:dyDescent="0.25">
      <c r="C29" s="19">
        <v>13</v>
      </c>
      <c r="D29" s="60" t="str">
        <f>IF(Setup!D26="","",Setup!D26)</f>
        <v>LUID_GV2Z426B</v>
      </c>
      <c r="E29" s="181">
        <f t="shared" si="0"/>
        <v>13</v>
      </c>
      <c r="F29" s="183" t="str">
        <f t="shared" si="1"/>
        <v>USD</v>
      </c>
      <c r="G29" s="34"/>
      <c r="I29" s="309"/>
      <c r="J29" s="244"/>
      <c r="K29" s="310"/>
    </row>
    <row r="30" spans="3:15" x14ac:dyDescent="0.25">
      <c r="C30" s="19">
        <v>14</v>
      </c>
      <c r="D30" s="60" t="str">
        <f>IF(Setup!D27="","",Setup!D27)</f>
        <v>LUID_NPNS4BL3</v>
      </c>
      <c r="E30" s="181">
        <f t="shared" si="0"/>
        <v>14</v>
      </c>
      <c r="F30" s="183" t="str">
        <f t="shared" si="1"/>
        <v>USD</v>
      </c>
      <c r="G30" s="34"/>
      <c r="I30" s="309"/>
      <c r="J30" s="244"/>
      <c r="K30" s="310"/>
    </row>
    <row r="31" spans="3:15" x14ac:dyDescent="0.25">
      <c r="C31" s="19">
        <v>15</v>
      </c>
      <c r="D31" s="60" t="str">
        <f>IF(Setup!D28="","",Setup!D28)</f>
        <v>LUID_YGHMDW9Z</v>
      </c>
      <c r="E31" s="181">
        <f t="shared" si="0"/>
        <v>15</v>
      </c>
      <c r="F31" s="183" t="str">
        <f t="shared" si="1"/>
        <v>USD</v>
      </c>
      <c r="G31" s="34"/>
      <c r="I31" s="309"/>
      <c r="J31" s="244"/>
      <c r="K31" s="310"/>
    </row>
    <row r="32" spans="3:15" x14ac:dyDescent="0.25">
      <c r="C32" s="19">
        <v>16</v>
      </c>
      <c r="D32" s="60" t="str">
        <f>IF(Setup!D29="","",Setup!D29)</f>
        <v>LUID_DNJRWJO9</v>
      </c>
      <c r="E32" s="181">
        <f t="shared" si="0"/>
        <v>16</v>
      </c>
      <c r="F32" s="183" t="str">
        <f t="shared" si="1"/>
        <v>USD</v>
      </c>
      <c r="G32" s="34"/>
      <c r="I32" s="309"/>
      <c r="J32" s="244"/>
      <c r="K32" s="310"/>
    </row>
    <row r="33" spans="2:11" x14ac:dyDescent="0.25">
      <c r="C33" s="19">
        <v>17</v>
      </c>
      <c r="D33" s="60" t="str">
        <f>IF(Setup!D30="","",Setup!D30)</f>
        <v>LUID_MOTO0E4D</v>
      </c>
      <c r="E33" s="181">
        <f t="shared" si="0"/>
        <v>17</v>
      </c>
      <c r="F33" s="183" t="str">
        <f t="shared" si="1"/>
        <v>USD</v>
      </c>
      <c r="G33" s="34"/>
      <c r="I33" s="311"/>
      <c r="J33" s="312"/>
      <c r="K33" s="313"/>
    </row>
    <row r="34" spans="2:11" x14ac:dyDescent="0.25">
      <c r="C34" s="19">
        <v>18</v>
      </c>
      <c r="D34" s="60" t="str">
        <f>IF(Setup!D31="","",Setup!D31)</f>
        <v>LUID_FKU04OF1</v>
      </c>
      <c r="E34" s="181">
        <f t="shared" si="0"/>
        <v>18</v>
      </c>
      <c r="F34" s="183" t="str">
        <f t="shared" si="1"/>
        <v>USD</v>
      </c>
      <c r="G34" s="34"/>
    </row>
    <row r="35" spans="2:11" x14ac:dyDescent="0.25">
      <c r="C35" s="19">
        <v>19</v>
      </c>
      <c r="D35" s="60" t="str">
        <f>IF(Setup!D32="","",Setup!D32)</f>
        <v>LUID_9665UL2T</v>
      </c>
      <c r="E35" s="181">
        <f t="shared" si="0"/>
        <v>19</v>
      </c>
      <c r="F35" s="183" t="str">
        <f t="shared" si="1"/>
        <v>USD</v>
      </c>
      <c r="G35" s="34"/>
    </row>
    <row r="36" spans="2:11" x14ac:dyDescent="0.25">
      <c r="C36" s="19">
        <v>20</v>
      </c>
      <c r="D36" s="60" t="str">
        <f>IF(Setup!D33="","",Setup!D33)</f>
        <v>LUID_P3U3U6KY</v>
      </c>
      <c r="E36" s="181">
        <f t="shared" si="0"/>
        <v>20</v>
      </c>
      <c r="F36" s="183" t="str">
        <f t="shared" si="1"/>
        <v>USD</v>
      </c>
      <c r="G36" s="34"/>
    </row>
    <row r="37" spans="2:11" x14ac:dyDescent="0.25">
      <c r="C37" s="19">
        <v>21</v>
      </c>
      <c r="D37" s="60" t="str">
        <f>IF(Setup!D34="","",Setup!D34)</f>
        <v>LUID_3MZPBTJD</v>
      </c>
      <c r="E37" s="181">
        <f t="shared" si="0"/>
        <v>21</v>
      </c>
      <c r="F37" s="183" t="str">
        <f t="shared" si="1"/>
        <v>USD</v>
      </c>
      <c r="G37" s="34"/>
    </row>
    <row r="38" spans="2:11" x14ac:dyDescent="0.25">
      <c r="C38" s="19">
        <v>22</v>
      </c>
      <c r="D38" s="60" t="str">
        <f>IF(Setup!D35="","",Setup!D35)</f>
        <v>LUID_F70QBY6X</v>
      </c>
      <c r="E38" s="181">
        <f t="shared" si="0"/>
        <v>22</v>
      </c>
      <c r="F38" s="183" t="str">
        <f t="shared" si="1"/>
        <v>USD</v>
      </c>
      <c r="G38" s="34"/>
    </row>
    <row r="39" spans="2:11" x14ac:dyDescent="0.25">
      <c r="C39" s="19">
        <v>23</v>
      </c>
      <c r="D39" s="60" t="str">
        <f>IF(Setup!D36="","",Setup!D36)</f>
        <v/>
      </c>
      <c r="E39" s="181" t="str">
        <f t="shared" si="0"/>
        <v/>
      </c>
      <c r="F39" s="183" t="str">
        <f t="shared" si="1"/>
        <v/>
      </c>
      <c r="G39" s="34"/>
    </row>
    <row r="40" spans="2:11" x14ac:dyDescent="0.25">
      <c r="C40" s="19">
        <v>24</v>
      </c>
      <c r="D40" s="60" t="str">
        <f>IF(Setup!D37="","",Setup!D37)</f>
        <v/>
      </c>
      <c r="E40" s="181" t="str">
        <f t="shared" si="0"/>
        <v/>
      </c>
      <c r="F40" s="183" t="str">
        <f t="shared" si="1"/>
        <v/>
      </c>
      <c r="G40" s="34"/>
    </row>
    <row r="41" spans="2:11" x14ac:dyDescent="0.25">
      <c r="C41" s="19">
        <v>25</v>
      </c>
      <c r="D41" s="60" t="str">
        <f>IF(Setup!D38="","",Setup!D38)</f>
        <v/>
      </c>
      <c r="E41" s="181" t="str">
        <f t="shared" si="0"/>
        <v/>
      </c>
      <c r="F41" s="183" t="str">
        <f t="shared" si="1"/>
        <v/>
      </c>
      <c r="G41" s="34"/>
    </row>
    <row r="42" spans="2:11" x14ac:dyDescent="0.25">
      <c r="C42" s="19">
        <v>26</v>
      </c>
      <c r="D42" s="60" t="str">
        <f>IF(Setup!D39="","",Setup!D39)</f>
        <v/>
      </c>
      <c r="E42" s="181" t="str">
        <f t="shared" si="0"/>
        <v/>
      </c>
      <c r="F42" s="183" t="str">
        <f t="shared" si="1"/>
        <v/>
      </c>
      <c r="G42" s="34"/>
    </row>
    <row r="43" spans="2:11" x14ac:dyDescent="0.25">
      <c r="C43" s="19">
        <v>27</v>
      </c>
      <c r="D43" s="60" t="str">
        <f>IF(Setup!D40="","",Setup!D40)</f>
        <v/>
      </c>
      <c r="E43" s="181" t="str">
        <f t="shared" si="0"/>
        <v/>
      </c>
      <c r="F43" s="183" t="str">
        <f t="shared" si="1"/>
        <v/>
      </c>
      <c r="G43" s="34"/>
    </row>
    <row r="44" spans="2:11" x14ac:dyDescent="0.25">
      <c r="C44" s="19">
        <v>28</v>
      </c>
      <c r="D44" s="60" t="str">
        <f>IF(Setup!D41="","",Setup!D41)</f>
        <v/>
      </c>
      <c r="E44" s="181" t="str">
        <f t="shared" si="0"/>
        <v/>
      </c>
      <c r="F44" s="183" t="str">
        <f t="shared" si="1"/>
        <v/>
      </c>
      <c r="G44" s="34"/>
    </row>
    <row r="45" spans="2:11" x14ac:dyDescent="0.25">
      <c r="C45" s="19">
        <v>29</v>
      </c>
      <c r="D45" s="60" t="str">
        <f>IF(Setup!D42="","",Setup!D42)</f>
        <v/>
      </c>
      <c r="E45" s="181" t="str">
        <f t="shared" si="0"/>
        <v/>
      </c>
      <c r="F45" s="183" t="str">
        <f t="shared" si="1"/>
        <v/>
      </c>
      <c r="G45" s="34"/>
    </row>
    <row r="46" spans="2:11" x14ac:dyDescent="0.25">
      <c r="B46" s="20"/>
      <c r="C46" s="19">
        <v>30</v>
      </c>
      <c r="D46" s="60" t="str">
        <f>IF(Setup!D43="","",Setup!D43)</f>
        <v/>
      </c>
      <c r="E46" s="181" t="str">
        <f t="shared" si="0"/>
        <v/>
      </c>
      <c r="F46" s="183" t="str">
        <f t="shared" si="1"/>
        <v/>
      </c>
      <c r="G46" s="37"/>
    </row>
    <row r="47" spans="2:11" x14ac:dyDescent="0.25">
      <c r="E47" s="123"/>
    </row>
    <row r="48" spans="2:11" x14ac:dyDescent="0.25">
      <c r="E48" s="123"/>
    </row>
    <row r="49" spans="3:8" x14ac:dyDescent="0.25">
      <c r="E49" s="123"/>
    </row>
    <row r="50" spans="3:8" ht="15" customHeight="1" x14ac:dyDescent="0.25">
      <c r="C50" s="228" t="s">
        <v>102</v>
      </c>
      <c r="D50" s="229"/>
      <c r="E50" s="229"/>
      <c r="F50" s="229"/>
      <c r="G50" s="229"/>
      <c r="H50" s="230"/>
    </row>
    <row r="51" spans="3:8" ht="15" customHeight="1" x14ac:dyDescent="0.25">
      <c r="C51" s="231"/>
      <c r="D51" s="232"/>
      <c r="E51" s="232"/>
      <c r="F51" s="232"/>
      <c r="G51" s="232"/>
      <c r="H51" s="233"/>
    </row>
    <row r="52" spans="3:8" ht="15" customHeight="1" x14ac:dyDescent="0.25">
      <c r="C52" s="231"/>
      <c r="D52" s="232"/>
      <c r="E52" s="232"/>
      <c r="F52" s="232"/>
      <c r="G52" s="232"/>
      <c r="H52" s="233"/>
    </row>
    <row r="53" spans="3:8" ht="15" customHeight="1" x14ac:dyDescent="0.25">
      <c r="C53" s="231"/>
      <c r="D53" s="232"/>
      <c r="E53" s="232"/>
      <c r="F53" s="232"/>
      <c r="G53" s="232"/>
      <c r="H53" s="233"/>
    </row>
    <row r="54" spans="3:8" ht="15" customHeight="1" x14ac:dyDescent="0.25">
      <c r="C54" s="234"/>
      <c r="D54" s="235"/>
      <c r="E54" s="235"/>
      <c r="F54" s="235"/>
      <c r="G54" s="235"/>
      <c r="H54" s="236"/>
    </row>
    <row r="55" spans="3:8" x14ac:dyDescent="0.25">
      <c r="E55" s="123"/>
    </row>
    <row r="56" spans="3:8" x14ac:dyDescent="0.25">
      <c r="E56" s="123"/>
    </row>
    <row r="57" spans="3:8" x14ac:dyDescent="0.25">
      <c r="E57" s="123"/>
    </row>
    <row r="58" spans="3:8" x14ac:dyDescent="0.25">
      <c r="E58" s="123"/>
    </row>
    <row r="59" spans="3:8" x14ac:dyDescent="0.25">
      <c r="E59" s="123"/>
    </row>
    <row r="60" spans="3:8" x14ac:dyDescent="0.25">
      <c r="E60" s="123"/>
    </row>
    <row r="61" spans="3:8" x14ac:dyDescent="0.25">
      <c r="E61" s="123"/>
    </row>
    <row r="62" spans="3:8" x14ac:dyDescent="0.25">
      <c r="E62" s="123"/>
    </row>
    <row r="63" spans="3:8" x14ac:dyDescent="0.25">
      <c r="E63" s="123"/>
    </row>
    <row r="64" spans="3:8" x14ac:dyDescent="0.25">
      <c r="E64" s="123"/>
    </row>
    <row r="65" spans="5:5" x14ac:dyDescent="0.25">
      <c r="E65" s="123"/>
    </row>
    <row r="66" spans="5:5" x14ac:dyDescent="0.25">
      <c r="E66" s="123"/>
    </row>
    <row r="67" spans="5:5" x14ac:dyDescent="0.25">
      <c r="E67" s="123"/>
    </row>
    <row r="68" spans="5:5" x14ac:dyDescent="0.25">
      <c r="E68" s="123"/>
    </row>
    <row r="69" spans="5:5" x14ac:dyDescent="0.25">
      <c r="E69" s="123"/>
    </row>
    <row r="70" spans="5:5" x14ac:dyDescent="0.25">
      <c r="E70" s="123"/>
    </row>
    <row r="71" spans="5:5" x14ac:dyDescent="0.25">
      <c r="E71" s="123"/>
    </row>
    <row r="72" spans="5:5" x14ac:dyDescent="0.25">
      <c r="E72" s="123"/>
    </row>
    <row r="73" spans="5:5" x14ac:dyDescent="0.25">
      <c r="E73" s="123"/>
    </row>
    <row r="74" spans="5:5" x14ac:dyDescent="0.25">
      <c r="E74" s="123"/>
    </row>
    <row r="75" spans="5:5" x14ac:dyDescent="0.25">
      <c r="E75" s="123"/>
    </row>
    <row r="76" spans="5:5" x14ac:dyDescent="0.25">
      <c r="E76" s="123"/>
    </row>
    <row r="77" spans="5:5" x14ac:dyDescent="0.25">
      <c r="E77" s="123"/>
    </row>
    <row r="78" spans="5:5" x14ac:dyDescent="0.25">
      <c r="E78" s="123"/>
    </row>
    <row r="79" spans="5:5" x14ac:dyDescent="0.25">
      <c r="E79" s="123"/>
    </row>
    <row r="80" spans="5:5" x14ac:dyDescent="0.25">
      <c r="E80" s="123"/>
    </row>
    <row r="81" spans="5:5" x14ac:dyDescent="0.25">
      <c r="E81" s="123"/>
    </row>
    <row r="82" spans="5:5" x14ac:dyDescent="0.25">
      <c r="E82" s="123"/>
    </row>
    <row r="83" spans="5:5" x14ac:dyDescent="0.25">
      <c r="E83" s="123"/>
    </row>
    <row r="84" spans="5:5" x14ac:dyDescent="0.25">
      <c r="E84" s="123"/>
    </row>
    <row r="85" spans="5:5" x14ac:dyDescent="0.25">
      <c r="E85" s="123"/>
    </row>
    <row r="86" spans="5:5" x14ac:dyDescent="0.25">
      <c r="E86" s="123"/>
    </row>
    <row r="87" spans="5:5" x14ac:dyDescent="0.25">
      <c r="E87" s="123"/>
    </row>
    <row r="88" spans="5:5" x14ac:dyDescent="0.25">
      <c r="E88" s="123"/>
    </row>
    <row r="89" spans="5:5" x14ac:dyDescent="0.25">
      <c r="E89" s="123"/>
    </row>
    <row r="90" spans="5:5" x14ac:dyDescent="0.25">
      <c r="E90" s="123"/>
    </row>
    <row r="91" spans="5:5" x14ac:dyDescent="0.25">
      <c r="E91" s="123"/>
    </row>
    <row r="92" spans="5:5" x14ac:dyDescent="0.25">
      <c r="E92" s="123"/>
    </row>
    <row r="93" spans="5:5" x14ac:dyDescent="0.25">
      <c r="E93" s="123"/>
    </row>
    <row r="94" spans="5:5" x14ac:dyDescent="0.25">
      <c r="E94" s="123"/>
    </row>
    <row r="95" spans="5:5" x14ac:dyDescent="0.25">
      <c r="E95" s="123"/>
    </row>
    <row r="96" spans="5:5" x14ac:dyDescent="0.25">
      <c r="E96" s="123"/>
    </row>
    <row r="97" spans="5:5" x14ac:dyDescent="0.25">
      <c r="E97" s="123"/>
    </row>
    <row r="98" spans="5:5" x14ac:dyDescent="0.25">
      <c r="E98" s="123"/>
    </row>
    <row r="99" spans="5:5" x14ac:dyDescent="0.25">
      <c r="E99" s="123"/>
    </row>
    <row r="100" spans="5:5" x14ac:dyDescent="0.25">
      <c r="E100" s="123"/>
    </row>
    <row r="101" spans="5:5" x14ac:dyDescent="0.25">
      <c r="E101" s="123"/>
    </row>
    <row r="102" spans="5:5" x14ac:dyDescent="0.25">
      <c r="E102" s="123"/>
    </row>
    <row r="103" spans="5:5" x14ac:dyDescent="0.25">
      <c r="E103" s="123"/>
    </row>
    <row r="104" spans="5:5" x14ac:dyDescent="0.25">
      <c r="E104" s="123"/>
    </row>
    <row r="105" spans="5:5" x14ac:dyDescent="0.25">
      <c r="E105" s="123"/>
    </row>
    <row r="106" spans="5:5" x14ac:dyDescent="0.25">
      <c r="E106" s="123"/>
    </row>
    <row r="107" spans="5:5" x14ac:dyDescent="0.25">
      <c r="E107" s="123"/>
    </row>
    <row r="108" spans="5:5" x14ac:dyDescent="0.25">
      <c r="E108" s="123"/>
    </row>
    <row r="109" spans="5:5" x14ac:dyDescent="0.25">
      <c r="E109" s="123"/>
    </row>
    <row r="110" spans="5:5" x14ac:dyDescent="0.25">
      <c r="E110" s="123"/>
    </row>
    <row r="111" spans="5:5" x14ac:dyDescent="0.25">
      <c r="E111" s="123"/>
    </row>
    <row r="112" spans="5:5" x14ac:dyDescent="0.25">
      <c r="E112" s="123"/>
    </row>
    <row r="113" spans="5:5" x14ac:dyDescent="0.25">
      <c r="E113" s="123"/>
    </row>
    <row r="114" spans="5:5" x14ac:dyDescent="0.25">
      <c r="E114" s="123"/>
    </row>
    <row r="115" spans="5:5" x14ac:dyDescent="0.25">
      <c r="E115" s="123"/>
    </row>
    <row r="116" spans="5:5" x14ac:dyDescent="0.25">
      <c r="E116" s="123"/>
    </row>
    <row r="117" spans="5:5" x14ac:dyDescent="0.25">
      <c r="E117" s="123"/>
    </row>
    <row r="118" spans="5:5" x14ac:dyDescent="0.25">
      <c r="E118" s="123"/>
    </row>
    <row r="119" spans="5:5" x14ac:dyDescent="0.25">
      <c r="E119" s="123"/>
    </row>
    <row r="120" spans="5:5" x14ac:dyDescent="0.25">
      <c r="E120" s="123"/>
    </row>
    <row r="121" spans="5:5" x14ac:dyDescent="0.25">
      <c r="E121" s="123"/>
    </row>
    <row r="122" spans="5:5" x14ac:dyDescent="0.25">
      <c r="E122" s="123"/>
    </row>
    <row r="123" spans="5:5" x14ac:dyDescent="0.25">
      <c r="E123" s="123"/>
    </row>
    <row r="124" spans="5:5" x14ac:dyDescent="0.25">
      <c r="E124" s="123"/>
    </row>
    <row r="125" spans="5:5" x14ac:dyDescent="0.25">
      <c r="E125" s="123"/>
    </row>
    <row r="126" spans="5:5" x14ac:dyDescent="0.25">
      <c r="E126" s="123"/>
    </row>
    <row r="127" spans="5:5" x14ac:dyDescent="0.25">
      <c r="E127" s="123"/>
    </row>
    <row r="128" spans="5:5" x14ac:dyDescent="0.25">
      <c r="E128" s="123"/>
    </row>
    <row r="129" spans="5:5" x14ac:dyDescent="0.25">
      <c r="E129" s="123"/>
    </row>
    <row r="130" spans="5:5" x14ac:dyDescent="0.25">
      <c r="E130" s="123"/>
    </row>
    <row r="131" spans="5:5" x14ac:dyDescent="0.25">
      <c r="E131" s="123"/>
    </row>
    <row r="132" spans="5:5" x14ac:dyDescent="0.25">
      <c r="E132" s="123"/>
    </row>
    <row r="133" spans="5:5" x14ac:dyDescent="0.25">
      <c r="E133" s="123"/>
    </row>
    <row r="134" spans="5:5" x14ac:dyDescent="0.25">
      <c r="E134" s="123"/>
    </row>
    <row r="135" spans="5:5" x14ac:dyDescent="0.25">
      <c r="E135" s="123"/>
    </row>
    <row r="136" spans="5:5" x14ac:dyDescent="0.25">
      <c r="E136" s="123"/>
    </row>
    <row r="137" spans="5:5" x14ac:dyDescent="0.25">
      <c r="E137" s="123"/>
    </row>
    <row r="138" spans="5:5" x14ac:dyDescent="0.25">
      <c r="E138" s="123"/>
    </row>
    <row r="139" spans="5:5" x14ac:dyDescent="0.25">
      <c r="E139" s="123"/>
    </row>
    <row r="140" spans="5:5" x14ac:dyDescent="0.25">
      <c r="E140" s="123"/>
    </row>
    <row r="141" spans="5:5" x14ac:dyDescent="0.25">
      <c r="E141" s="123"/>
    </row>
    <row r="142" spans="5:5" x14ac:dyDescent="0.25">
      <c r="E142" s="123"/>
    </row>
    <row r="143" spans="5:5" x14ac:dyDescent="0.25">
      <c r="E143" s="123"/>
    </row>
    <row r="144" spans="5:5" x14ac:dyDescent="0.25">
      <c r="E144" s="123"/>
    </row>
    <row r="145" spans="5:5" x14ac:dyDescent="0.25">
      <c r="E145" s="123"/>
    </row>
    <row r="146" spans="5:5" x14ac:dyDescent="0.25">
      <c r="E146" s="123"/>
    </row>
    <row r="147" spans="5:5" x14ac:dyDescent="0.25">
      <c r="E147" s="123"/>
    </row>
    <row r="148" spans="5:5" x14ac:dyDescent="0.25">
      <c r="E148" s="123"/>
    </row>
    <row r="149" spans="5:5" x14ac:dyDescent="0.25">
      <c r="E149" s="123"/>
    </row>
    <row r="150" spans="5:5" x14ac:dyDescent="0.25">
      <c r="E150" s="123"/>
    </row>
    <row r="151" spans="5:5" x14ac:dyDescent="0.25">
      <c r="E151" s="123"/>
    </row>
    <row r="152" spans="5:5" x14ac:dyDescent="0.25">
      <c r="E152" s="123"/>
    </row>
    <row r="153" spans="5:5" x14ac:dyDescent="0.25">
      <c r="E153" s="123"/>
    </row>
    <row r="154" spans="5:5" x14ac:dyDescent="0.25">
      <c r="E154" s="123"/>
    </row>
    <row r="155" spans="5:5" x14ac:dyDescent="0.25">
      <c r="E155" s="123"/>
    </row>
    <row r="156" spans="5:5" x14ac:dyDescent="0.25">
      <c r="E156" s="123"/>
    </row>
    <row r="157" spans="5:5" x14ac:dyDescent="0.25">
      <c r="E157" s="123"/>
    </row>
    <row r="158" spans="5:5" x14ac:dyDescent="0.25">
      <c r="E158" s="123"/>
    </row>
    <row r="159" spans="5:5" x14ac:dyDescent="0.25">
      <c r="E159" s="123"/>
    </row>
    <row r="160" spans="5:5" x14ac:dyDescent="0.25">
      <c r="E160" s="123"/>
    </row>
    <row r="161" spans="5:5" x14ac:dyDescent="0.25">
      <c r="E161" s="123"/>
    </row>
    <row r="162" spans="5:5" x14ac:dyDescent="0.25">
      <c r="E162" s="123"/>
    </row>
    <row r="163" spans="5:5" x14ac:dyDescent="0.25">
      <c r="E163" s="123"/>
    </row>
    <row r="164" spans="5:5" x14ac:dyDescent="0.25">
      <c r="E164" s="123"/>
    </row>
    <row r="165" spans="5:5" x14ac:dyDescent="0.25">
      <c r="E165" s="123"/>
    </row>
    <row r="166" spans="5:5" x14ac:dyDescent="0.25">
      <c r="E166" s="123"/>
    </row>
    <row r="167" spans="5:5" x14ac:dyDescent="0.25">
      <c r="E167" s="123"/>
    </row>
    <row r="168" spans="5:5" x14ac:dyDescent="0.25">
      <c r="E168" s="123"/>
    </row>
    <row r="169" spans="5:5" x14ac:dyDescent="0.25">
      <c r="E169" s="123"/>
    </row>
    <row r="170" spans="5:5" x14ac:dyDescent="0.25">
      <c r="E170" s="123"/>
    </row>
    <row r="171" spans="5:5" x14ac:dyDescent="0.25">
      <c r="E171" s="123"/>
    </row>
    <row r="172" spans="5:5" x14ac:dyDescent="0.25">
      <c r="E172" s="123"/>
    </row>
    <row r="173" spans="5:5" x14ac:dyDescent="0.25">
      <c r="E173" s="123"/>
    </row>
    <row r="174" spans="5:5" x14ac:dyDescent="0.25">
      <c r="E174" s="123"/>
    </row>
    <row r="175" spans="5:5" x14ac:dyDescent="0.25">
      <c r="E175" s="123"/>
    </row>
    <row r="176" spans="5:5" x14ac:dyDescent="0.25">
      <c r="E176" s="123"/>
    </row>
    <row r="177" spans="5:5" x14ac:dyDescent="0.25">
      <c r="E177" s="123"/>
    </row>
    <row r="178" spans="5:5" x14ac:dyDescent="0.25">
      <c r="E178" s="123"/>
    </row>
    <row r="179" spans="5:5" x14ac:dyDescent="0.25">
      <c r="E179" s="123"/>
    </row>
    <row r="180" spans="5:5" x14ac:dyDescent="0.25">
      <c r="E180" s="123"/>
    </row>
    <row r="181" spans="5:5" x14ac:dyDescent="0.25">
      <c r="E181" s="123"/>
    </row>
    <row r="182" spans="5:5" x14ac:dyDescent="0.25">
      <c r="E182" s="123"/>
    </row>
    <row r="183" spans="5:5" x14ac:dyDescent="0.25">
      <c r="E183" s="123"/>
    </row>
  </sheetData>
  <mergeCells count="7">
    <mergeCell ref="C50:H54"/>
    <mergeCell ref="B6:I7"/>
    <mergeCell ref="K6:L7"/>
    <mergeCell ref="I27:K33"/>
    <mergeCell ref="B14:I14"/>
    <mergeCell ref="B9:I9"/>
    <mergeCell ref="B11:I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do_ApplyAccrualAmount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B2:N34"/>
  <sheetViews>
    <sheetView zoomScale="80" zoomScaleNormal="80" workbookViewId="0">
      <selection activeCell="B28" sqref="B28:H28"/>
    </sheetView>
  </sheetViews>
  <sheetFormatPr defaultRowHeight="15" x14ac:dyDescent="0.25"/>
  <cols>
    <col min="2" max="2" width="34.5703125" bestFit="1" customWidth="1"/>
    <col min="3" max="3" width="85.7109375" customWidth="1"/>
    <col min="4" max="4" width="9.42578125" bestFit="1" customWidth="1"/>
    <col min="5" max="5" width="13.85546875" bestFit="1" customWidth="1"/>
    <col min="10" max="10" width="20.140625" customWidth="1"/>
    <col min="11" max="11" width="83.85546875" customWidth="1"/>
  </cols>
  <sheetData>
    <row r="2" spans="2:14" x14ac:dyDescent="0.25">
      <c r="D2" s="56"/>
    </row>
    <row r="3" spans="2:14" x14ac:dyDescent="0.25">
      <c r="D3" s="56"/>
    </row>
    <row r="4" spans="2:14" x14ac:dyDescent="0.25">
      <c r="D4" s="56"/>
    </row>
    <row r="5" spans="2:14" x14ac:dyDescent="0.25">
      <c r="D5" s="56"/>
    </row>
    <row r="6" spans="2:14" ht="15" customHeight="1" x14ac:dyDescent="0.25">
      <c r="B6" s="228" t="s">
        <v>69</v>
      </c>
      <c r="C6" s="229"/>
      <c r="D6" s="229"/>
      <c r="E6" s="229"/>
      <c r="F6" s="229"/>
      <c r="G6" s="229"/>
      <c r="H6" s="230"/>
      <c r="I6" s="65"/>
      <c r="L6" s="65"/>
      <c r="M6" s="65"/>
      <c r="N6" s="65"/>
    </row>
    <row r="7" spans="2:14" ht="15" customHeight="1" x14ac:dyDescent="0.25">
      <c r="B7" s="231"/>
      <c r="C7" s="232"/>
      <c r="D7" s="232"/>
      <c r="E7" s="232"/>
      <c r="F7" s="232"/>
      <c r="G7" s="232"/>
      <c r="H7" s="233"/>
      <c r="I7" s="65"/>
      <c r="L7" s="65"/>
      <c r="M7" s="65"/>
      <c r="N7" s="65"/>
    </row>
    <row r="8" spans="2:14" ht="15.75" customHeight="1" x14ac:dyDescent="0.25">
      <c r="B8" s="234"/>
      <c r="C8" s="235"/>
      <c r="D8" s="235"/>
      <c r="E8" s="235"/>
      <c r="F8" s="235"/>
      <c r="G8" s="235"/>
      <c r="H8" s="236"/>
    </row>
    <row r="10" spans="2:14" ht="15.75" customHeight="1" x14ac:dyDescent="0.25">
      <c r="B10" s="331" t="s">
        <v>68</v>
      </c>
      <c r="C10" s="332"/>
      <c r="D10" s="332"/>
      <c r="E10" s="332"/>
      <c r="F10" s="332"/>
      <c r="G10" s="332"/>
      <c r="H10" s="333"/>
      <c r="I10" s="48"/>
    </row>
    <row r="11" spans="2:14" ht="15.75" x14ac:dyDescent="0.25">
      <c r="B11" s="334"/>
      <c r="C11" s="335"/>
      <c r="D11" s="335"/>
      <c r="E11" s="335"/>
      <c r="F11" s="335"/>
      <c r="G11" s="335"/>
      <c r="H11" s="336"/>
      <c r="I11" s="48"/>
    </row>
    <row r="12" spans="2:14" ht="15.75" x14ac:dyDescent="0.25">
      <c r="D12" s="48"/>
      <c r="E12" s="48"/>
      <c r="F12" s="48"/>
      <c r="G12" s="48"/>
      <c r="H12" s="48"/>
      <c r="I12" s="48"/>
    </row>
    <row r="13" spans="2:14" ht="16.5" customHeight="1" thickBot="1" x14ac:dyDescent="0.3">
      <c r="B13" s="62" t="s">
        <v>0</v>
      </c>
      <c r="C13" s="63" t="s">
        <v>51</v>
      </c>
      <c r="D13" s="48"/>
      <c r="E13" s="228" t="s">
        <v>79</v>
      </c>
      <c r="F13" s="229"/>
      <c r="G13" s="229"/>
      <c r="H13" s="230"/>
      <c r="I13" s="71"/>
    </row>
    <row r="14" spans="2:14" ht="16.5" customHeight="1" thickTop="1" x14ac:dyDescent="0.25">
      <c r="B14" s="60" t="s">
        <v>57</v>
      </c>
      <c r="C14" s="184" t="str">
        <f>Scope</f>
        <v>DemoScope99</v>
      </c>
      <c r="D14" s="48"/>
      <c r="E14" s="231"/>
      <c r="F14" s="232"/>
      <c r="G14" s="232"/>
      <c r="H14" s="233"/>
      <c r="I14" s="71"/>
    </row>
    <row r="15" spans="2:14" ht="15.75" customHeight="1" x14ac:dyDescent="0.25">
      <c r="B15" s="60" t="s">
        <v>58</v>
      </c>
      <c r="C15" s="185" t="s">
        <v>139</v>
      </c>
      <c r="D15" s="48"/>
      <c r="E15" s="231"/>
      <c r="F15" s="232"/>
      <c r="G15" s="232"/>
      <c r="H15" s="233"/>
      <c r="I15" s="71"/>
    </row>
    <row r="16" spans="2:14" ht="15.75" customHeight="1" x14ac:dyDescent="0.25">
      <c r="B16" s="60" t="s">
        <v>59</v>
      </c>
      <c r="C16" s="60" t="s">
        <v>60</v>
      </c>
      <c r="D16" s="48"/>
      <c r="E16" s="231"/>
      <c r="F16" s="232"/>
      <c r="G16" s="232"/>
      <c r="H16" s="233"/>
      <c r="I16" s="71"/>
    </row>
    <row r="17" spans="2:10" ht="15.75" customHeight="1" x14ac:dyDescent="0.25">
      <c r="B17" s="60" t="s">
        <v>61</v>
      </c>
      <c r="C17" s="174" t="str">
        <f t="array" ref="C17">TRANSPOSE(IF(ClassificationKeys="","",ClassificationKeys))</f>
        <v/>
      </c>
      <c r="D17" s="48"/>
      <c r="E17" s="231"/>
      <c r="F17" s="232"/>
      <c r="G17" s="232"/>
      <c r="H17" s="233"/>
      <c r="I17" s="71"/>
      <c r="J17" s="94"/>
    </row>
    <row r="18" spans="2:10" ht="15.75" customHeight="1" x14ac:dyDescent="0.25">
      <c r="B18" s="60" t="s">
        <v>14</v>
      </c>
      <c r="C18" s="186" t="s">
        <v>62</v>
      </c>
      <c r="D18" s="48"/>
      <c r="E18" s="231"/>
      <c r="F18" s="232"/>
      <c r="G18" s="232"/>
      <c r="H18" s="233"/>
      <c r="I18" s="48"/>
      <c r="J18" s="72"/>
    </row>
    <row r="19" spans="2:10" ht="15.75" customHeight="1" x14ac:dyDescent="0.25">
      <c r="B19" s="61" t="s">
        <v>63</v>
      </c>
      <c r="C19" s="64">
        <f ca="1">AnalyticsStoreDate</f>
        <v>43529</v>
      </c>
      <c r="D19" s="48"/>
      <c r="E19" s="234"/>
      <c r="F19" s="235"/>
      <c r="G19" s="235"/>
      <c r="H19" s="236"/>
      <c r="I19" s="48"/>
    </row>
    <row r="20" spans="2:10" ht="15.75" x14ac:dyDescent="0.25">
      <c r="D20" s="48"/>
      <c r="E20" s="48"/>
      <c r="F20" s="48"/>
      <c r="G20" s="48"/>
      <c r="H20" s="48"/>
      <c r="I20" s="48"/>
    </row>
    <row r="21" spans="2:10" ht="15.75" x14ac:dyDescent="0.25">
      <c r="D21" s="48"/>
      <c r="E21" s="48"/>
      <c r="F21" s="48"/>
      <c r="G21" s="48"/>
      <c r="H21" s="48"/>
      <c r="I21" s="48"/>
    </row>
    <row r="22" spans="2:10" ht="15.75" customHeight="1" x14ac:dyDescent="0.25">
      <c r="B22" s="283" t="s">
        <v>67</v>
      </c>
      <c r="C22" s="284"/>
      <c r="D22" s="284"/>
      <c r="E22" s="285"/>
      <c r="F22" s="54"/>
      <c r="G22" s="54"/>
      <c r="H22" s="48"/>
      <c r="I22" s="48"/>
    </row>
    <row r="23" spans="2:10" ht="15.75" customHeight="1" x14ac:dyDescent="0.25">
      <c r="B23" s="286"/>
      <c r="C23" s="287"/>
      <c r="D23" s="287"/>
      <c r="E23" s="288"/>
      <c r="F23" s="54"/>
      <c r="G23" s="54"/>
      <c r="H23" s="48"/>
      <c r="I23" s="48"/>
    </row>
    <row r="24" spans="2:10" ht="15.75" x14ac:dyDescent="0.25">
      <c r="B24" s="289"/>
      <c r="C24" s="290"/>
      <c r="D24" s="290"/>
      <c r="E24" s="291"/>
      <c r="F24" s="54"/>
      <c r="G24" s="54"/>
      <c r="H24" s="48"/>
      <c r="I24" s="48"/>
    </row>
    <row r="25" spans="2:10" ht="15.75" x14ac:dyDescent="0.25">
      <c r="D25" s="48"/>
      <c r="E25" s="48"/>
      <c r="F25" s="48"/>
      <c r="G25" s="48"/>
      <c r="H25" s="48"/>
      <c r="I25" s="48"/>
    </row>
    <row r="26" spans="2:10" ht="15.75" x14ac:dyDescent="0.25">
      <c r="B26" s="128" t="s">
        <v>70</v>
      </c>
      <c r="D26" s="48"/>
      <c r="E26" s="48"/>
      <c r="F26" s="48"/>
      <c r="G26" s="48"/>
      <c r="H26" s="48"/>
      <c r="I26" s="48"/>
    </row>
    <row r="27" spans="2:10" ht="15.75" x14ac:dyDescent="0.25">
      <c r="G27" s="48"/>
      <c r="H27" s="48"/>
      <c r="I27" s="48"/>
    </row>
    <row r="28" spans="2:10" ht="15.75" x14ac:dyDescent="0.25">
      <c r="G28" s="48"/>
      <c r="H28" s="48"/>
      <c r="I28" s="48"/>
    </row>
    <row r="29" spans="2:10" ht="15.75" x14ac:dyDescent="0.25">
      <c r="G29" s="48"/>
      <c r="H29" s="48"/>
      <c r="I29" s="48"/>
    </row>
    <row r="30" spans="2:10" ht="15.75" x14ac:dyDescent="0.25">
      <c r="G30" s="48"/>
      <c r="H30" s="48"/>
      <c r="I30" s="48"/>
    </row>
    <row r="34" ht="15" customHeight="1" x14ac:dyDescent="0.25"/>
  </sheetData>
  <mergeCells count="4">
    <mergeCell ref="B6:H8"/>
    <mergeCell ref="B22:E24"/>
    <mergeCell ref="B10:H11"/>
    <mergeCell ref="E13:H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51</vt:i4>
      </vt:variant>
    </vt:vector>
  </HeadingPairs>
  <TitlesOfParts>
    <vt:vector size="67" baseType="lpstr">
      <vt:lpstr>LICENSE</vt:lpstr>
      <vt:lpstr>Setup</vt:lpstr>
      <vt:lpstr>Define New Securities</vt:lpstr>
      <vt:lpstr>Define Portfolio</vt:lpstr>
      <vt:lpstr>Define Classifications</vt:lpstr>
      <vt:lpstr>Apply classifications to sec</vt:lpstr>
      <vt:lpstr>Master Securities View</vt:lpstr>
      <vt:lpstr>Add Trades On Security</vt:lpstr>
      <vt:lpstr>Master Trades View</vt:lpstr>
      <vt:lpstr>Adjust Holdings</vt:lpstr>
      <vt:lpstr>Master Holdings View</vt:lpstr>
      <vt:lpstr>Setup Analytics</vt:lpstr>
      <vt:lpstr>Insert Analytics</vt:lpstr>
      <vt:lpstr>Insert FX Rates</vt:lpstr>
      <vt:lpstr>Insert Accrual amounts</vt:lpstr>
      <vt:lpstr>Aggregation</vt:lpstr>
      <vt:lpstr>AccrualDate</vt:lpstr>
      <vt:lpstr>AccuralAmountsUploadArea</vt:lpstr>
      <vt:lpstr>AccuralAmountsUploadResult</vt:lpstr>
      <vt:lpstr>AccuralDate</vt:lpstr>
      <vt:lpstr>AddTradesResults</vt:lpstr>
      <vt:lpstr>AddTradesSelection</vt:lpstr>
      <vt:lpstr>AdjustHoldingsUploadData</vt:lpstr>
      <vt:lpstr>AdjustHoldingsUploadDataDate</vt:lpstr>
      <vt:lpstr>AdjustHoldingsUploadDataResult</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DELETEME</vt:lpstr>
      <vt:lpstr>'Insert Accrual amounts'!fbnAnalytics_Template_ref</vt:lpstr>
      <vt:lpstr>'Insert Analytics'!fbnAnalytics_Template_ref</vt:lpstr>
      <vt:lpstr>'Insert FX Rates'!fbnAnalytics_Template_ref</vt:lpstr>
      <vt:lpstr>'Setup Analytics'!fbnAnalyticsStore_Template_ref</vt:lpstr>
      <vt:lpstr>'Apply classifications to sec'!fbnClassifications_Template_ref</vt:lpstr>
      <vt:lpstr>'Define New Securities'!fbnClassifications_Template_ref</vt:lpstr>
      <vt:lpstr>'Insert Analytics'!fbnClassifications_Template_ref</vt:lpstr>
      <vt:lpstr>'Adjust Holdings'!fbnHoldings_Template_ref</vt:lpstr>
      <vt:lpstr>'Define Portfolio'!fbnPortfoliosAdd_Template_ref</vt:lpstr>
      <vt:lpstr>'Define Classifications'!fbnPropertiesAdd_Template_ref</vt:lpstr>
      <vt:lpstr>'Define New Securities'!fbnSecurities_Template_ref</vt:lpstr>
      <vt:lpstr>'Master Securities View'!fbnSecurities_Template_ref</vt:lpstr>
      <vt:lpstr>'Add Trades On Security'!fbnTradesAdd_Template_ref</vt:lpstr>
      <vt:lpstr>FxDate</vt:lpstr>
      <vt:lpstr>FXRateUploadArea</vt:lpstr>
      <vt:lpstr>FXRateUploadResult</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Stuart Mathews</cp:lastModifiedBy>
  <dcterms:created xsi:type="dcterms:W3CDTF">2018-03-27T09:49:44Z</dcterms:created>
  <dcterms:modified xsi:type="dcterms:W3CDTF">2019-03-05T15:32:53Z</dcterms:modified>
</cp:coreProperties>
</file>