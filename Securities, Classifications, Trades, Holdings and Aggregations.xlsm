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steve\work\sample-excel\"/>
    </mc:Choice>
  </mc:AlternateContent>
  <xr:revisionPtr revIDLastSave="0" documentId="13_ncr:1_{F40349DE-E6B3-4C7B-A11A-FAA0460396F2}" xr6:coauthVersionLast="40" xr6:coauthVersionMax="40" xr10:uidLastSave="{00000000-0000-0000-0000-000000000000}"/>
  <bookViews>
    <workbookView xWindow="-98" yWindow="-98" windowWidth="20715" windowHeight="13276" tabRatio="915" activeTab="6" xr2:uid="{00000000-000D-0000-FFFF-FFFF00000000}"/>
  </bookViews>
  <sheets>
    <sheet name="LICENSE" sheetId="15" r:id="rId1"/>
    <sheet name="Setup" sheetId="1" r:id="rId2"/>
    <sheet name="Define New Securities" sheetId="2" r:id="rId3"/>
    <sheet name="Define Portfolio" sheetId="4" r:id="rId4"/>
    <sheet name="Define Classifications" sheetId="6" r:id="rId5"/>
    <sheet name="Apply classifications to sec" sheetId="5" r:id="rId6"/>
    <sheet name="Master Securities View" sheetId="7" r:id="rId7"/>
    <sheet name="Sheet2" sheetId="20" r:id="rId8"/>
    <sheet name="Add Trades On Security" sheetId="8" r:id="rId9"/>
    <sheet name="Adjust Holdings" sheetId="16" r:id="rId10"/>
    <sheet name="Master Trades View" sheetId="10" r:id="rId11"/>
    <sheet name="Master Holdings View" sheetId="11" r:id="rId12"/>
    <sheet name="Setup Analytics" sheetId="13" r:id="rId13"/>
    <sheet name="Insert Analytics" sheetId="12" r:id="rId14"/>
    <sheet name="Insert FX Rates" sheetId="17" r:id="rId15"/>
    <sheet name="Insert Accrual amounts" sheetId="18" r:id="rId16"/>
    <sheet name="Aggregation" sheetId="14" r:id="rId17"/>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Holdings'!$C$13:$G$45</definedName>
    <definedName name="AdjustHoldingsUploadDataDate">'Adjust Holdings'!$F$10</definedName>
    <definedName name="AdjustHoldingsUploadDataResult">'Adjust Holdings'!$H$13:$H$45</definedName>
    <definedName name="AggregationParameters">Aggregation!$B$13:$C$19</definedName>
    <definedName name="AnalyticsStoreDate">Setup!$G$36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Securities'!$C$13:$I$35</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5">'Insert Accrual amounts'!$D$16:$F$16</definedName>
    <definedName name="fbnAnalytics_Template_ref" localSheetId="13">'Insert Analytics'!$E$18:$G$18</definedName>
    <definedName name="fbnAnalytics_Template_ref" localSheetId="14">'Insert FX Rates'!$D$16:$F$16</definedName>
    <definedName name="fbnAnalyticsStore_Template_ref" localSheetId="12">'Setup Analytics'!$C$16:$D$16</definedName>
    <definedName name="fbnClassifications_Template_ref" localSheetId="5">'Apply classifications to sec'!$C$14:$D$14</definedName>
    <definedName name="fbnClassifications_Template_ref" localSheetId="2">'Define New Securities'!$B$48:$B$48</definedName>
    <definedName name="fbnClassifications_Template_ref" localSheetId="13">'Insert Analytics'!$E$18:$F$18</definedName>
    <definedName name="fbnHoldings_Template_ref" localSheetId="8">'Add Trades On Security'!#REF!</definedName>
    <definedName name="fbnHoldings_Template_ref" localSheetId="9">'Adjust Holdings'!$N$23:$U$23</definedName>
    <definedName name="fbnPortfoliosAdd_Template_ref" localSheetId="8">'Add Trades On Security'!#REF!</definedName>
    <definedName name="fbnPortfoliosAdd_Template_ref" localSheetId="3">'Define Portfolio'!$C$13:$J$13</definedName>
    <definedName name="fbnPropertiesAdd_Template_ref" localSheetId="8">'Add Trades On Security'!#REF!</definedName>
    <definedName name="fbnPropertiesAdd_Template_ref" localSheetId="4">'Define Classifications'!$E$14:$L$14</definedName>
    <definedName name="fbnPropertiesAdd_Template_ref" localSheetId="7">Sheet2!$G$13:$N$13</definedName>
    <definedName name="fbnSecurities_Template_ref" localSheetId="2">'Define New Securities'!$C$13:$I$13</definedName>
    <definedName name="fbnSecurities_Template_ref" localSheetId="6">'Master Securities View'!$C$13:$E$13</definedName>
    <definedName name="fbnSecurities_Template_ref" localSheetId="7">Sheet2!$G$19:$M$19</definedName>
    <definedName name="fbnTradesAdd_Template_ref" localSheetId="8">'Add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Setup!$G$34</definedName>
    <definedName name="PortfolioName">Setup!$G$33</definedName>
    <definedName name="PortfoliosCreatedResults">'Define Portfolio'!$L$14:$L$40</definedName>
    <definedName name="PropertyKeys">'Define Classifications'!#REF!</definedName>
    <definedName name="RawSecuritiesRange">Setup!$B$14:$B$40</definedName>
    <definedName name="Scope">Setup!$G$32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Securities'!$K$14:$K$35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6" i="6" l="1"/>
  <c r="L17" i="6"/>
  <c r="K16" i="6"/>
  <c r="K17" i="6"/>
  <c r="D14" i="1" a="1"/>
  <c r="G12" i="20"/>
  <c r="F15" i="2" l="1"/>
  <c r="F16" i="2"/>
  <c r="F17" i="2"/>
  <c r="F18" i="2"/>
  <c r="F19" i="2"/>
  <c r="F20" i="2"/>
  <c r="F21" i="2"/>
  <c r="F22" i="2"/>
  <c r="F23" i="2"/>
  <c r="F24" i="2"/>
  <c r="F25" i="2"/>
  <c r="F26" i="2"/>
  <c r="F27" i="2"/>
  <c r="F28" i="2"/>
  <c r="F29" i="2"/>
  <c r="F30" i="2"/>
  <c r="F31" i="2"/>
  <c r="F32" i="2"/>
  <c r="F33" i="2"/>
  <c r="F34" i="2"/>
  <c r="F35" i="2"/>
  <c r="F14" i="2"/>
  <c r="C15" i="2"/>
  <c r="C16" i="2"/>
  <c r="C17" i="2"/>
  <c r="C18" i="2"/>
  <c r="C19" i="2"/>
  <c r="C20" i="2"/>
  <c r="C21" i="2"/>
  <c r="C22" i="2"/>
  <c r="C23" i="2"/>
  <c r="C24" i="2"/>
  <c r="C25" i="2"/>
  <c r="C26" i="2"/>
  <c r="C27" i="2"/>
  <c r="C28" i="2"/>
  <c r="C29" i="2"/>
  <c r="C30" i="2"/>
  <c r="C31" i="2"/>
  <c r="C32" i="2"/>
  <c r="C33" i="2"/>
  <c r="C34" i="2"/>
  <c r="C35" i="2"/>
  <c r="D15" i="2"/>
  <c r="D16" i="2"/>
  <c r="D17" i="2"/>
  <c r="D18" i="2"/>
  <c r="D19" i="2"/>
  <c r="D20" i="2"/>
  <c r="D21" i="2"/>
  <c r="D22" i="2"/>
  <c r="D23" i="2"/>
  <c r="D24" i="2"/>
  <c r="D25" i="2"/>
  <c r="D26" i="2"/>
  <c r="D27" i="2"/>
  <c r="D28" i="2"/>
  <c r="D29" i="2"/>
  <c r="D30" i="2"/>
  <c r="D31" i="2"/>
  <c r="D32" i="2"/>
  <c r="D33" i="2"/>
  <c r="D34" i="2"/>
  <c r="D35" i="2"/>
  <c r="C14" i="2"/>
  <c r="D14" i="2"/>
  <c r="C12" i="2"/>
  <c r="C13" i="5"/>
  <c r="D15" i="1"/>
  <c r="D19" i="1"/>
  <c r="D35" i="1"/>
  <c r="D29" i="1"/>
  <c r="D22" i="1"/>
  <c r="D16" i="1"/>
  <c r="D32" i="1"/>
  <c r="D17" i="1"/>
  <c r="D33" i="1"/>
  <c r="D26" i="1"/>
  <c r="D20" i="1"/>
  <c r="D27" i="1"/>
  <c r="D14" i="1"/>
  <c r="D30" i="1"/>
  <c r="D25" i="1"/>
  <c r="D28" i="1"/>
  <c r="D23" i="1"/>
  <c r="D21" i="1"/>
  <c r="D24" i="1"/>
  <c r="D31" i="1"/>
  <c r="D18" i="1"/>
  <c r="D34" i="1"/>
  <c r="F16" i="6" l="1"/>
  <c r="G16" i="6"/>
  <c r="H16" i="6"/>
  <c r="I16" i="6"/>
  <c r="J16" i="6"/>
  <c r="F17" i="6"/>
  <c r="G17" i="6"/>
  <c r="H17" i="6"/>
  <c r="I17" i="6"/>
  <c r="J17" i="6"/>
  <c r="C17" i="14" a="1"/>
  <c r="C17" i="14" s="1"/>
  <c r="F15" i="8"/>
  <c r="E15" i="8"/>
  <c r="C14" i="4" l="1"/>
  <c r="G14" i="4"/>
  <c r="I14" i="4"/>
  <c r="H15" i="6" l="1"/>
  <c r="C19" i="13" l="1"/>
  <c r="K6" i="18" l="1"/>
  <c r="D19" i="13"/>
  <c r="C18" i="13"/>
  <c r="C17" i="13" l="1"/>
  <c r="K6" i="17"/>
  <c r="F10" i="16" l="1"/>
  <c r="C14" i="14" l="1"/>
  <c r="G36" i="1"/>
  <c r="D15" i="8" l="1"/>
  <c r="C30" i="16"/>
  <c r="C26" i="16"/>
  <c r="C28" i="16"/>
  <c r="C25" i="16"/>
  <c r="C22" i="16"/>
  <c r="C15" i="16"/>
  <c r="C24" i="16"/>
  <c r="C19" i="16"/>
  <c r="C27" i="16"/>
  <c r="C14" i="16"/>
  <c r="C33" i="16"/>
  <c r="C21" i="16"/>
  <c r="C18" i="16"/>
  <c r="C34" i="16"/>
  <c r="C17" i="16"/>
  <c r="C23" i="16"/>
  <c r="C31" i="16"/>
  <c r="C16" i="16"/>
  <c r="C29" i="16"/>
  <c r="C20" i="16"/>
  <c r="C32" i="16"/>
  <c r="C35" i="16"/>
  <c r="D17" i="18"/>
  <c r="E19" i="12"/>
  <c r="D17" i="13"/>
  <c r="J8" i="12" s="1"/>
  <c r="D18" i="13"/>
  <c r="C21" i="5"/>
  <c r="D21" i="5" s="1"/>
  <c r="E25" i="12"/>
  <c r="C17" i="5"/>
  <c r="D17" i="5" s="1"/>
  <c r="E21" i="12"/>
  <c r="C38" i="5"/>
  <c r="E42" i="12"/>
  <c r="E46" i="12"/>
  <c r="C42" i="5"/>
  <c r="C33" i="5"/>
  <c r="D33" i="5" s="1"/>
  <c r="E37" i="12"/>
  <c r="E22" i="12"/>
  <c r="C18" i="5"/>
  <c r="D18" i="5" s="1"/>
  <c r="C16" i="5"/>
  <c r="D16" i="5" s="1"/>
  <c r="E20" i="12"/>
  <c r="E30" i="12"/>
  <c r="C26" i="5"/>
  <c r="D26" i="5" s="1"/>
  <c r="C22" i="5"/>
  <c r="D22" i="5" s="1"/>
  <c r="E26" i="12"/>
  <c r="C25" i="5"/>
  <c r="D25" i="5" s="1"/>
  <c r="E29" i="12"/>
  <c r="C40" i="5"/>
  <c r="E44" i="12"/>
  <c r="C24" i="5"/>
  <c r="D24" i="5" s="1"/>
  <c r="E28" i="12"/>
  <c r="C23" i="5"/>
  <c r="D23" i="5" s="1"/>
  <c r="E27" i="12"/>
  <c r="E39" i="12"/>
  <c r="C35" i="5"/>
  <c r="D35" i="5" s="1"/>
  <c r="C31" i="5"/>
  <c r="D31" i="5" s="1"/>
  <c r="E35" i="12"/>
  <c r="E31" i="12"/>
  <c r="C27" i="5"/>
  <c r="D27" i="5" s="1"/>
  <c r="E23" i="12"/>
  <c r="C19" i="5"/>
  <c r="D19" i="5" s="1"/>
  <c r="C37" i="5"/>
  <c r="E41" i="12"/>
  <c r="E47" i="12"/>
  <c r="C43" i="5"/>
  <c r="C29" i="5"/>
  <c r="D29" i="5" s="1"/>
  <c r="E33" i="12"/>
  <c r="C32" i="5"/>
  <c r="D32" i="5" s="1"/>
  <c r="E36" i="12"/>
  <c r="C28" i="5"/>
  <c r="D28" i="5" s="1"/>
  <c r="E32" i="12"/>
  <c r="C20" i="5"/>
  <c r="D20" i="5" s="1"/>
  <c r="E24" i="12"/>
  <c r="E38" i="12"/>
  <c r="C34" i="5"/>
  <c r="D34" i="5" s="1"/>
  <c r="C30" i="5"/>
  <c r="D30" i="5" s="1"/>
  <c r="E34" i="12"/>
  <c r="C39" i="5"/>
  <c r="E43" i="12"/>
  <c r="C36" i="5"/>
  <c r="D36" i="5" s="1"/>
  <c r="E40" i="12"/>
  <c r="C15" i="5"/>
  <c r="D15" i="5" s="1"/>
  <c r="C44" i="5"/>
  <c r="E48" i="12"/>
  <c r="C41" i="5"/>
  <c r="E45" i="12"/>
  <c r="C19" i="14"/>
  <c r="H10" i="11"/>
  <c r="G15" i="6" l="1"/>
  <c r="D44" i="5" l="1"/>
  <c r="D41" i="5" l="1"/>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38" i="5" l="1"/>
  <c r="D37" i="5"/>
  <c r="D39" i="5"/>
  <c r="G35" i="1"/>
</calcChain>
</file>

<file path=xl/sharedStrings.xml><?xml version="1.0" encoding="utf-8"?>
<sst xmlns="http://schemas.openxmlformats.org/spreadsheetml/2006/main" count="378" uniqueCount="257">
  <si>
    <t>Name</t>
  </si>
  <si>
    <t>LookThroughPortfolioId</t>
  </si>
  <si>
    <t>Scope</t>
  </si>
  <si>
    <t>Feedback from Create</t>
  </si>
  <si>
    <t>Results</t>
  </si>
  <si>
    <t>Code</t>
  </si>
  <si>
    <t>Date Created</t>
  </si>
  <si>
    <t>Base Currency</t>
  </si>
  <si>
    <t>SecurityUid</t>
  </si>
  <si>
    <t>Upload new Securities to Lusid</t>
  </si>
  <si>
    <t>Property Name</t>
  </si>
  <si>
    <t>Domain</t>
  </si>
  <si>
    <t>ValueRequired</t>
  </si>
  <si>
    <t>DisplayName</t>
  </si>
  <si>
    <t>Sort</t>
  </si>
  <si>
    <t>LifeTime</t>
  </si>
  <si>
    <t>Result</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</si>
  <si>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</si>
  <si>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</si>
  <si>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</si>
  <si>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</si>
  <si>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</si>
  <si>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</si>
  <si>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</si>
  <si>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</si>
  <si>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</si>
  <si>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</si>
  <si>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</si>
  <si>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</si>
  <si>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</si>
  <si>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</si>
  <si>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</si>
  <si>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</si>
  <si>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</si>
  <si>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</si>
  <si>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</si>
  <si>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</si>
  <si>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</si>
  <si>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</si>
  <si>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</si>
  <si>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</si>
  <si>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</si>
  <si>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</si>
  <si>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</si>
  <si>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</si>
  <si>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</si>
  <si>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</si>
  <si>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</si>
  <si>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</si>
  <si>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</si>
  <si>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</si>
  <si>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</si>
  <si>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</si>
  <si>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</si>
  <si>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</si>
  <si>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</si>
  <si>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</si>
  <si>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</si>
  <si>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</si>
  <si>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</si>
  <si>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</si>
  <si>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</si>
  <si>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</si>
  <si>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</si>
  <si>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</si>
  <si>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</si>
  <si>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</si>
  <si>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</si>
  <si>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</si>
  <si>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</si>
  <si>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</si>
  <si>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</si>
  <si>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</si>
  <si>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</si>
  <si>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</si>
  <si>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</si>
  <si>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</si>
  <si>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</si>
  <si>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</si>
  <si>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</si>
  <si>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</si>
  <si>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</si>
  <si>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</si>
  <si>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</si>
  <si>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</si>
  <si>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</si>
  <si>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</si>
  <si>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</si>
  <si>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</si>
  <si>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</si>
  <si>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</si>
  <si>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</si>
  <si>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</si>
  <si>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</si>
  <si>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</si>
  <si>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</si>
  <si>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</si>
  <si>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</si>
  <si>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</si>
  <si>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</si>
  <si>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</si>
  <si>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</si>
  <si>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</si>
  <si>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</si>
  <si>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</si>
  <si>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</si>
  <si>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</si>
  <si>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</si>
  <si>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</si>
  <si>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</si>
  <si>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</si>
  <si>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</si>
  <si>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</si>
  <si>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</si>
  <si>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</si>
  <si>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</si>
  <si>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</si>
  <si>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</si>
  <si>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</si>
  <si>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</si>
  <si>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</si>
  <si>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</si>
  <si>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</si>
  <si>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</si>
  <si>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</si>
  <si>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</si>
  <si>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</si>
  <si>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</si>
  <si>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</si>
  <si>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</si>
  <si>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</si>
  <si>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</si>
  <si>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</si>
  <si>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</si>
  <si>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</si>
  <si>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</si>
  <si>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</si>
  <si>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Transaction Id</t>
  </si>
  <si>
    <t>Instrument Uid</t>
  </si>
  <si>
    <t>Transaction Date</t>
  </si>
  <si>
    <t>Instrument Units Transacted</t>
  </si>
  <si>
    <t>Transaction Currency</t>
  </si>
  <si>
    <t>Transaction Price</t>
  </si>
  <si>
    <t>client</t>
  </si>
  <si>
    <t>Id</t>
  </si>
  <si>
    <t>default</t>
  </si>
  <si>
    <t>MyId1</t>
  </si>
  <si>
    <t>BBG00JVF3738</t>
  </si>
  <si>
    <t>Currency</t>
  </si>
  <si>
    <r>
      <rPr>
        <b/>
        <sz val="11"/>
        <color rgb="FF9C5700"/>
        <rFont val="Calibri"/>
        <family val="2"/>
        <scheme val="minor"/>
      </rPr>
      <t xml:space="preserve">2) </t>
    </r>
    <r>
      <rPr>
        <sz val="11"/>
        <color rgb="FF9C5700"/>
        <rFont val="Calibri"/>
        <family val="2"/>
        <scheme val="minor"/>
      </rPr>
      <t>Create these trades</t>
    </r>
  </si>
  <si>
    <t>Client supplied instrument Id</t>
  </si>
  <si>
    <t>Instrument name</t>
  </si>
  <si>
    <t>Instrument Id Type</t>
  </si>
  <si>
    <t>Instrument Id Value</t>
  </si>
  <si>
    <t>Instrument</t>
  </si>
  <si>
    <t>InstrumentFormat</t>
  </si>
  <si>
    <t>JSON</t>
  </si>
  <si>
    <t>{}</t>
  </si>
  <si>
    <t>BBG00DKL90B0</t>
  </si>
  <si>
    <t>BBG00DKL91M6</t>
  </si>
  <si>
    <t>BBG00FDG24R6</t>
  </si>
  <si>
    <t>BBG00DKL91L7</t>
  </si>
  <si>
    <t>BBG00FB2C3M5</t>
  </si>
  <si>
    <t>BBG00FJ5L0H2</t>
  </si>
  <si>
    <t>BBG00FJ5L0Q2</t>
  </si>
  <si>
    <t>BBG000C5GF49</t>
  </si>
  <si>
    <t>BBG000C45QW9</t>
  </si>
  <si>
    <t>BBG00GZY0K24</t>
  </si>
  <si>
    <t>BBG00GZXXVG1</t>
  </si>
  <si>
    <t>BBG007V3VDW5</t>
  </si>
  <si>
    <t>BBG000F8XRF3</t>
  </si>
  <si>
    <t>BBG000RH4VW4</t>
  </si>
  <si>
    <t>BBG000R173D9</t>
  </si>
  <si>
    <t>BBG001HQYT28</t>
  </si>
  <si>
    <t>BBG0037S1FD5</t>
  </si>
  <si>
    <t>BBG001B81KF5</t>
  </si>
  <si>
    <t>BBG0034YPJG8</t>
  </si>
  <si>
    <t>BBG0034YQ808</t>
  </si>
  <si>
    <t>BBG004733FZ2</t>
  </si>
  <si>
    <t>Figi</t>
  </si>
  <si>
    <t>Created Security : Invalid instrument specification. Either an instrument already uses one identifier, or an attempt is being made to modify an identifier.</t>
  </si>
  <si>
    <t>: Invalid instrument specification. Either an instrument already uses one identifier, or an attempt is being made to modify an identifier.</t>
  </si>
  <si>
    <t>Created Security LUID_1QFNMM7Q</t>
  </si>
  <si>
    <t>LUID_1QFNMM7Q</t>
  </si>
  <si>
    <t>Created Security LUID_BTD8TCBY</t>
  </si>
  <si>
    <t>LUID_BTD8TCBY</t>
  </si>
  <si>
    <t>Created Security LUID_2NHLJ63K</t>
  </si>
  <si>
    <t>LUID_2NHLJ63K</t>
  </si>
  <si>
    <t>Created Security LUID_NFUKQ78Y</t>
  </si>
  <si>
    <t>LUID_NFUKQ78Y</t>
  </si>
  <si>
    <t>Created Security LUID_19063M9U</t>
  </si>
  <si>
    <t>LUID_19063M9U</t>
  </si>
  <si>
    <t>Created Security LUID_01O5RKGZ</t>
  </si>
  <si>
    <t>LUID_01O5RKGZ</t>
  </si>
  <si>
    <t>Created Security LUID_J9339BN6</t>
  </si>
  <si>
    <t>LUID_J9339BN6</t>
  </si>
  <si>
    <t>Created Security LUID_0T4ENP6U</t>
  </si>
  <si>
    <t>LUID_0T4ENP6U</t>
  </si>
  <si>
    <t>Created Security LUID_ROYPD30O</t>
  </si>
  <si>
    <t>LUID_ROYPD30O</t>
  </si>
  <si>
    <t>Created Security LUID_TUHB7XTD</t>
  </si>
  <si>
    <t>LUID_TUHB7XTD</t>
  </si>
  <si>
    <t>Created Security LUID_RW0E62PU</t>
  </si>
  <si>
    <t>LUID_RW0E62PU</t>
  </si>
  <si>
    <t>Created Security LUID_NSEKU1OZ</t>
  </si>
  <si>
    <t>LUID_NSEKU1OZ</t>
  </si>
  <si>
    <t>Created Security LUID_SPXF639U</t>
  </si>
  <si>
    <t>LUID_SPXF639U</t>
  </si>
  <si>
    <t>Created Security LUID_AJGU6LO8</t>
  </si>
  <si>
    <t>LUID_AJGU6LO8</t>
  </si>
  <si>
    <t>Created Security LUID_7MHFLQ5W</t>
  </si>
  <si>
    <t>LUID_7MHFLQ5W</t>
  </si>
  <si>
    <t>Created Security LUID_IGLZ5M6K</t>
  </si>
  <si>
    <t>LUID_IGLZ5M6K</t>
  </si>
  <si>
    <t>Created Security LUID_OE63TA2K</t>
  </si>
  <si>
    <t>LUID_OE63TA2K</t>
  </si>
  <si>
    <t>Created Security LUID_NJGWCWRW</t>
  </si>
  <si>
    <t>LUID_NJGWCWRW</t>
  </si>
  <si>
    <t>Created Security LUID_SUMBZHU2</t>
  </si>
  <si>
    <t>LUID_SUMBZHU2</t>
  </si>
  <si>
    <t>Created Security LUID_YVVC055R</t>
  </si>
  <si>
    <t>LUID_YVVC055R</t>
  </si>
  <si>
    <t>Created Security LUID_SZBESFPL</t>
  </si>
  <si>
    <t>LUID_SZBESFPL</t>
  </si>
  <si>
    <t>h</t>
  </si>
  <si>
    <t>Trades added</t>
  </si>
  <si>
    <t>#ERROR: An unknown problem occurred on our side whilst attempting to execute request. This shouldn't happen and it will be flagged for attention by us, but if it persists please get in contact with our support team.</t>
  </si>
  <si>
    <t>rs-test</t>
  </si>
  <si>
    <t>rspf-1</t>
  </si>
  <si>
    <t>a</t>
  </si>
  <si>
    <t>b</t>
  </si>
  <si>
    <t>c</t>
  </si>
  <si>
    <t>d</t>
  </si>
  <si>
    <t>e</t>
  </si>
  <si>
    <t>f</t>
  </si>
  <si>
    <t>g</t>
  </si>
  <si>
    <t>j</t>
  </si>
  <si>
    <t>k</t>
  </si>
  <si>
    <t>l</t>
  </si>
  <si>
    <t>m</t>
  </si>
  <si>
    <t>n</t>
  </si>
  <si>
    <t>o</t>
  </si>
  <si>
    <t>p</t>
  </si>
  <si>
    <t>q</t>
  </si>
  <si>
    <t>r</t>
  </si>
  <si>
    <t>s</t>
  </si>
  <si>
    <t>t</t>
  </si>
  <si>
    <t>u</t>
  </si>
  <si>
    <t>v</t>
  </si>
  <si>
    <t>i</t>
  </si>
  <si>
    <t>TimeVariant</t>
  </si>
  <si>
    <t>rs-instrument-prop3</t>
  </si>
  <si>
    <t>Instrument/rs-test/rs-instrument-prop3</t>
  </si>
  <si>
    <t>Error creating portfolio with id rspf-1 in scope rs-test effective at 2019-02-25T00:00:00.0000000+00:00 because it already exists.</t>
  </si>
  <si>
    <t>ClientInternal</t>
  </si>
  <si>
    <t>LusidInstrumentId</t>
  </si>
  <si>
    <t>Identifiers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</si>
</sst>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
      <sz val="11"/>
      <color rgb="FF000000"/>
      <name val="Calibri"/>
      <family val="2"/>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41">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
      <left style="thin">
        <color indexed="64"/>
      </left>
      <right/>
      <top style="thin">
        <color theme="4"/>
      </top>
      <bottom style="double">
        <color theme="4"/>
      </bottom>
      <diagonal/>
    </border>
    <border>
      <left style="thin">
        <color indexed="64"/>
      </left>
      <right style="thin">
        <color indexed="64"/>
      </right>
      <top style="double">
        <color theme="4"/>
      </top>
      <bottom/>
      <diagonal/>
    </border>
  </borders>
  <cellStyleXfs count="15">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3"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7" fillId="12" borderId="0" applyNumberFormat="0" applyBorder="0" applyAlignment="0" applyProtection="0"/>
    <xf numFmtId="0" fontId="8" fillId="0" borderId="24" applyNumberFormat="0" applyFill="0" applyAlignment="0" applyProtection="0"/>
    <xf numFmtId="0" fontId="9"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xf numFmtId="0" fontId="13" fillId="0" borderId="0" applyNumberFormat="0" applyFill="0" applyBorder="0" applyAlignment="0" applyProtection="0"/>
  </cellStyleXfs>
  <cellXfs count="361">
    <xf numFmtId="0" fontId="0" fillId="0" borderId="0" xfId="0"/>
    <xf numFmtId="0" fontId="2" fillId="0" borderId="0" xfId="1" applyFill="1"/>
    <xf numFmtId="0" fontId="0" fillId="0" borderId="0" xfId="0" applyAlignment="1">
      <alignment horizontal="center" vertical="center" textRotation="255"/>
    </xf>
    <xf numFmtId="0" fontId="0" fillId="0" borderId="0" xfId="0"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3" fillId="8" borderId="21" xfId="6" applyFill="1" applyBorder="1" applyAlignment="1">
      <alignment vertical="center"/>
    </xf>
    <xf numFmtId="0" fontId="3"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7" fillId="0" borderId="0" xfId="9" applyFill="1"/>
    <xf numFmtId="0" fontId="0" fillId="0" borderId="0" xfId="0" applyAlignment="1">
      <alignment wrapText="1"/>
    </xf>
    <xf numFmtId="0" fontId="0" fillId="6" borderId="9" xfId="0" applyFill="1" applyBorder="1" applyAlignment="1">
      <alignment horizontal="center"/>
    </xf>
    <xf numFmtId="0" fontId="1" fillId="0" borderId="0" xfId="4" applyFill="1"/>
    <xf numFmtId="14" fontId="1" fillId="0" borderId="0" xfId="4" applyNumberFormat="1" applyFill="1"/>
    <xf numFmtId="0" fontId="1" fillId="0" borderId="0" xfId="4" applyFill="1" applyAlignment="1">
      <alignment horizontal="center"/>
    </xf>
    <xf numFmtId="0" fontId="1" fillId="0" borderId="0" xfId="5" applyFill="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xf numFmtId="0" fontId="8" fillId="0" borderId="0" xfId="7" applyFont="1" applyFill="1" applyBorder="1"/>
    <xf numFmtId="0" fontId="1" fillId="0" borderId="0" xfId="2" applyFill="1" applyAlignment="1">
      <alignment horizontal="center"/>
    </xf>
    <xf numFmtId="0" fontId="1" fillId="0" borderId="0" xfId="2" applyFill="1"/>
    <xf numFmtId="0" fontId="1" fillId="7" borderId="21" xfId="5" applyBorder="1"/>
    <xf numFmtId="0" fontId="1" fillId="7" borderId="23" xfId="5" applyBorder="1"/>
    <xf numFmtId="0" fontId="0" fillId="6" borderId="9" xfId="0" applyFill="1" applyBorder="1"/>
    <xf numFmtId="0" fontId="0" fillId="4" borderId="4" xfId="3" applyFont="1" applyBorder="1"/>
    <xf numFmtId="0" fontId="1" fillId="4" borderId="0" xfId="3"/>
    <xf numFmtId="0" fontId="0" fillId="4" borderId="0" xfId="3" applyFont="1"/>
    <xf numFmtId="0" fontId="1" fillId="4" borderId="5" xfId="3" applyBorder="1"/>
    <xf numFmtId="0" fontId="1" fillId="4" borderId="11" xfId="3" applyBorder="1"/>
    <xf numFmtId="0" fontId="0" fillId="4" borderId="11" xfId="3" applyFont="1" applyBorder="1"/>
    <xf numFmtId="0" fontId="1" fillId="4" borderId="7" xfId="3" applyBorder="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Alignment="1" applyProtection="1">
      <alignment horizontal="center"/>
      <protection locked="0"/>
    </xf>
    <xf numFmtId="0" fontId="0" fillId="3" borderId="4" xfId="2" applyFont="1" applyBorder="1" applyProtection="1">
      <protection locked="0"/>
    </xf>
    <xf numFmtId="0" fontId="0" fillId="3" borderId="0" xfId="2" applyFont="1" applyProtection="1">
      <protection locked="0"/>
    </xf>
    <xf numFmtId="14" fontId="1" fillId="3" borderId="0" xfId="2" applyNumberFormat="1" applyProtection="1">
      <protection locked="0"/>
    </xf>
    <xf numFmtId="0" fontId="1" fillId="3" borderId="4" xfId="2" applyBorder="1" applyProtection="1">
      <protection locked="0"/>
    </xf>
    <xf numFmtId="0" fontId="1" fillId="3" borderId="0" xfId="2" applyProtection="1">
      <protection locked="0"/>
    </xf>
    <xf numFmtId="0" fontId="1" fillId="3" borderId="6" xfId="2" applyBorder="1" applyProtection="1">
      <protection locked="0"/>
    </xf>
    <xf numFmtId="0" fontId="6"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14" fontId="6" fillId="0" borderId="0" xfId="7" applyNumberFormat="1" applyFont="1" applyFill="1" applyBorder="1" applyAlignment="1">
      <alignment horizontal="center" vertical="center"/>
    </xf>
    <xf numFmtId="14" fontId="0" fillId="0" borderId="0" xfId="0" applyNumberFormat="1"/>
    <xf numFmtId="0" fontId="2" fillId="0" borderId="0" xfId="1" applyFill="1" applyAlignment="1">
      <alignment vertical="center" wrapText="1"/>
    </xf>
    <xf numFmtId="14" fontId="6" fillId="0" borderId="9" xfId="7" applyNumberFormat="1" applyFont="1" applyFill="1" applyBorder="1" applyAlignment="1">
      <alignment horizontal="center" vertical="center"/>
    </xf>
    <xf numFmtId="2" fontId="0" fillId="0" borderId="0" xfId="0" applyNumberFormat="1"/>
    <xf numFmtId="2" fontId="6" fillId="0" borderId="0" xfId="7" applyNumberFormat="1" applyFont="1" applyFill="1" applyBorder="1" applyAlignment="1">
      <alignment horizontal="center" vertical="center"/>
    </xf>
    <xf numFmtId="0" fontId="3" fillId="4" borderId="21" xfId="6" applyFill="1" applyBorder="1"/>
    <xf numFmtId="2" fontId="3"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6" fillId="0" borderId="0" xfId="7" applyFont="1" applyFill="1" applyBorder="1" applyAlignment="1">
      <alignment vertical="center" wrapText="1"/>
    </xf>
    <xf numFmtId="0" fontId="0" fillId="0" borderId="9" xfId="0" applyBorder="1"/>
    <xf numFmtId="14" fontId="0" fillId="0" borderId="9" xfId="0" applyNumberFormat="1" applyBorder="1"/>
    <xf numFmtId="0" fontId="0" fillId="15" borderId="6" xfId="0" applyFill="1" applyBorder="1"/>
    <xf numFmtId="14" fontId="1" fillId="4" borderId="32" xfId="3" applyNumberFormat="1" applyBorder="1"/>
    <xf numFmtId="0" fontId="0" fillId="4" borderId="32" xfId="3" applyFont="1" applyBorder="1"/>
    <xf numFmtId="0" fontId="0" fillId="0" borderId="0" xfId="0" applyAlignment="1">
      <alignment horizontal="center" vertical="center"/>
    </xf>
    <xf numFmtId="0" fontId="6" fillId="0" borderId="0" xfId="7" applyFont="1" applyFill="1" applyBorder="1" applyAlignment="1">
      <alignment vertical="center"/>
    </xf>
    <xf numFmtId="0" fontId="0" fillId="0" borderId="0" xfId="3" applyFont="1" applyFill="1"/>
    <xf numFmtId="0" fontId="8" fillId="0" borderId="26" xfId="10" applyBorder="1"/>
    <xf numFmtId="0" fontId="1" fillId="5" borderId="4" xfId="4" applyBorder="1"/>
    <xf numFmtId="0" fontId="1" fillId="5" borderId="6" xfId="4" applyBorder="1"/>
    <xf numFmtId="0" fontId="0" fillId="5" borderId="0" xfId="4" applyFont="1" applyAlignment="1" applyProtection="1">
      <alignment horizontal="center"/>
      <protection locked="0"/>
    </xf>
    <xf numFmtId="14" fontId="1" fillId="4" borderId="0" xfId="3" applyNumberFormat="1"/>
    <xf numFmtId="0" fontId="1" fillId="4" borderId="32" xfId="3" applyBorder="1"/>
    <xf numFmtId="0" fontId="1" fillId="4" borderId="4" xfId="3" applyBorder="1" applyAlignment="1">
      <alignment horizontal="center"/>
    </xf>
    <xf numFmtId="0" fontId="1" fillId="4" borderId="0" xfId="3" applyAlignment="1">
      <alignment horizontal="center"/>
    </xf>
    <xf numFmtId="0" fontId="1" fillId="4" borderId="5" xfId="3" applyBorder="1" applyAlignment="1">
      <alignment horizontal="center"/>
    </xf>
    <xf numFmtId="0" fontId="1" fillId="4" borderId="6" xfId="3" applyBorder="1" applyAlignment="1">
      <alignment horizontal="center"/>
    </xf>
    <xf numFmtId="0" fontId="1" fillId="4" borderId="32" xfId="3" applyBorder="1" applyAlignment="1">
      <alignment horizontal="center"/>
    </xf>
    <xf numFmtId="0" fontId="8" fillId="9" borderId="9" xfId="10" applyFill="1" applyBorder="1"/>
    <xf numFmtId="0" fontId="0" fillId="4" borderId="4" xfId="3" applyFont="1" applyBorder="1" applyAlignment="1">
      <alignment horizontal="center"/>
    </xf>
    <xf numFmtId="0" fontId="0" fillId="4" borderId="0" xfId="3" applyFont="1" applyAlignment="1">
      <alignment horizontal="center"/>
    </xf>
    <xf numFmtId="0" fontId="0" fillId="7" borderId="5" xfId="5" applyFont="1" applyBorder="1" applyProtection="1">
      <protection locked="0"/>
    </xf>
    <xf numFmtId="0" fontId="0" fillId="15" borderId="4" xfId="0" applyFill="1" applyBorder="1"/>
    <xf numFmtId="0" fontId="2" fillId="0" borderId="0" xfId="1" applyFill="1" applyAlignment="1">
      <alignment vertical="center"/>
    </xf>
    <xf numFmtId="0" fontId="8" fillId="0" borderId="0" xfId="10" applyBorder="1"/>
    <xf numFmtId="0" fontId="8" fillId="9" borderId="27" xfId="10" applyFill="1" applyBorder="1"/>
    <xf numFmtId="0" fontId="9" fillId="0" borderId="0" xfId="11" applyFill="1" applyBorder="1" applyAlignment="1">
      <alignment vertical="center"/>
    </xf>
    <xf numFmtId="0" fontId="8" fillId="9" borderId="26" xfId="10" applyFill="1" applyBorder="1"/>
    <xf numFmtId="49" fontId="1" fillId="4" borderId="0" xfId="3" applyNumberFormat="1" applyAlignment="1">
      <alignment horizontal="center"/>
    </xf>
    <xf numFmtId="49" fontId="1" fillId="4" borderId="0" xfId="3" applyNumberFormat="1"/>
    <xf numFmtId="49" fontId="1" fillId="4" borderId="32" xfId="3" applyNumberFormat="1" applyBorder="1"/>
    <xf numFmtId="49" fontId="0" fillId="4" borderId="0" xfId="3" applyNumberFormat="1" applyFont="1" applyAlignment="1">
      <alignment horizontal="center"/>
    </xf>
    <xf numFmtId="2" fontId="1" fillId="5" borderId="7" xfId="4" applyNumberFormat="1" applyBorder="1" applyAlignment="1" applyProtection="1">
      <alignment horizontal="center"/>
      <protection locked="0"/>
    </xf>
    <xf numFmtId="0" fontId="3" fillId="4" borderId="22" xfId="6" applyFill="1" applyBorder="1"/>
    <xf numFmtId="0" fontId="3" fillId="9" borderId="22" xfId="6" applyFill="1" applyBorder="1"/>
    <xf numFmtId="0" fontId="3"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1" fillId="0" borderId="0" xfId="0" applyFont="1" applyAlignment="1">
      <alignment wrapText="1"/>
    </xf>
    <xf numFmtId="0" fontId="12" fillId="0" borderId="0" xfId="0" applyFont="1" applyAlignment="1">
      <alignment wrapText="1"/>
    </xf>
    <xf numFmtId="2" fontId="1" fillId="4" borderId="0" xfId="3" applyNumberFormat="1"/>
    <xf numFmtId="0" fontId="2" fillId="0" borderId="0" xfId="1" applyFill="1" applyAlignment="1">
      <alignment horizontal="center" vertical="center"/>
    </xf>
    <xf numFmtId="0" fontId="2" fillId="0" borderId="0" xfId="1" applyFill="1" applyAlignment="1">
      <alignment horizontal="left" vertical="center"/>
    </xf>
    <xf numFmtId="0" fontId="6" fillId="9" borderId="2" xfId="7" applyFont="1" applyBorder="1" applyAlignment="1">
      <alignment vertical="center"/>
    </xf>
    <xf numFmtId="0" fontId="6" fillId="9" borderId="10" xfId="7" applyFont="1" applyBorder="1" applyAlignment="1">
      <alignment vertical="center"/>
    </xf>
    <xf numFmtId="0" fontId="6" fillId="9" borderId="3" xfId="7" applyFont="1" applyBorder="1" applyAlignment="1">
      <alignment vertical="center"/>
    </xf>
    <xf numFmtId="0" fontId="6" fillId="9" borderId="4" xfId="7" applyFont="1" applyBorder="1" applyAlignment="1">
      <alignment vertical="center"/>
    </xf>
    <xf numFmtId="0" fontId="6" fillId="9" borderId="0" xfId="7" applyFont="1" applyBorder="1" applyAlignment="1">
      <alignment vertical="center"/>
    </xf>
    <xf numFmtId="0" fontId="6" fillId="9" borderId="5" xfId="7" applyFont="1" applyBorder="1" applyAlignment="1">
      <alignment vertical="center"/>
    </xf>
    <xf numFmtId="0" fontId="6" fillId="9" borderId="6" xfId="7" applyFont="1" applyBorder="1" applyAlignment="1">
      <alignment vertical="center"/>
    </xf>
    <xf numFmtId="0" fontId="6" fillId="9" borderId="32" xfId="7" applyFont="1" applyBorder="1" applyAlignment="1">
      <alignment vertical="center"/>
    </xf>
    <xf numFmtId="0" fontId="6" fillId="9" borderId="7" xfId="7" applyFont="1" applyBorder="1" applyAlignment="1">
      <alignment vertical="center"/>
    </xf>
    <xf numFmtId="2" fontId="1" fillId="0" borderId="0" xfId="4" applyNumberFormat="1" applyFill="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2" fontId="0" fillId="5" borderId="5" xfId="4" applyNumberFormat="1" applyFont="1" applyBorder="1" applyAlignment="1" applyProtection="1">
      <alignment horizontal="center"/>
      <protection locked="0"/>
    </xf>
    <xf numFmtId="0" fontId="0" fillId="0" borderId="0" xfId="4" applyFont="1" applyFill="1"/>
    <xf numFmtId="0" fontId="0" fillId="9" borderId="9" xfId="7" applyFont="1" applyBorder="1"/>
    <xf numFmtId="0" fontId="3" fillId="4" borderId="35" xfId="6" applyFill="1" applyBorder="1"/>
    <xf numFmtId="2" fontId="3" fillId="4" borderId="35" xfId="6" applyNumberFormat="1" applyFill="1" applyBorder="1"/>
    <xf numFmtId="0" fontId="6" fillId="0" borderId="32" xfId="7" applyFont="1" applyFill="1" applyBorder="1" applyAlignment="1">
      <alignment vertical="center" wrapText="1"/>
    </xf>
    <xf numFmtId="0" fontId="0" fillId="0" borderId="0" xfId="0" applyAlignment="1">
      <alignment horizontal="right"/>
    </xf>
    <xf numFmtId="0" fontId="3" fillId="0" borderId="36" xfId="0" applyFont="1" applyBorder="1"/>
    <xf numFmtId="0" fontId="3" fillId="8" borderId="36" xfId="6" applyFill="1" applyBorder="1"/>
    <xf numFmtId="0" fontId="3" fillId="8" borderId="9" xfId="12" applyFont="1" applyBorder="1"/>
    <xf numFmtId="0" fontId="1" fillId="8" borderId="19" xfId="12" applyBorder="1"/>
    <xf numFmtId="0" fontId="1" fillId="8" borderId="20" xfId="12" applyBorder="1"/>
    <xf numFmtId="0" fontId="3" fillId="4" borderId="21" xfId="3" applyFont="1" applyBorder="1"/>
    <xf numFmtId="0" fontId="3" fillId="4" borderId="22" xfId="3" applyFont="1" applyBorder="1"/>
    <xf numFmtId="2" fontId="3" fillId="4" borderId="22" xfId="3" applyNumberFormat="1" applyFont="1" applyBorder="1"/>
    <xf numFmtId="2" fontId="1" fillId="4" borderId="32" xfId="3" applyNumberFormat="1" applyBorder="1"/>
    <xf numFmtId="0" fontId="3" fillId="13" borderId="19" xfId="0" applyFont="1" applyFill="1" applyBorder="1"/>
    <xf numFmtId="0" fontId="0" fillId="13" borderId="19" xfId="0" applyFill="1" applyBorder="1"/>
    <xf numFmtId="0" fontId="0" fillId="13" borderId="20" xfId="0" applyFill="1" applyBorder="1"/>
    <xf numFmtId="0" fontId="4" fillId="2" borderId="0" xfId="1" applyFont="1" applyAlignment="1">
      <alignment horizontal="left" wrapText="1"/>
    </xf>
    <xf numFmtId="0" fontId="3" fillId="3" borderId="1" xfId="6" applyFill="1" applyProtection="1">
      <protection locked="0"/>
    </xf>
    <xf numFmtId="14" fontId="3" fillId="3" borderId="1" xfId="6" applyNumberFormat="1" applyFill="1" applyProtection="1">
      <protection locked="0"/>
    </xf>
    <xf numFmtId="0" fontId="3" fillId="3" borderId="1" xfId="6" applyFill="1"/>
    <xf numFmtId="0" fontId="1" fillId="3" borderId="0" xfId="2"/>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3"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3" fillId="4" borderId="1" xfId="6" applyFill="1"/>
    <xf numFmtId="14" fontId="3" fillId="4" borderId="1" xfId="6" applyNumberFormat="1" applyFill="1"/>
    <xf numFmtId="0" fontId="3" fillId="8" borderId="37" xfId="6" applyFill="1" applyBorder="1"/>
    <xf numFmtId="0" fontId="3" fillId="3" borderId="38" xfId="6" applyFill="1" applyBorder="1"/>
    <xf numFmtId="0" fontId="4" fillId="2" borderId="9" xfId="1" applyFont="1" applyBorder="1" applyAlignment="1">
      <alignment horizontal="center"/>
    </xf>
    <xf numFmtId="0" fontId="3" fillId="4" borderId="38" xfId="6" applyFill="1" applyBorder="1"/>
    <xf numFmtId="0" fontId="4" fillId="2" borderId="26" xfId="1" applyFont="1" applyBorder="1" applyAlignment="1">
      <alignment horizontal="center"/>
    </xf>
    <xf numFmtId="0" fontId="4" fillId="2" borderId="27" xfId="1" applyFont="1" applyBorder="1" applyAlignment="1">
      <alignment horizontal="center"/>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top"/>
    </xf>
    <xf numFmtId="2" fontId="0" fillId="4" borderId="0" xfId="3" applyNumberFormat="1" applyFont="1"/>
    <xf numFmtId="0" fontId="3" fillId="13" borderId="36" xfId="0" applyFont="1" applyFill="1" applyBorder="1"/>
    <xf numFmtId="0" fontId="1" fillId="4" borderId="25" xfId="3" applyBorder="1"/>
    <xf numFmtId="0" fontId="1" fillId="4" borderId="26" xfId="3" applyBorder="1"/>
    <xf numFmtId="0" fontId="1" fillId="4" borderId="4" xfId="3" applyBorder="1"/>
    <xf numFmtId="14" fontId="1" fillId="4" borderId="0" xfId="3" applyNumberFormat="1" applyAlignment="1">
      <alignment horizontal="center"/>
    </xf>
    <xf numFmtId="0" fontId="1" fillId="4" borderId="6" xfId="3" applyBorder="1"/>
    <xf numFmtId="0" fontId="1" fillId="4" borderId="11" xfId="3" applyBorder="1" applyAlignment="1">
      <alignment horizontal="center"/>
    </xf>
    <xf numFmtId="0" fontId="4" fillId="2" borderId="25" xfId="1" applyFont="1" applyBorder="1" applyAlignment="1">
      <alignment horizontal="left"/>
    </xf>
    <xf numFmtId="0" fontId="3" fillId="13" borderId="35" xfId="6" applyFill="1" applyBorder="1"/>
    <xf numFmtId="0" fontId="3" fillId="15" borderId="39" xfId="6" applyFill="1" applyBorder="1"/>
    <xf numFmtId="2" fontId="1" fillId="4" borderId="5" xfId="3" applyNumberFormat="1" applyBorder="1" applyAlignment="1" applyProtection="1">
      <alignment horizontal="center"/>
      <protection locked="0"/>
    </xf>
    <xf numFmtId="2" fontId="1" fillId="4" borderId="7" xfId="3" applyNumberFormat="1" applyBorder="1" applyAlignment="1" applyProtection="1">
      <alignment horizontal="center"/>
      <protection locked="0"/>
    </xf>
    <xf numFmtId="2" fontId="1" fillId="4" borderId="19" xfId="3" applyNumberFormat="1" applyBorder="1" applyAlignment="1" applyProtection="1">
      <alignment horizontal="center"/>
      <protection locked="0"/>
    </xf>
    <xf numFmtId="2" fontId="1" fillId="4" borderId="20" xfId="3" applyNumberFormat="1" applyBorder="1" applyAlignment="1" applyProtection="1">
      <alignment horizontal="center"/>
      <protection locked="0"/>
    </xf>
    <xf numFmtId="0" fontId="1" fillId="4" borderId="40" xfId="3" applyBorder="1"/>
    <xf numFmtId="0" fontId="0" fillId="4" borderId="19" xfId="3" applyFont="1" applyBorder="1"/>
    <xf numFmtId="0" fontId="0" fillId="4" borderId="19" xfId="3" quotePrefix="1" applyFont="1" applyBorder="1"/>
    <xf numFmtId="0" fontId="2" fillId="2" borderId="25" xfId="1" applyBorder="1" applyAlignment="1">
      <alignment horizontal="center" wrapText="1"/>
    </xf>
    <xf numFmtId="0" fontId="2" fillId="2" borderId="27" xfId="1" applyBorder="1" applyAlignment="1">
      <alignment horizontal="center" wrapText="1"/>
    </xf>
    <xf numFmtId="0" fontId="13" fillId="0" borderId="0" xfId="14"/>
    <xf numFmtId="0" fontId="0" fillId="7" borderId="5" xfId="5" applyFont="1" applyBorder="1"/>
    <xf numFmtId="0" fontId="1" fillId="16" borderId="9" xfId="13" applyBorder="1"/>
    <xf numFmtId="0" fontId="0" fillId="0" borderId="19" xfId="0" applyBorder="1"/>
    <xf numFmtId="0" fontId="0" fillId="0" borderId="20" xfId="0" applyBorder="1"/>
    <xf numFmtId="0" fontId="13" fillId="0" borderId="19" xfId="14" applyBorder="1" applyAlignment="1">
      <alignment vertical="center"/>
    </xf>
    <xf numFmtId="0" fontId="0" fillId="0" borderId="0" xfId="0" applyAlignment="1">
      <alignment vertical="center"/>
    </xf>
    <xf numFmtId="0" fontId="0" fillId="7" borderId="5" xfId="5" applyFont="1" applyBorder="1" applyAlignment="1" applyProtection="1">
      <alignment wrapText="1"/>
      <protection locked="0"/>
    </xf>
    <xf numFmtId="0" fontId="1" fillId="7" borderId="5" xfId="5" applyBorder="1" applyAlignment="1" applyProtection="1">
      <alignment wrapText="1"/>
      <protection locked="0"/>
    </xf>
    <xf numFmtId="0" fontId="0" fillId="4" borderId="5" xfId="3" applyFont="1" applyBorder="1"/>
    <xf numFmtId="0" fontId="3" fillId="4" borderId="2" xfId="6" applyFont="1" applyFill="1" applyBorder="1"/>
    <xf numFmtId="0" fontId="3" fillId="4" borderId="10" xfId="6" applyFont="1" applyFill="1" applyBorder="1"/>
    <xf numFmtId="0" fontId="3" fillId="4" borderId="3" xfId="6" applyFont="1" applyFill="1" applyBorder="1"/>
    <xf numFmtId="0" fontId="1" fillId="5" borderId="4" xfId="4" applyFont="1" applyBorder="1"/>
    <xf numFmtId="0" fontId="1" fillId="5" borderId="0" xfId="4" applyFont="1"/>
    <xf numFmtId="0" fontId="1" fillId="5" borderId="5" xfId="4" applyFont="1" applyBorder="1"/>
    <xf numFmtId="0" fontId="1" fillId="5" borderId="6" xfId="4" applyFont="1" applyBorder="1"/>
    <xf numFmtId="0" fontId="1" fillId="5" borderId="32" xfId="4" applyFont="1" applyBorder="1"/>
    <xf numFmtId="0" fontId="1" fillId="5" borderId="7" xfId="4" applyFont="1" applyBorder="1"/>
    <xf numFmtId="0" fontId="0" fillId="7" borderId="5" xfId="5" applyFont="1" applyBorder="1" applyAlignment="1" applyProtection="1">
      <protection locked="0"/>
    </xf>
    <xf numFmtId="0" fontId="8" fillId="0" borderId="25" xfId="10" applyBorder="1" applyAlignment="1"/>
    <xf numFmtId="0" fontId="1" fillId="7" borderId="9" xfId="5" applyBorder="1" applyAlignment="1">
      <alignment horizontal="center"/>
    </xf>
    <xf numFmtId="0" fontId="3"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6" fillId="9" borderId="2" xfId="7" applyFont="1" applyBorder="1" applyAlignment="1">
      <alignment horizontal="center" vertical="center" wrapText="1"/>
    </xf>
    <xf numFmtId="0" fontId="6" fillId="9" borderId="10" xfId="7" applyFont="1" applyBorder="1" applyAlignment="1">
      <alignment horizontal="center" vertical="center" wrapText="1"/>
    </xf>
    <xf numFmtId="0" fontId="6" fillId="9" borderId="3" xfId="7" applyFont="1" applyBorder="1" applyAlignment="1">
      <alignment horizontal="center" vertical="center" wrapText="1"/>
    </xf>
    <xf numFmtId="0" fontId="6" fillId="9" borderId="4" xfId="7" applyFont="1" applyBorder="1" applyAlignment="1">
      <alignment horizontal="center" vertical="center" wrapText="1"/>
    </xf>
    <xf numFmtId="0" fontId="6" fillId="9" borderId="0" xfId="7" applyFont="1" applyBorder="1" applyAlignment="1">
      <alignment horizontal="center" vertical="center" wrapText="1"/>
    </xf>
    <xf numFmtId="0" fontId="6" fillId="9" borderId="5" xfId="7" applyFont="1" applyBorder="1" applyAlignment="1">
      <alignment horizontal="center" vertical="center" wrapText="1"/>
    </xf>
    <xf numFmtId="0" fontId="6" fillId="9" borderId="6" xfId="7" applyFont="1" applyBorder="1" applyAlignment="1">
      <alignment horizontal="center" vertical="center" wrapText="1"/>
    </xf>
    <xf numFmtId="0" fontId="6" fillId="9" borderId="32" xfId="7" applyFont="1" applyBorder="1" applyAlignment="1">
      <alignment horizontal="center" vertical="center" wrapText="1"/>
    </xf>
    <xf numFmtId="0" fontId="6" fillId="9" borderId="7" xfId="7" applyFont="1" applyBorder="1" applyAlignment="1">
      <alignment horizontal="center" vertical="center" wrapText="1"/>
    </xf>
    <xf numFmtId="0" fontId="6" fillId="9" borderId="2" xfId="7" applyFont="1" applyBorder="1" applyAlignment="1">
      <alignment horizontal="center" vertical="center"/>
    </xf>
    <xf numFmtId="0" fontId="6" fillId="9" borderId="10" xfId="7" applyFont="1" applyBorder="1" applyAlignment="1">
      <alignment horizontal="center" vertical="center"/>
    </xf>
    <xf numFmtId="0" fontId="6" fillId="9" borderId="3" xfId="7" applyFont="1" applyBorder="1" applyAlignment="1">
      <alignment horizontal="center" vertical="center"/>
    </xf>
    <xf numFmtId="0" fontId="6" fillId="9" borderId="6" xfId="7" applyFont="1" applyBorder="1" applyAlignment="1">
      <alignment horizontal="center" vertical="center"/>
    </xf>
    <xf numFmtId="0" fontId="6" fillId="9" borderId="32" xfId="7" applyFont="1" applyBorder="1" applyAlignment="1">
      <alignment horizontal="center" vertical="center"/>
    </xf>
    <xf numFmtId="0" fontId="6" fillId="9" borderId="7" xfId="7" applyFont="1" applyBorder="1" applyAlignment="1">
      <alignment horizontal="center" vertical="center"/>
    </xf>
    <xf numFmtId="0" fontId="4" fillId="2" borderId="0" xfId="1" applyFont="1" applyAlignment="1">
      <alignment horizontal="center" vertical="top" wrapText="1"/>
    </xf>
    <xf numFmtId="0" fontId="2" fillId="2" borderId="0" xfId="1" applyAlignment="1">
      <alignment horizontal="center" vertical="top" wrapText="1"/>
    </xf>
    <xf numFmtId="0" fontId="0" fillId="9" borderId="32" xfId="7" applyFont="1" applyBorder="1" applyAlignment="1">
      <alignment horizontal="center" vertical="center" wrapText="1"/>
    </xf>
    <xf numFmtId="0" fontId="4" fillId="2" borderId="0" xfId="1" applyFont="1" applyAlignment="1">
      <alignment horizontal="left"/>
    </xf>
    <xf numFmtId="0" fontId="4" fillId="2" borderId="0" xfId="1" applyFont="1" applyAlignment="1">
      <alignment horizontal="left" vertical="center" wrapText="1"/>
    </xf>
    <xf numFmtId="0" fontId="6" fillId="9" borderId="11" xfId="7" applyFont="1" applyBorder="1" applyAlignment="1">
      <alignment horizontal="center" vertical="center"/>
    </xf>
    <xf numFmtId="0" fontId="6" fillId="9" borderId="13" xfId="7" applyFont="1" applyBorder="1" applyAlignment="1">
      <alignment horizontal="center" vertical="center"/>
    </xf>
    <xf numFmtId="0" fontId="6" fillId="9" borderId="12" xfId="7" applyFont="1" applyBorder="1" applyAlignment="1">
      <alignment horizontal="center" vertical="center"/>
    </xf>
    <xf numFmtId="0" fontId="6" fillId="9" borderId="14" xfId="7" applyFont="1" applyBorder="1" applyAlignment="1">
      <alignment horizontal="center" vertical="center"/>
    </xf>
    <xf numFmtId="0" fontId="6" fillId="9" borderId="15" xfId="7" applyFont="1" applyBorder="1" applyAlignment="1">
      <alignment horizontal="center" vertical="center"/>
    </xf>
    <xf numFmtId="0" fontId="6" fillId="9" borderId="16" xfId="7" applyFont="1" applyBorder="1" applyAlignment="1">
      <alignment horizontal="center" vertical="center"/>
    </xf>
    <xf numFmtId="0" fontId="6"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left" vertical="top"/>
    </xf>
    <xf numFmtId="0" fontId="2" fillId="2" borderId="10" xfId="1" applyBorder="1" applyAlignment="1">
      <alignment horizontal="left" vertical="top"/>
    </xf>
    <xf numFmtId="0" fontId="2" fillId="2" borderId="3" xfId="1" applyBorder="1" applyAlignment="1">
      <alignment horizontal="left" vertical="top"/>
    </xf>
    <xf numFmtId="0" fontId="2" fillId="2" borderId="4" xfId="1" applyBorder="1" applyAlignment="1">
      <alignment horizontal="left" vertical="top"/>
    </xf>
    <xf numFmtId="0" fontId="2" fillId="2" borderId="0" xfId="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32" xfId="1" applyBorder="1" applyAlignment="1">
      <alignment horizontal="left" vertical="top"/>
    </xf>
    <xf numFmtId="0" fontId="2" fillId="2" borderId="7" xfId="1" applyBorder="1" applyAlignment="1">
      <alignment horizontal="left" vertical="top"/>
    </xf>
    <xf numFmtId="0" fontId="4" fillId="2" borderId="2" xfId="1" applyFont="1" applyBorder="1" applyAlignment="1">
      <alignment horizontal="left" vertical="center"/>
    </xf>
    <xf numFmtId="0" fontId="4" fillId="2" borderId="10" xfId="1" applyFont="1" applyBorder="1" applyAlignment="1">
      <alignment horizontal="left" vertical="center"/>
    </xf>
    <xf numFmtId="0" fontId="4"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xf numFmtId="0" fontId="4" fillId="2" borderId="25" xfId="1" applyFont="1" applyBorder="1" applyAlignment="1">
      <alignment horizontal="left" vertical="center"/>
    </xf>
    <xf numFmtId="0" fontId="4" fillId="2" borderId="27" xfId="1" applyFont="1" applyBorder="1" applyAlignment="1">
      <alignment horizontal="left" vertical="center"/>
    </xf>
    <xf numFmtId="0" fontId="0" fillId="0" borderId="0" xfId="0" applyAlignment="1">
      <alignment horizontal="center" vertical="center"/>
    </xf>
    <xf numFmtId="0" fontId="6" fillId="9" borderId="25" xfId="7" applyFont="1" applyBorder="1" applyAlignment="1">
      <alignment horizontal="center" vertical="center"/>
    </xf>
    <xf numFmtId="0" fontId="6" fillId="9" borderId="26" xfId="7" applyFont="1" applyBorder="1" applyAlignment="1">
      <alignment horizontal="center" vertical="center"/>
    </xf>
    <xf numFmtId="0" fontId="6"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6" fillId="9" borderId="13" xfId="7" applyFont="1" applyBorder="1" applyAlignment="1">
      <alignment horizontal="center" vertical="center" wrapText="1"/>
    </xf>
    <xf numFmtId="0" fontId="6" fillId="9" borderId="12" xfId="7" applyFont="1" applyBorder="1" applyAlignment="1">
      <alignment horizontal="center" vertical="center" wrapText="1"/>
    </xf>
    <xf numFmtId="0" fontId="6" fillId="9" borderId="14" xfId="7" applyFont="1" applyBorder="1" applyAlignment="1">
      <alignment horizontal="center" vertical="center" wrapText="1"/>
    </xf>
    <xf numFmtId="0" fontId="6" fillId="9" borderId="33" xfId="7" applyFont="1" applyBorder="1" applyAlignment="1">
      <alignment horizontal="center" vertical="center" wrapText="1"/>
    </xf>
    <xf numFmtId="0" fontId="6" fillId="9" borderId="34" xfId="7" applyFont="1" applyBorder="1" applyAlignment="1">
      <alignment horizontal="center" vertical="center" wrapText="1"/>
    </xf>
    <xf numFmtId="0" fontId="6" fillId="9" borderId="15" xfId="7" applyFont="1" applyBorder="1" applyAlignment="1">
      <alignment horizontal="center" vertical="center" wrapText="1"/>
    </xf>
    <xf numFmtId="0" fontId="6" fillId="9" borderId="16" xfId="7" applyFont="1" applyBorder="1" applyAlignment="1">
      <alignment horizontal="center" vertical="center" wrapText="1"/>
    </xf>
    <xf numFmtId="0" fontId="6" fillId="9" borderId="17" xfId="7" applyFont="1" applyBorder="1" applyAlignment="1">
      <alignment horizontal="center" vertical="center" wrapText="1"/>
    </xf>
    <xf numFmtId="0" fontId="0" fillId="0" borderId="19"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6" fillId="9" borderId="25" xfId="7" applyFont="1" applyBorder="1" applyAlignment="1">
      <alignment horizontal="center" vertical="center" wrapText="1"/>
    </xf>
    <xf numFmtId="0" fontId="6" fillId="9" borderId="26" xfId="7" applyFont="1" applyBorder="1" applyAlignment="1">
      <alignment horizontal="center" vertical="center" wrapText="1"/>
    </xf>
    <xf numFmtId="0" fontId="6" fillId="9" borderId="2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9" fillId="14" borderId="28" xfId="11" applyNumberFormat="1" applyAlignment="1">
      <alignment horizontal="center" vertical="center" wrapText="1"/>
    </xf>
    <xf numFmtId="0" fontId="9"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cellXfs>
  <cellStyles count="15">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Hyperlink" xfId="14" builtinId="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8ef6a348a0dd49ad8b71d77194f9f72d">
      <tp>
        <v>-1</v>
        <stp/>
        <stp>e4bcb818-9a00-4bee-8dc3-4213adde7756</stp>
        <tr r="D34" s="1"/>
        <tr r="D18" s="1"/>
        <tr r="D31" s="1"/>
        <tr r="D24" s="1"/>
        <tr r="D21" s="1"/>
        <tr r="D23" s="1"/>
        <tr r="D28" s="1"/>
        <tr r="D25" s="1"/>
        <tr r="D30" s="1"/>
        <tr r="D14" s="1"/>
        <tr r="D27" s="1"/>
        <tr r="D20" s="1"/>
        <tr r="D26" s="1"/>
        <tr r="D33" s="1"/>
        <tr r="D17" s="1"/>
        <tr r="D32" s="1"/>
        <tr r="D16" s="1"/>
        <tr r="D22" s="1"/>
        <tr r="D29" s="1"/>
        <tr r="D35" s="1"/>
        <tr r="D19" s="1"/>
        <tr r="D15"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200025</xdr:colOff>
          <xdr:row>39</xdr:row>
          <xdr:rowOff>19050</xdr:rowOff>
        </xdr:from>
        <xdr:to>
          <xdr:col>9</xdr:col>
          <xdr:colOff>504825</xdr:colOff>
          <xdr:row>40</xdr:row>
          <xdr:rowOff>171450</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9</xdr:col>
          <xdr:colOff>523875</xdr:colOff>
          <xdr:row>10</xdr:row>
          <xdr:rowOff>47625</xdr:rowOff>
        </xdr:from>
        <xdr:to>
          <xdr:col>12</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689801</xdr:colOff>
      <xdr:row>5</xdr:row>
      <xdr:rowOff>100635</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4</xdr:col>
      <xdr:colOff>237704</xdr:colOff>
      <xdr:row>5</xdr:row>
      <xdr:rowOff>46206</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D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7" sqref="B7"/>
    </sheetView>
  </sheetViews>
  <sheetFormatPr defaultRowHeight="14.25" x14ac:dyDescent="0.45"/>
  <cols>
    <col min="2" max="2" width="104" style="13" customWidth="1"/>
  </cols>
  <sheetData>
    <row r="3" spans="2:2" ht="21" x14ac:dyDescent="0.65">
      <c r="B3" s="112" t="s">
        <v>85</v>
      </c>
    </row>
    <row r="4" spans="2:2" ht="21" x14ac:dyDescent="0.65">
      <c r="B4" s="113"/>
    </row>
    <row r="5" spans="2:2" ht="126" x14ac:dyDescent="0.65">
      <c r="B5" s="113" t="s">
        <v>86</v>
      </c>
    </row>
    <row r="6" spans="2:2" ht="21" x14ac:dyDescent="0.65">
      <c r="B6" s="113"/>
    </row>
    <row r="7" spans="2:2" ht="42" x14ac:dyDescent="0.65">
      <c r="B7" s="113" t="s">
        <v>87</v>
      </c>
    </row>
    <row r="8" spans="2:2" ht="21" x14ac:dyDescent="0.65">
      <c r="B8" s="113"/>
    </row>
    <row r="9" spans="2:2" ht="147" x14ac:dyDescent="0.65">
      <c r="B9" s="113" t="s">
        <v>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O40"/>
  <sheetViews>
    <sheetView zoomScale="80" zoomScaleNormal="80" workbookViewId="0">
      <selection activeCell="D20" sqref="D20"/>
    </sheetView>
  </sheetViews>
  <sheetFormatPr defaultRowHeight="14.25" x14ac:dyDescent="0.45"/>
  <cols>
    <col min="2" max="2" width="21.265625" customWidth="1"/>
    <col min="3" max="3" width="17.265625" customWidth="1"/>
    <col min="4" max="4" width="25.73046875" customWidth="1"/>
    <col min="5" max="5" width="12.59765625" customWidth="1"/>
    <col min="6" max="6" width="27.265625" customWidth="1"/>
    <col min="7" max="7" width="27.86328125" customWidth="1"/>
  </cols>
  <sheetData>
    <row r="11" spans="2:15" x14ac:dyDescent="0.45">
      <c r="B11" s="229" t="s">
        <v>52</v>
      </c>
      <c r="C11" s="230"/>
      <c r="D11" s="230"/>
      <c r="E11" s="231"/>
    </row>
    <row r="13" spans="2:15" x14ac:dyDescent="0.45">
      <c r="B13" s="14" t="s">
        <v>31</v>
      </c>
      <c r="D13" s="202"/>
    </row>
    <row r="14" spans="2:15" x14ac:dyDescent="0.45">
      <c r="B14" s="205" t="s">
        <v>147</v>
      </c>
      <c r="D14" s="203" t="str">
        <f t="array" ref="D14:D35">_xll.fbnSecurityLookupUid("Figi",B14:B35)</f>
        <v>LUID_743IR9YI</v>
      </c>
    </row>
    <row r="15" spans="2:15" ht="15" customHeight="1" x14ac:dyDescent="0.45">
      <c r="B15" s="206" t="s">
        <v>158</v>
      </c>
      <c r="D15" s="203" t="str">
        <v>LUID_1QFNMM7Q</v>
      </c>
      <c r="F15" s="223" t="s">
        <v>29</v>
      </c>
      <c r="G15" s="224"/>
      <c r="H15" s="224"/>
      <c r="I15" s="224"/>
      <c r="J15" s="224"/>
      <c r="K15" s="224"/>
      <c r="L15" s="224"/>
      <c r="M15" s="224"/>
      <c r="N15" s="224"/>
      <c r="O15" s="225"/>
    </row>
    <row r="16" spans="2:15" x14ac:dyDescent="0.45">
      <c r="B16" s="206" t="s">
        <v>159</v>
      </c>
      <c r="D16" s="203" t="str">
        <v>LUID_BTD8TCBY</v>
      </c>
      <c r="F16" s="232"/>
      <c r="G16" s="233"/>
      <c r="H16" s="233"/>
      <c r="I16" s="233"/>
      <c r="J16" s="233"/>
      <c r="K16" s="233"/>
      <c r="L16" s="233"/>
      <c r="M16" s="233"/>
      <c r="N16" s="233"/>
      <c r="O16" s="234"/>
    </row>
    <row r="17" spans="2:15" x14ac:dyDescent="0.45">
      <c r="B17" s="206" t="s">
        <v>160</v>
      </c>
      <c r="D17" s="203" t="str">
        <v>LUID_2NHLJ63K</v>
      </c>
      <c r="F17" s="226"/>
      <c r="G17" s="227"/>
      <c r="H17" s="227"/>
      <c r="I17" s="227"/>
      <c r="J17" s="227"/>
      <c r="K17" s="227"/>
      <c r="L17" s="227"/>
      <c r="M17" s="227"/>
      <c r="N17" s="227"/>
      <c r="O17" s="228"/>
    </row>
    <row r="18" spans="2:15" x14ac:dyDescent="0.45">
      <c r="B18" s="206" t="s">
        <v>161</v>
      </c>
      <c r="D18" s="203" t="str">
        <v>LUID_NFUKQ78Y</v>
      </c>
    </row>
    <row r="19" spans="2:15" x14ac:dyDescent="0.45">
      <c r="B19" s="206" t="s">
        <v>162</v>
      </c>
      <c r="D19" s="203" t="str">
        <v>LUID_19063M9U</v>
      </c>
    </row>
    <row r="20" spans="2:15" x14ac:dyDescent="0.45">
      <c r="B20" s="206" t="s">
        <v>163</v>
      </c>
      <c r="D20" s="203" t="str">
        <v>LUID_01O5RKGZ</v>
      </c>
      <c r="F20" s="223" t="s">
        <v>128</v>
      </c>
      <c r="G20" s="224"/>
      <c r="H20" s="224"/>
      <c r="I20" s="224"/>
      <c r="J20" s="224"/>
      <c r="K20" s="224"/>
      <c r="L20" s="224"/>
      <c r="M20" s="224"/>
      <c r="N20" s="224"/>
      <c r="O20" s="225"/>
    </row>
    <row r="21" spans="2:15" x14ac:dyDescent="0.45">
      <c r="B21" s="206" t="s">
        <v>164</v>
      </c>
      <c r="D21" s="203" t="str">
        <v>LUID_J9339BN6</v>
      </c>
      <c r="F21" s="226"/>
      <c r="G21" s="227"/>
      <c r="H21" s="227"/>
      <c r="I21" s="227"/>
      <c r="J21" s="227"/>
      <c r="K21" s="227"/>
      <c r="L21" s="227"/>
      <c r="M21" s="227"/>
      <c r="N21" s="227"/>
      <c r="O21" s="228"/>
    </row>
    <row r="22" spans="2:15" x14ac:dyDescent="0.45">
      <c r="B22" s="206" t="s">
        <v>165</v>
      </c>
      <c r="D22" s="203" t="str">
        <v>LUID_0T4ENP6U</v>
      </c>
    </row>
    <row r="23" spans="2:15" x14ac:dyDescent="0.45">
      <c r="B23" s="206" t="s">
        <v>166</v>
      </c>
      <c r="D23" s="203" t="str">
        <v>LUID_ROYPD30O</v>
      </c>
      <c r="F23" s="222" t="s">
        <v>25</v>
      </c>
      <c r="G23" s="222"/>
      <c r="H23" s="222"/>
      <c r="I23" s="222"/>
    </row>
    <row r="24" spans="2:15" x14ac:dyDescent="0.45">
      <c r="B24" s="206" t="s">
        <v>167</v>
      </c>
      <c r="D24" s="203" t="str">
        <v>LUID_TUHB7XTD</v>
      </c>
      <c r="F24" s="235" t="s">
        <v>27</v>
      </c>
      <c r="G24" s="235"/>
      <c r="H24" s="235"/>
      <c r="I24" s="235"/>
    </row>
    <row r="25" spans="2:15" x14ac:dyDescent="0.45">
      <c r="B25" s="206" t="s">
        <v>168</v>
      </c>
      <c r="D25" s="203" t="str">
        <v>LUID_RW0E62PU</v>
      </c>
      <c r="F25" s="236" t="s">
        <v>26</v>
      </c>
      <c r="G25" s="236"/>
      <c r="H25" s="236"/>
      <c r="I25" s="236"/>
    </row>
    <row r="26" spans="2:15" x14ac:dyDescent="0.45">
      <c r="B26" s="206" t="s">
        <v>169</v>
      </c>
      <c r="D26" s="203" t="str">
        <v>LUID_NSEKU1OZ</v>
      </c>
      <c r="F26" s="237" t="s">
        <v>24</v>
      </c>
      <c r="G26" s="237"/>
      <c r="H26" s="237"/>
      <c r="I26" s="237"/>
    </row>
    <row r="27" spans="2:15" x14ac:dyDescent="0.45">
      <c r="B27" s="206" t="s">
        <v>170</v>
      </c>
      <c r="D27" s="203" t="str">
        <v>LUID_SPXF639U</v>
      </c>
      <c r="F27" s="221" t="s">
        <v>28</v>
      </c>
      <c r="G27" s="221"/>
      <c r="H27" s="221"/>
      <c r="I27" s="221"/>
    </row>
    <row r="28" spans="2:15" x14ac:dyDescent="0.45">
      <c r="B28" s="206" t="s">
        <v>171</v>
      </c>
      <c r="D28" s="203" t="str">
        <v>LUID_AJGU6LO8</v>
      </c>
    </row>
    <row r="29" spans="2:15" x14ac:dyDescent="0.45">
      <c r="B29" s="206" t="s">
        <v>172</v>
      </c>
      <c r="D29" s="203" t="str">
        <v>LUID_7MHFLQ5W</v>
      </c>
    </row>
    <row r="30" spans="2:15" x14ac:dyDescent="0.45">
      <c r="B30" s="206" t="s">
        <v>173</v>
      </c>
      <c r="D30" s="203" t="str">
        <v>LUID_IGLZ5M6K</v>
      </c>
    </row>
    <row r="31" spans="2:15" x14ac:dyDescent="0.45">
      <c r="B31" s="206" t="s">
        <v>174</v>
      </c>
      <c r="D31" s="203" t="str">
        <v>LUID_OE63TA2K</v>
      </c>
      <c r="F31" t="s">
        <v>74</v>
      </c>
    </row>
    <row r="32" spans="2:15" x14ac:dyDescent="0.45">
      <c r="B32" s="206" t="s">
        <v>175</v>
      </c>
      <c r="D32" s="203" t="str">
        <v>LUID_NJGWCWRW</v>
      </c>
      <c r="F32" s="27" t="s">
        <v>34</v>
      </c>
      <c r="G32" s="71" t="s">
        <v>227</v>
      </c>
    </row>
    <row r="33" spans="2:7" x14ac:dyDescent="0.45">
      <c r="B33" s="206" t="s">
        <v>176</v>
      </c>
      <c r="D33" s="203" t="str">
        <v>LUID_SUMBZHU2</v>
      </c>
      <c r="F33" s="27" t="s">
        <v>67</v>
      </c>
      <c r="G33" s="71" t="s">
        <v>228</v>
      </c>
    </row>
    <row r="34" spans="2:7" x14ac:dyDescent="0.45">
      <c r="B34" s="206" t="s">
        <v>177</v>
      </c>
      <c r="D34" s="203" t="str">
        <v>LUID_YVVC055R</v>
      </c>
      <c r="F34" s="27" t="s">
        <v>68</v>
      </c>
      <c r="G34" s="71" t="s">
        <v>228</v>
      </c>
    </row>
    <row r="35" spans="2:7" x14ac:dyDescent="0.45">
      <c r="B35" s="206" t="s">
        <v>178</v>
      </c>
      <c r="D35" s="204" t="str">
        <v>LUID_SZBESFPL</v>
      </c>
      <c r="F35" s="27" t="s">
        <v>69</v>
      </c>
      <c r="G35" s="72">
        <f ca="1">TODAY()</f>
        <v>43526</v>
      </c>
    </row>
    <row r="36" spans="2:7" x14ac:dyDescent="0.45">
      <c r="B36" s="200"/>
      <c r="F36" s="27" t="s">
        <v>54</v>
      </c>
      <c r="G36" s="72">
        <f ca="1">TODAY()</f>
        <v>43526</v>
      </c>
    </row>
    <row r="37" spans="2:7" x14ac:dyDescent="0.45">
      <c r="B37" s="200"/>
    </row>
    <row r="40" spans="2:7" x14ac:dyDescent="0.45">
      <c r="B40" s="200"/>
    </row>
  </sheetData>
  <mergeCells count="8">
    <mergeCell ref="F27:I27"/>
    <mergeCell ref="F23:I23"/>
    <mergeCell ref="F20:O21"/>
    <mergeCell ref="B11:E11"/>
    <mergeCell ref="F15:O17"/>
    <mergeCell ref="F24:I24"/>
    <mergeCell ref="F25:I25"/>
    <mergeCell ref="F26:I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L44"/>
  <sheetViews>
    <sheetView zoomScale="80" zoomScaleNormal="80" workbookViewId="0">
      <selection activeCell="K19" sqref="K19"/>
    </sheetView>
  </sheetViews>
  <sheetFormatPr defaultRowHeight="14.25" x14ac:dyDescent="0.45"/>
  <cols>
    <col min="1" max="1" width="6.265625" customWidth="1"/>
    <col min="2" max="2" width="7.59765625" customWidth="1"/>
    <col min="3" max="3" width="22" customWidth="1"/>
    <col min="4" max="4" width="31.73046875" customWidth="1"/>
    <col min="5" max="5" width="24.1328125" customWidth="1"/>
    <col min="6" max="6" width="22.3984375" customWidth="1"/>
    <col min="7" max="7" width="25.265625" customWidth="1"/>
    <col min="8" max="8" width="19.1328125" customWidth="1"/>
    <col min="9" max="9" width="20.73046875" customWidth="1"/>
    <col min="11" max="11" width="51.1328125" customWidth="1"/>
    <col min="12" max="12" width="38" customWidth="1"/>
    <col min="13" max="13" width="17.73046875" customWidth="1"/>
    <col min="15" max="15" width="33.1328125" customWidth="1"/>
  </cols>
  <sheetData>
    <row r="7" spans="3:12" ht="15" customHeight="1" x14ac:dyDescent="0.45">
      <c r="C7" s="242" t="s">
        <v>37</v>
      </c>
      <c r="D7" s="243"/>
      <c r="E7" s="244"/>
      <c r="F7" s="13"/>
    </row>
    <row r="8" spans="3:12" x14ac:dyDescent="0.45">
      <c r="C8" s="245"/>
      <c r="D8" s="246"/>
      <c r="E8" s="247"/>
      <c r="F8" s="13"/>
    </row>
    <row r="9" spans="3:12" x14ac:dyDescent="0.45">
      <c r="C9" s="248"/>
      <c r="D9" s="249"/>
      <c r="E9" s="250"/>
    </row>
    <row r="11" spans="3:12" ht="16.5" customHeight="1" x14ac:dyDescent="0.45">
      <c r="C11" s="238" t="s">
        <v>9</v>
      </c>
      <c r="D11" s="239"/>
      <c r="E11" s="240"/>
      <c r="K11" s="198" t="s">
        <v>3</v>
      </c>
      <c r="L11" s="199"/>
    </row>
    <row r="12" spans="3:12" ht="15" customHeight="1" x14ac:dyDescent="0.45">
      <c r="C12" t="str">
        <f>_xll.fbnSecuritiesAdd_Template()</f>
        <v>OK</v>
      </c>
    </row>
    <row r="13" spans="3:12" ht="14.65" thickBot="1" x14ac:dyDescent="0.5">
      <c r="C13" s="210" t="s">
        <v>150</v>
      </c>
      <c r="D13" s="211" t="s">
        <v>151</v>
      </c>
      <c r="E13" s="211" t="s">
        <v>152</v>
      </c>
      <c r="F13" s="211" t="s">
        <v>153</v>
      </c>
      <c r="G13" s="211" t="s">
        <v>1</v>
      </c>
      <c r="H13" s="211" t="s">
        <v>154</v>
      </c>
      <c r="I13" s="212" t="s">
        <v>155</v>
      </c>
      <c r="K13" s="25"/>
      <c r="L13" s="26"/>
    </row>
    <row r="14" spans="3:12" ht="14.65" thickTop="1" x14ac:dyDescent="0.45">
      <c r="C14" s="213" t="str">
        <f>_xlfn.CONCAT("MyId_",Setup!B14)</f>
        <v>MyId_BBG00JVF3738</v>
      </c>
      <c r="D14" s="214" t="str">
        <f>_xlfn.CONCAT("MyNewSecurity_",Setup!B14)</f>
        <v>MyNewSecurity_BBG00JVF3738</v>
      </c>
      <c r="E14" s="214" t="s">
        <v>179</v>
      </c>
      <c r="F14" s="214" t="str">
        <f>Setup!B14</f>
        <v>BBG00JVF3738</v>
      </c>
      <c r="G14" s="214"/>
      <c r="H14" s="214" t="s">
        <v>157</v>
      </c>
      <c r="I14" s="215" t="s">
        <v>156</v>
      </c>
      <c r="K14" s="8" t="s">
        <v>180</v>
      </c>
      <c r="L14" s="201" t="s">
        <v>181</v>
      </c>
    </row>
    <row r="15" spans="3:12" x14ac:dyDescent="0.45">
      <c r="C15" s="213" t="str">
        <f>_xlfn.CONCAT("MyId_",Setup!B15)</f>
        <v>MyId_BBG00DKL90B0</v>
      </c>
      <c r="D15" s="214" t="str">
        <f>_xlfn.CONCAT("MyNewSecurity_",Setup!B15)</f>
        <v>MyNewSecurity_BBG00DKL90B0</v>
      </c>
      <c r="E15" s="214" t="s">
        <v>179</v>
      </c>
      <c r="F15" s="214" t="str">
        <f>Setup!B15</f>
        <v>BBG00DKL90B0</v>
      </c>
      <c r="G15" s="214"/>
      <c r="H15" s="214" t="s">
        <v>157</v>
      </c>
      <c r="I15" s="215" t="s">
        <v>156</v>
      </c>
      <c r="K15" s="8" t="s">
        <v>182</v>
      </c>
      <c r="L15" s="9" t="s">
        <v>183</v>
      </c>
    </row>
    <row r="16" spans="3:12" x14ac:dyDescent="0.45">
      <c r="C16" s="213" t="str">
        <f>_xlfn.CONCAT("MyId_",Setup!B16)</f>
        <v>MyId_BBG00DKL91M6</v>
      </c>
      <c r="D16" s="214" t="str">
        <f>_xlfn.CONCAT("MyNewSecurity_",Setup!B16)</f>
        <v>MyNewSecurity_BBG00DKL91M6</v>
      </c>
      <c r="E16" s="214" t="s">
        <v>179</v>
      </c>
      <c r="F16" s="214" t="str">
        <f>Setup!B16</f>
        <v>BBG00DKL91M6</v>
      </c>
      <c r="G16" s="214"/>
      <c r="H16" s="214" t="s">
        <v>157</v>
      </c>
      <c r="I16" s="215" t="s">
        <v>156</v>
      </c>
      <c r="K16" s="8" t="s">
        <v>184</v>
      </c>
      <c r="L16" s="9" t="s">
        <v>185</v>
      </c>
    </row>
    <row r="17" spans="3:12" x14ac:dyDescent="0.45">
      <c r="C17" s="213" t="str">
        <f>_xlfn.CONCAT("MyId_",Setup!B17)</f>
        <v>MyId_BBG00FDG24R6</v>
      </c>
      <c r="D17" s="214" t="str">
        <f>_xlfn.CONCAT("MyNewSecurity_",Setup!B17)</f>
        <v>MyNewSecurity_BBG00FDG24R6</v>
      </c>
      <c r="E17" s="214" t="s">
        <v>179</v>
      </c>
      <c r="F17" s="214" t="str">
        <f>Setup!B17</f>
        <v>BBG00FDG24R6</v>
      </c>
      <c r="G17" s="214"/>
      <c r="H17" s="214" t="s">
        <v>157</v>
      </c>
      <c r="I17" s="215" t="s">
        <v>156</v>
      </c>
      <c r="K17" s="8" t="s">
        <v>186</v>
      </c>
      <c r="L17" s="9" t="s">
        <v>187</v>
      </c>
    </row>
    <row r="18" spans="3:12" x14ac:dyDescent="0.45">
      <c r="C18" s="213" t="str">
        <f>_xlfn.CONCAT("MyId_",Setup!B18)</f>
        <v>MyId_BBG00DKL91L7</v>
      </c>
      <c r="D18" s="214" t="str">
        <f>_xlfn.CONCAT("MyNewSecurity_",Setup!B18)</f>
        <v>MyNewSecurity_BBG00DKL91L7</v>
      </c>
      <c r="E18" s="214" t="s">
        <v>179</v>
      </c>
      <c r="F18" s="214" t="str">
        <f>Setup!B18</f>
        <v>BBG00DKL91L7</v>
      </c>
      <c r="G18" s="214"/>
      <c r="H18" s="214" t="s">
        <v>157</v>
      </c>
      <c r="I18" s="215" t="s">
        <v>156</v>
      </c>
      <c r="K18" s="8" t="s">
        <v>188</v>
      </c>
      <c r="L18" s="9" t="s">
        <v>189</v>
      </c>
    </row>
    <row r="19" spans="3:12" x14ac:dyDescent="0.45">
      <c r="C19" s="213" t="str">
        <f>_xlfn.CONCAT("MyId_",Setup!B19)</f>
        <v>MyId_BBG00FB2C3M5</v>
      </c>
      <c r="D19" s="214" t="str">
        <f>_xlfn.CONCAT("MyNewSecurity_",Setup!B19)</f>
        <v>MyNewSecurity_BBG00FB2C3M5</v>
      </c>
      <c r="E19" s="214" t="s">
        <v>179</v>
      </c>
      <c r="F19" s="214" t="str">
        <f>Setup!B19</f>
        <v>BBG00FB2C3M5</v>
      </c>
      <c r="G19" s="214"/>
      <c r="H19" s="214" t="s">
        <v>157</v>
      </c>
      <c r="I19" s="215" t="s">
        <v>156</v>
      </c>
      <c r="K19" s="8" t="s">
        <v>190</v>
      </c>
      <c r="L19" s="9" t="s">
        <v>191</v>
      </c>
    </row>
    <row r="20" spans="3:12" x14ac:dyDescent="0.45">
      <c r="C20" s="213" t="str">
        <f>_xlfn.CONCAT("MyId_",Setup!B20)</f>
        <v>MyId_BBG00FJ5L0H2</v>
      </c>
      <c r="D20" s="214" t="str">
        <f>_xlfn.CONCAT("MyNewSecurity_",Setup!B20)</f>
        <v>MyNewSecurity_BBG00FJ5L0H2</v>
      </c>
      <c r="E20" s="214" t="s">
        <v>179</v>
      </c>
      <c r="F20" s="214" t="str">
        <f>Setup!B20</f>
        <v>BBG00FJ5L0H2</v>
      </c>
      <c r="G20" s="214"/>
      <c r="H20" s="214" t="s">
        <v>157</v>
      </c>
      <c r="I20" s="215" t="s">
        <v>156</v>
      </c>
      <c r="K20" s="8" t="s">
        <v>192</v>
      </c>
      <c r="L20" s="9" t="s">
        <v>193</v>
      </c>
    </row>
    <row r="21" spans="3:12" x14ac:dyDescent="0.45">
      <c r="C21" s="213" t="str">
        <f>_xlfn.CONCAT("MyId_",Setup!B21)</f>
        <v>MyId_BBG00FJ5L0Q2</v>
      </c>
      <c r="D21" s="214" t="str">
        <f>_xlfn.CONCAT("MyNewSecurity_",Setup!B21)</f>
        <v>MyNewSecurity_BBG00FJ5L0Q2</v>
      </c>
      <c r="E21" s="214" t="s">
        <v>179</v>
      </c>
      <c r="F21" s="214" t="str">
        <f>Setup!B21</f>
        <v>BBG00FJ5L0Q2</v>
      </c>
      <c r="G21" s="214"/>
      <c r="H21" s="214" t="s">
        <v>157</v>
      </c>
      <c r="I21" s="215" t="s">
        <v>156</v>
      </c>
      <c r="K21" s="8" t="s">
        <v>194</v>
      </c>
      <c r="L21" s="9" t="s">
        <v>195</v>
      </c>
    </row>
    <row r="22" spans="3:12" x14ac:dyDescent="0.45">
      <c r="C22" s="213" t="str">
        <f>_xlfn.CONCAT("MyId_",Setup!B22)</f>
        <v>MyId_BBG000C5GF49</v>
      </c>
      <c r="D22" s="214" t="str">
        <f>_xlfn.CONCAT("MyNewSecurity_",Setup!B22)</f>
        <v>MyNewSecurity_BBG000C5GF49</v>
      </c>
      <c r="E22" s="214" t="s">
        <v>179</v>
      </c>
      <c r="F22" s="214" t="str">
        <f>Setup!B22</f>
        <v>BBG000C5GF49</v>
      </c>
      <c r="G22" s="214"/>
      <c r="H22" s="214" t="s">
        <v>157</v>
      </c>
      <c r="I22" s="215" t="s">
        <v>156</v>
      </c>
      <c r="K22" s="8" t="s">
        <v>196</v>
      </c>
      <c r="L22" s="9" t="s">
        <v>197</v>
      </c>
    </row>
    <row r="23" spans="3:12" x14ac:dyDescent="0.45">
      <c r="C23" s="213" t="str">
        <f>_xlfn.CONCAT("MyId_",Setup!B23)</f>
        <v>MyId_BBG000C45QW9</v>
      </c>
      <c r="D23" s="214" t="str">
        <f>_xlfn.CONCAT("MyNewSecurity_",Setup!B23)</f>
        <v>MyNewSecurity_BBG000C45QW9</v>
      </c>
      <c r="E23" s="214" t="s">
        <v>179</v>
      </c>
      <c r="F23" s="214" t="str">
        <f>Setup!B23</f>
        <v>BBG000C45QW9</v>
      </c>
      <c r="G23" s="214"/>
      <c r="H23" s="214" t="s">
        <v>157</v>
      </c>
      <c r="I23" s="215" t="s">
        <v>156</v>
      </c>
      <c r="K23" s="8" t="s">
        <v>198</v>
      </c>
      <c r="L23" s="9" t="s">
        <v>199</v>
      </c>
    </row>
    <row r="24" spans="3:12" x14ac:dyDescent="0.45">
      <c r="C24" s="213" t="str">
        <f>_xlfn.CONCAT("MyId_",Setup!B24)</f>
        <v>MyId_BBG00GZY0K24</v>
      </c>
      <c r="D24" s="214" t="str">
        <f>_xlfn.CONCAT("MyNewSecurity_",Setup!B24)</f>
        <v>MyNewSecurity_BBG00GZY0K24</v>
      </c>
      <c r="E24" s="214" t="s">
        <v>179</v>
      </c>
      <c r="F24" s="214" t="str">
        <f>Setup!B24</f>
        <v>BBG00GZY0K24</v>
      </c>
      <c r="G24" s="214"/>
      <c r="H24" s="214" t="s">
        <v>157</v>
      </c>
      <c r="I24" s="215" t="s">
        <v>156</v>
      </c>
      <c r="K24" s="8" t="s">
        <v>200</v>
      </c>
      <c r="L24" s="9" t="s">
        <v>201</v>
      </c>
    </row>
    <row r="25" spans="3:12" x14ac:dyDescent="0.45">
      <c r="C25" s="213" t="str">
        <f>_xlfn.CONCAT("MyId_",Setup!B25)</f>
        <v>MyId_BBG00GZXXVG1</v>
      </c>
      <c r="D25" s="214" t="str">
        <f>_xlfn.CONCAT("MyNewSecurity_",Setup!B25)</f>
        <v>MyNewSecurity_BBG00GZXXVG1</v>
      </c>
      <c r="E25" s="214" t="s">
        <v>179</v>
      </c>
      <c r="F25" s="214" t="str">
        <f>Setup!B25</f>
        <v>BBG00GZXXVG1</v>
      </c>
      <c r="G25" s="214"/>
      <c r="H25" s="214" t="s">
        <v>157</v>
      </c>
      <c r="I25" s="215" t="s">
        <v>156</v>
      </c>
      <c r="K25" s="8" t="s">
        <v>202</v>
      </c>
      <c r="L25" s="9" t="s">
        <v>203</v>
      </c>
    </row>
    <row r="26" spans="3:12" x14ac:dyDescent="0.45">
      <c r="C26" s="213" t="str">
        <f>_xlfn.CONCAT("MyId_",Setup!B26)</f>
        <v>MyId_BBG007V3VDW5</v>
      </c>
      <c r="D26" s="214" t="str">
        <f>_xlfn.CONCAT("MyNewSecurity_",Setup!B26)</f>
        <v>MyNewSecurity_BBG007V3VDW5</v>
      </c>
      <c r="E26" s="214" t="s">
        <v>179</v>
      </c>
      <c r="F26" s="214" t="str">
        <f>Setup!B26</f>
        <v>BBG007V3VDW5</v>
      </c>
      <c r="G26" s="214"/>
      <c r="H26" s="214" t="s">
        <v>157</v>
      </c>
      <c r="I26" s="215" t="s">
        <v>156</v>
      </c>
      <c r="K26" s="8" t="s">
        <v>204</v>
      </c>
      <c r="L26" s="9" t="s">
        <v>205</v>
      </c>
    </row>
    <row r="27" spans="3:12" x14ac:dyDescent="0.45">
      <c r="C27" s="213" t="str">
        <f>_xlfn.CONCAT("MyId_",Setup!B27)</f>
        <v>MyId_BBG000F8XRF3</v>
      </c>
      <c r="D27" s="214" t="str">
        <f>_xlfn.CONCAT("MyNewSecurity_",Setup!B27)</f>
        <v>MyNewSecurity_BBG000F8XRF3</v>
      </c>
      <c r="E27" s="214" t="s">
        <v>179</v>
      </c>
      <c r="F27" s="214" t="str">
        <f>Setup!B27</f>
        <v>BBG000F8XRF3</v>
      </c>
      <c r="G27" s="214"/>
      <c r="H27" s="214" t="s">
        <v>157</v>
      </c>
      <c r="I27" s="215" t="s">
        <v>156</v>
      </c>
      <c r="K27" s="8" t="s">
        <v>206</v>
      </c>
      <c r="L27" s="9" t="s">
        <v>207</v>
      </c>
    </row>
    <row r="28" spans="3:12" x14ac:dyDescent="0.45">
      <c r="C28" s="213" t="str">
        <f>_xlfn.CONCAT("MyId_",Setup!B28)</f>
        <v>MyId_BBG000RH4VW4</v>
      </c>
      <c r="D28" s="214" t="str">
        <f>_xlfn.CONCAT("MyNewSecurity_",Setup!B28)</f>
        <v>MyNewSecurity_BBG000RH4VW4</v>
      </c>
      <c r="E28" s="214" t="s">
        <v>179</v>
      </c>
      <c r="F28" s="214" t="str">
        <f>Setup!B28</f>
        <v>BBG000RH4VW4</v>
      </c>
      <c r="G28" s="214"/>
      <c r="H28" s="214" t="s">
        <v>157</v>
      </c>
      <c r="I28" s="215" t="s">
        <v>156</v>
      </c>
      <c r="K28" s="8" t="s">
        <v>208</v>
      </c>
      <c r="L28" s="9" t="s">
        <v>209</v>
      </c>
    </row>
    <row r="29" spans="3:12" x14ac:dyDescent="0.45">
      <c r="C29" s="213" t="str">
        <f>_xlfn.CONCAT("MyId_",Setup!B29)</f>
        <v>MyId_BBG000R173D9</v>
      </c>
      <c r="D29" s="214" t="str">
        <f>_xlfn.CONCAT("MyNewSecurity_",Setup!B29)</f>
        <v>MyNewSecurity_BBG000R173D9</v>
      </c>
      <c r="E29" s="214" t="s">
        <v>179</v>
      </c>
      <c r="F29" s="214" t="str">
        <f>Setup!B29</f>
        <v>BBG000R173D9</v>
      </c>
      <c r="G29" s="214"/>
      <c r="H29" s="214" t="s">
        <v>157</v>
      </c>
      <c r="I29" s="215" t="s">
        <v>156</v>
      </c>
      <c r="K29" s="8" t="s">
        <v>210</v>
      </c>
      <c r="L29" s="9" t="s">
        <v>211</v>
      </c>
    </row>
    <row r="30" spans="3:12" x14ac:dyDescent="0.45">
      <c r="C30" s="213" t="str">
        <f>_xlfn.CONCAT("MyId_",Setup!B30)</f>
        <v>MyId_BBG001HQYT28</v>
      </c>
      <c r="D30" s="214" t="str">
        <f>_xlfn.CONCAT("MyNewSecurity_",Setup!B30)</f>
        <v>MyNewSecurity_BBG001HQYT28</v>
      </c>
      <c r="E30" s="214" t="s">
        <v>179</v>
      </c>
      <c r="F30" s="214" t="str">
        <f>Setup!B30</f>
        <v>BBG001HQYT28</v>
      </c>
      <c r="G30" s="214"/>
      <c r="H30" s="214" t="s">
        <v>157</v>
      </c>
      <c r="I30" s="215" t="s">
        <v>156</v>
      </c>
      <c r="K30" s="8" t="s">
        <v>212</v>
      </c>
      <c r="L30" s="9" t="s">
        <v>213</v>
      </c>
    </row>
    <row r="31" spans="3:12" x14ac:dyDescent="0.45">
      <c r="C31" s="213" t="str">
        <f>_xlfn.CONCAT("MyId_",Setup!B31)</f>
        <v>MyId_BBG0037S1FD5</v>
      </c>
      <c r="D31" s="214" t="str">
        <f>_xlfn.CONCAT("MyNewSecurity_",Setup!B31)</f>
        <v>MyNewSecurity_BBG0037S1FD5</v>
      </c>
      <c r="E31" s="214" t="s">
        <v>179</v>
      </c>
      <c r="F31" s="214" t="str">
        <f>Setup!B31</f>
        <v>BBG0037S1FD5</v>
      </c>
      <c r="G31" s="214"/>
      <c r="H31" s="214" t="s">
        <v>157</v>
      </c>
      <c r="I31" s="215" t="s">
        <v>156</v>
      </c>
      <c r="K31" s="8" t="s">
        <v>214</v>
      </c>
      <c r="L31" s="9" t="s">
        <v>215</v>
      </c>
    </row>
    <row r="32" spans="3:12" x14ac:dyDescent="0.45">
      <c r="C32" s="213" t="str">
        <f>_xlfn.CONCAT("MyId_",Setup!B32)</f>
        <v>MyId_BBG001B81KF5</v>
      </c>
      <c r="D32" s="214" t="str">
        <f>_xlfn.CONCAT("MyNewSecurity_",Setup!B32)</f>
        <v>MyNewSecurity_BBG001B81KF5</v>
      </c>
      <c r="E32" s="214" t="s">
        <v>179</v>
      </c>
      <c r="F32" s="214" t="str">
        <f>Setup!B32</f>
        <v>BBG001B81KF5</v>
      </c>
      <c r="G32" s="214"/>
      <c r="H32" s="214" t="s">
        <v>157</v>
      </c>
      <c r="I32" s="215" t="s">
        <v>156</v>
      </c>
      <c r="K32" s="8" t="s">
        <v>216</v>
      </c>
      <c r="L32" s="9" t="s">
        <v>217</v>
      </c>
    </row>
    <row r="33" spans="3:12" x14ac:dyDescent="0.45">
      <c r="C33" s="213" t="str">
        <f>_xlfn.CONCAT("MyId_",Setup!B33)</f>
        <v>MyId_BBG0034YPJG8</v>
      </c>
      <c r="D33" s="214" t="str">
        <f>_xlfn.CONCAT("MyNewSecurity_",Setup!B33)</f>
        <v>MyNewSecurity_BBG0034YPJG8</v>
      </c>
      <c r="E33" s="214" t="s">
        <v>179</v>
      </c>
      <c r="F33" s="214" t="str">
        <f>Setup!B33</f>
        <v>BBG0034YPJG8</v>
      </c>
      <c r="G33" s="214"/>
      <c r="H33" s="214" t="s">
        <v>157</v>
      </c>
      <c r="I33" s="215" t="s">
        <v>156</v>
      </c>
      <c r="K33" s="8" t="s">
        <v>218</v>
      </c>
      <c r="L33" s="9" t="s">
        <v>219</v>
      </c>
    </row>
    <row r="34" spans="3:12" x14ac:dyDescent="0.45">
      <c r="C34" s="213" t="str">
        <f>_xlfn.CONCAT("MyId_",Setup!B34)</f>
        <v>MyId_BBG0034YQ808</v>
      </c>
      <c r="D34" s="214" t="str">
        <f>_xlfn.CONCAT("MyNewSecurity_",Setup!B34)</f>
        <v>MyNewSecurity_BBG0034YQ808</v>
      </c>
      <c r="E34" s="214" t="s">
        <v>179</v>
      </c>
      <c r="F34" s="214" t="str">
        <f>Setup!B34</f>
        <v>BBG0034YQ808</v>
      </c>
      <c r="G34" s="214"/>
      <c r="H34" s="214" t="s">
        <v>157</v>
      </c>
      <c r="I34" s="215" t="s">
        <v>156</v>
      </c>
      <c r="K34" s="8" t="s">
        <v>220</v>
      </c>
      <c r="L34" s="9" t="s">
        <v>221</v>
      </c>
    </row>
    <row r="35" spans="3:12" x14ac:dyDescent="0.45">
      <c r="C35" s="216" t="str">
        <f>_xlfn.CONCAT("MyId_",Setup!B35)</f>
        <v>MyId_BBG004733FZ2</v>
      </c>
      <c r="D35" s="217" t="str">
        <f>_xlfn.CONCAT("MyNewSecurity_",Setup!B35)</f>
        <v>MyNewSecurity_BBG004733FZ2</v>
      </c>
      <c r="E35" s="217" t="s">
        <v>179</v>
      </c>
      <c r="F35" s="217" t="str">
        <f>Setup!B35</f>
        <v>BBG004733FZ2</v>
      </c>
      <c r="G35" s="217"/>
      <c r="H35" s="217" t="s">
        <v>157</v>
      </c>
      <c r="I35" s="218" t="s">
        <v>156</v>
      </c>
      <c r="K35" s="10" t="s">
        <v>222</v>
      </c>
      <c r="L35" s="11" t="s">
        <v>223</v>
      </c>
    </row>
    <row r="38" spans="3:12" x14ac:dyDescent="0.45">
      <c r="C38" s="251" t="s">
        <v>83</v>
      </c>
      <c r="D38" s="252"/>
      <c r="E38" s="252"/>
      <c r="F38" s="253"/>
      <c r="H38" s="241" t="s">
        <v>33</v>
      </c>
      <c r="I38" s="241"/>
      <c r="J38" s="241"/>
      <c r="K38" s="241"/>
      <c r="L38" s="241"/>
    </row>
    <row r="39" spans="3:12" x14ac:dyDescent="0.45">
      <c r="C39" s="254"/>
      <c r="D39" s="255"/>
      <c r="E39" s="255"/>
      <c r="F39" s="256"/>
      <c r="H39" s="241"/>
      <c r="I39" s="241"/>
      <c r="J39" s="241"/>
      <c r="K39" s="241"/>
      <c r="L39" s="241"/>
    </row>
    <row r="40" spans="3:12" x14ac:dyDescent="0.45">
      <c r="C40" s="254"/>
      <c r="D40" s="255"/>
      <c r="E40" s="255"/>
      <c r="F40" s="256"/>
      <c r="H40" s="241"/>
      <c r="I40" s="241"/>
      <c r="J40" s="241"/>
      <c r="K40" s="241"/>
      <c r="L40" s="241"/>
    </row>
    <row r="41" spans="3:12" x14ac:dyDescent="0.45">
      <c r="C41" s="254"/>
      <c r="D41" s="255"/>
      <c r="E41" s="255"/>
      <c r="F41" s="256"/>
      <c r="H41" s="241"/>
      <c r="I41" s="241"/>
      <c r="J41" s="241"/>
      <c r="K41" s="241"/>
      <c r="L41" s="241"/>
    </row>
    <row r="42" spans="3:12" x14ac:dyDescent="0.45">
      <c r="C42" s="254"/>
      <c r="D42" s="255"/>
      <c r="E42" s="255"/>
      <c r="F42" s="256"/>
      <c r="H42" s="241"/>
      <c r="I42" s="241"/>
      <c r="J42" s="241"/>
      <c r="K42" s="241"/>
      <c r="L42" s="241"/>
    </row>
    <row r="43" spans="3:12" x14ac:dyDescent="0.45">
      <c r="C43" s="254"/>
      <c r="D43" s="255"/>
      <c r="E43" s="255"/>
      <c r="F43" s="256"/>
    </row>
    <row r="44" spans="3:12" x14ac:dyDescent="0.45">
      <c r="C44" s="257"/>
      <c r="D44" s="258"/>
      <c r="E44" s="258"/>
      <c r="F44" s="259"/>
    </row>
  </sheetData>
  <mergeCells count="4">
    <mergeCell ref="C11:E11"/>
    <mergeCell ref="H38:L42"/>
    <mergeCell ref="C7:E9"/>
    <mergeCell ref="C38:F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8</xdr:col>
                    <xdr:colOff>200025</xdr:colOff>
                    <xdr:row>39</xdr:row>
                    <xdr:rowOff>19050</xdr:rowOff>
                  </from>
                  <to>
                    <xdr:col>9</xdr:col>
                    <xdr:colOff>504825</xdr:colOff>
                    <xdr:row>40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topLeftCell="D1" zoomScale="80" zoomScaleNormal="80" workbookViewId="0">
      <selection activeCell="L14" sqref="L14"/>
    </sheetView>
  </sheetViews>
  <sheetFormatPr defaultRowHeight="14.25" x14ac:dyDescent="0.45"/>
  <cols>
    <col min="1" max="2" width="11.59765625" customWidth="1"/>
    <col min="3" max="3" width="14.86328125" customWidth="1"/>
    <col min="4" max="4" width="25.73046875" customWidth="1"/>
    <col min="5" max="5" width="19.265625" customWidth="1"/>
    <col min="6" max="6" width="20" customWidth="1"/>
    <col min="7" max="7" width="19" customWidth="1"/>
    <col min="8" max="8" width="14" customWidth="1"/>
    <col min="9" max="9" width="14.86328125" customWidth="1"/>
    <col min="10" max="10" width="15.59765625" customWidth="1"/>
    <col min="12" max="12" width="42.86328125" customWidth="1"/>
  </cols>
  <sheetData>
    <row r="8" spans="3:13" x14ac:dyDescent="0.45">
      <c r="C8" s="260" t="s">
        <v>117</v>
      </c>
      <c r="D8" s="261"/>
      <c r="E8" s="261"/>
      <c r="F8" s="261"/>
      <c r="G8" s="261"/>
      <c r="H8" s="261"/>
      <c r="I8" s="261"/>
      <c r="J8" s="261"/>
      <c r="K8" s="261"/>
      <c r="L8" s="262"/>
    </row>
    <row r="9" spans="3:13" x14ac:dyDescent="0.45">
      <c r="C9" s="263"/>
      <c r="D9" s="264"/>
      <c r="E9" s="264"/>
      <c r="F9" s="264"/>
      <c r="G9" s="264"/>
      <c r="H9" s="264"/>
      <c r="I9" s="264"/>
      <c r="J9" s="264"/>
      <c r="K9" s="264"/>
      <c r="L9" s="265"/>
    </row>
    <row r="11" spans="3:13" x14ac:dyDescent="0.45">
      <c r="C11" s="188" t="s">
        <v>118</v>
      </c>
      <c r="D11" s="169"/>
      <c r="E11" s="169"/>
      <c r="F11" s="169"/>
      <c r="G11" s="169"/>
      <c r="H11" s="169"/>
      <c r="I11" s="169"/>
      <c r="J11" s="170"/>
      <c r="L11" s="167" t="s">
        <v>4</v>
      </c>
    </row>
    <row r="13" spans="3:13" ht="14.65" thickBot="1" x14ac:dyDescent="0.5">
      <c r="C13" s="150" t="s">
        <v>5</v>
      </c>
      <c r="D13" s="150" t="s">
        <v>130</v>
      </c>
      <c r="E13" s="151" t="s">
        <v>131</v>
      </c>
      <c r="F13" s="151" t="s">
        <v>132</v>
      </c>
      <c r="G13" s="150" t="s">
        <v>133</v>
      </c>
      <c r="H13" s="152" t="s">
        <v>134</v>
      </c>
      <c r="I13" s="152" t="s">
        <v>6</v>
      </c>
      <c r="J13" s="166" t="s">
        <v>7</v>
      </c>
      <c r="L13" s="159" t="s">
        <v>17</v>
      </c>
    </row>
    <row r="14" spans="3:13" ht="14.65" thickTop="1" x14ac:dyDescent="0.45">
      <c r="C14" s="49" t="str">
        <f>PortfolioCode</f>
        <v>rspf-1</v>
      </c>
      <c r="D14" s="50"/>
      <c r="E14" s="153"/>
      <c r="F14" s="153"/>
      <c r="G14" s="48" t="str">
        <f>PortfolioName</f>
        <v>rspf-1</v>
      </c>
      <c r="H14" s="153"/>
      <c r="I14" s="48">
        <f ca="1">TODAY()</f>
        <v>43526</v>
      </c>
      <c r="J14" s="154" t="s">
        <v>47</v>
      </c>
      <c r="L14" s="160" t="s">
        <v>253</v>
      </c>
    </row>
    <row r="15" spans="3:13" x14ac:dyDescent="0.45">
      <c r="C15" s="46"/>
      <c r="D15" s="50"/>
      <c r="E15" s="48"/>
      <c r="F15" s="48"/>
      <c r="G15" s="47"/>
      <c r="H15" s="153"/>
      <c r="I15" s="48"/>
      <c r="J15" s="154"/>
      <c r="L15" s="160"/>
      <c r="M15" s="158"/>
    </row>
    <row r="16" spans="3:13" x14ac:dyDescent="0.45">
      <c r="C16" s="46"/>
      <c r="D16" s="50"/>
      <c r="E16" s="48"/>
      <c r="F16" s="48"/>
      <c r="G16" s="47"/>
      <c r="H16" s="153"/>
      <c r="I16" s="48"/>
      <c r="J16" s="154"/>
      <c r="L16" s="161"/>
    </row>
    <row r="17" spans="3:17" x14ac:dyDescent="0.45">
      <c r="C17" s="46"/>
      <c r="D17" s="50"/>
      <c r="E17" s="48"/>
      <c r="F17" s="50"/>
      <c r="G17" s="47"/>
      <c r="H17" s="153"/>
      <c r="I17" s="48"/>
      <c r="J17" s="154"/>
      <c r="L17" s="161"/>
    </row>
    <row r="18" spans="3:17" x14ac:dyDescent="0.45">
      <c r="C18" s="49"/>
      <c r="D18" s="50"/>
      <c r="E18" s="48"/>
      <c r="F18" s="50"/>
      <c r="G18" s="50"/>
      <c r="H18" s="153"/>
      <c r="I18" s="153"/>
      <c r="J18" s="154"/>
      <c r="L18" s="161"/>
    </row>
    <row r="19" spans="3:17" x14ac:dyDescent="0.45">
      <c r="C19" s="49"/>
      <c r="D19" s="50"/>
      <c r="E19" s="48"/>
      <c r="F19" s="50"/>
      <c r="G19" s="50"/>
      <c r="H19" s="153"/>
      <c r="I19" s="153"/>
      <c r="J19" s="154"/>
      <c r="L19" s="161"/>
    </row>
    <row r="20" spans="3:17" x14ac:dyDescent="0.45">
      <c r="C20" s="49"/>
      <c r="D20" s="50"/>
      <c r="E20" s="48"/>
      <c r="F20" s="50"/>
      <c r="G20" s="50"/>
      <c r="H20" s="153"/>
      <c r="I20" s="153"/>
      <c r="J20" s="154"/>
      <c r="L20" s="161"/>
    </row>
    <row r="21" spans="3:17" x14ac:dyDescent="0.45">
      <c r="C21" s="49"/>
      <c r="D21" s="50"/>
      <c r="E21" s="48"/>
      <c r="F21" s="50"/>
      <c r="G21" s="50"/>
      <c r="H21" s="153"/>
      <c r="I21" s="153"/>
      <c r="J21" s="154"/>
      <c r="L21" s="161"/>
      <c r="N21" s="266" t="s">
        <v>119</v>
      </c>
      <c r="O21" s="267"/>
      <c r="P21" s="267"/>
      <c r="Q21" s="267"/>
    </row>
    <row r="22" spans="3:17" x14ac:dyDescent="0.45">
      <c r="C22" s="49"/>
      <c r="D22" s="50"/>
      <c r="E22" s="48"/>
      <c r="F22" s="50"/>
      <c r="G22" s="50"/>
      <c r="H22" s="153"/>
      <c r="I22" s="153"/>
      <c r="J22" s="154"/>
      <c r="L22" s="161"/>
      <c r="N22" s="267"/>
      <c r="O22" s="267"/>
      <c r="P22" s="267"/>
      <c r="Q22" s="267"/>
    </row>
    <row r="23" spans="3:17" x14ac:dyDescent="0.45">
      <c r="C23" s="49"/>
      <c r="D23" s="50"/>
      <c r="E23" s="48"/>
      <c r="F23" s="50"/>
      <c r="G23" s="50"/>
      <c r="H23" s="153"/>
      <c r="I23" s="153"/>
      <c r="J23" s="154"/>
      <c r="L23" s="161"/>
      <c r="N23" s="267"/>
      <c r="O23" s="267"/>
      <c r="P23" s="267"/>
      <c r="Q23" s="267"/>
    </row>
    <row r="24" spans="3:17" x14ac:dyDescent="0.45">
      <c r="C24" s="49"/>
      <c r="D24" s="50"/>
      <c r="E24" s="48"/>
      <c r="F24" s="50"/>
      <c r="G24" s="50"/>
      <c r="H24" s="153"/>
      <c r="I24" s="153"/>
      <c r="J24" s="154"/>
      <c r="L24" s="161"/>
      <c r="N24" s="267"/>
      <c r="O24" s="267"/>
      <c r="P24" s="267"/>
      <c r="Q24" s="267"/>
    </row>
    <row r="25" spans="3:17" x14ac:dyDescent="0.45">
      <c r="C25" s="49"/>
      <c r="D25" s="50"/>
      <c r="E25" s="48"/>
      <c r="F25" s="50"/>
      <c r="G25" s="50"/>
      <c r="H25" s="153"/>
      <c r="I25" s="153"/>
      <c r="J25" s="154"/>
      <c r="L25" s="161"/>
      <c r="N25" s="267"/>
      <c r="O25" s="267"/>
      <c r="P25" s="267"/>
      <c r="Q25" s="267"/>
    </row>
    <row r="26" spans="3:17" x14ac:dyDescent="0.45">
      <c r="C26" s="49"/>
      <c r="D26" s="50"/>
      <c r="E26" s="48"/>
      <c r="F26" s="50"/>
      <c r="G26" s="50"/>
      <c r="H26" s="153"/>
      <c r="I26" s="153"/>
      <c r="J26" s="154"/>
      <c r="L26" s="161"/>
    </row>
    <row r="27" spans="3:17" x14ac:dyDescent="0.45">
      <c r="C27" s="49"/>
      <c r="D27" s="50"/>
      <c r="E27" s="48"/>
      <c r="F27" s="50"/>
      <c r="G27" s="50"/>
      <c r="H27" s="153"/>
      <c r="I27" s="153"/>
      <c r="J27" s="154"/>
      <c r="L27" s="161"/>
    </row>
    <row r="28" spans="3:17" x14ac:dyDescent="0.45">
      <c r="C28" s="49"/>
      <c r="D28" s="50"/>
      <c r="E28" s="50"/>
      <c r="F28" s="50"/>
      <c r="G28" s="50"/>
      <c r="H28" s="153"/>
      <c r="I28" s="153"/>
      <c r="J28" s="154"/>
      <c r="L28" s="161"/>
    </row>
    <row r="29" spans="3:17" x14ac:dyDescent="0.45">
      <c r="C29" s="49"/>
      <c r="D29" s="50"/>
      <c r="E29" s="50"/>
      <c r="F29" s="50"/>
      <c r="G29" s="50"/>
      <c r="H29" s="153"/>
      <c r="I29" s="153"/>
      <c r="J29" s="154"/>
      <c r="L29" s="161"/>
    </row>
    <row r="30" spans="3:17" x14ac:dyDescent="0.45">
      <c r="C30" s="49"/>
      <c r="D30" s="50"/>
      <c r="E30" s="50"/>
      <c r="F30" s="50"/>
      <c r="G30" s="50"/>
      <c r="H30" s="153"/>
      <c r="I30" s="153"/>
      <c r="J30" s="154"/>
      <c r="L30" s="161"/>
    </row>
    <row r="31" spans="3:17" x14ac:dyDescent="0.45">
      <c r="C31" s="49"/>
      <c r="D31" s="50"/>
      <c r="E31" s="50"/>
      <c r="F31" s="50"/>
      <c r="G31" s="50"/>
      <c r="H31" s="153"/>
      <c r="I31" s="153"/>
      <c r="J31" s="154"/>
      <c r="L31" s="161"/>
    </row>
    <row r="32" spans="3:17" x14ac:dyDescent="0.45">
      <c r="C32" s="49"/>
      <c r="D32" s="50"/>
      <c r="E32" s="50"/>
      <c r="F32" s="50"/>
      <c r="G32" s="50"/>
      <c r="H32" s="153"/>
      <c r="I32" s="153"/>
      <c r="J32" s="154"/>
      <c r="L32" s="161"/>
    </row>
    <row r="33" spans="3:17" x14ac:dyDescent="0.45">
      <c r="C33" s="49"/>
      <c r="D33" s="50"/>
      <c r="E33" s="50"/>
      <c r="F33" s="50"/>
      <c r="G33" s="50"/>
      <c r="H33" s="153"/>
      <c r="I33" s="153"/>
      <c r="J33" s="154"/>
      <c r="L33" s="161"/>
    </row>
    <row r="34" spans="3:17" x14ac:dyDescent="0.45">
      <c r="C34" s="49"/>
      <c r="D34" s="50"/>
      <c r="E34" s="50"/>
      <c r="F34" s="50"/>
      <c r="G34" s="50"/>
      <c r="H34" s="153"/>
      <c r="I34" s="153"/>
      <c r="J34" s="154"/>
      <c r="L34" s="161"/>
    </row>
    <row r="35" spans="3:17" x14ac:dyDescent="0.45">
      <c r="C35" s="49"/>
      <c r="D35" s="50"/>
      <c r="E35" s="50"/>
      <c r="F35" s="50"/>
      <c r="G35" s="50"/>
      <c r="H35" s="153"/>
      <c r="I35" s="153"/>
      <c r="J35" s="154"/>
      <c r="L35" s="161"/>
    </row>
    <row r="36" spans="3:17" x14ac:dyDescent="0.45">
      <c r="C36" s="49"/>
      <c r="D36" s="50"/>
      <c r="E36" s="50"/>
      <c r="F36" s="50"/>
      <c r="G36" s="50"/>
      <c r="H36" s="153"/>
      <c r="I36" s="153"/>
      <c r="J36" s="154"/>
      <c r="L36" s="161"/>
    </row>
    <row r="37" spans="3:17" x14ac:dyDescent="0.45">
      <c r="C37" s="49"/>
      <c r="D37" s="50"/>
      <c r="E37" s="50"/>
      <c r="F37" s="50"/>
      <c r="G37" s="50"/>
      <c r="H37" s="153"/>
      <c r="I37" s="153"/>
      <c r="J37" s="154"/>
      <c r="L37" s="161"/>
    </row>
    <row r="38" spans="3:17" x14ac:dyDescent="0.45">
      <c r="C38" s="49"/>
      <c r="D38" s="50"/>
      <c r="E38" s="50"/>
      <c r="F38" s="50"/>
      <c r="G38" s="50"/>
      <c r="H38" s="153"/>
      <c r="I38" s="153"/>
      <c r="J38" s="154"/>
      <c r="L38" s="161"/>
    </row>
    <row r="39" spans="3:17" x14ac:dyDescent="0.45">
      <c r="C39" s="49"/>
      <c r="D39" s="50"/>
      <c r="E39" s="50"/>
      <c r="F39" s="50"/>
      <c r="G39" s="50"/>
      <c r="H39" s="153"/>
      <c r="I39" s="153"/>
      <c r="J39" s="154"/>
      <c r="L39" s="161"/>
    </row>
    <row r="40" spans="3:17" x14ac:dyDescent="0.45">
      <c r="C40" s="51"/>
      <c r="D40" s="155"/>
      <c r="E40" s="155"/>
      <c r="F40" s="155"/>
      <c r="G40" s="155"/>
      <c r="H40" s="156"/>
      <c r="I40" s="156"/>
      <c r="J40" s="157"/>
      <c r="L40" s="162"/>
    </row>
    <row r="43" spans="3:17" ht="15" customHeight="1" x14ac:dyDescent="0.45">
      <c r="C43" s="223" t="s">
        <v>77</v>
      </c>
      <c r="D43" s="224"/>
      <c r="E43" s="224"/>
      <c r="F43" s="224"/>
      <c r="G43" s="224"/>
      <c r="H43" s="224"/>
      <c r="I43" s="224"/>
      <c r="J43" s="224"/>
      <c r="K43" s="224"/>
      <c r="L43" s="225"/>
      <c r="M43" s="4"/>
      <c r="N43" s="4"/>
      <c r="O43" s="4"/>
      <c r="P43" s="4"/>
      <c r="Q43" s="4"/>
    </row>
    <row r="44" spans="3:17" x14ac:dyDescent="0.45">
      <c r="C44" s="232"/>
      <c r="D44" s="233"/>
      <c r="E44" s="233"/>
      <c r="F44" s="233"/>
      <c r="G44" s="233"/>
      <c r="H44" s="233"/>
      <c r="I44" s="233"/>
      <c r="J44" s="233"/>
      <c r="K44" s="233"/>
      <c r="L44" s="234"/>
      <c r="M44" s="4"/>
      <c r="N44" s="4"/>
      <c r="O44" s="4"/>
      <c r="P44" s="4"/>
      <c r="Q44" s="4"/>
    </row>
    <row r="45" spans="3:17" x14ac:dyDescent="0.45">
      <c r="C45" s="232"/>
      <c r="D45" s="233"/>
      <c r="E45" s="233"/>
      <c r="F45" s="233"/>
      <c r="G45" s="233"/>
      <c r="H45" s="233"/>
      <c r="I45" s="233"/>
      <c r="J45" s="233"/>
      <c r="K45" s="233"/>
      <c r="L45" s="234"/>
      <c r="M45" s="4"/>
      <c r="N45" s="4"/>
      <c r="O45" s="4"/>
      <c r="P45" s="4"/>
      <c r="Q45" s="4"/>
    </row>
    <row r="46" spans="3:17" x14ac:dyDescent="0.45">
      <c r="C46" s="232"/>
      <c r="D46" s="233"/>
      <c r="E46" s="233"/>
      <c r="F46" s="233"/>
      <c r="G46" s="233"/>
      <c r="H46" s="233"/>
      <c r="I46" s="233"/>
      <c r="J46" s="233"/>
      <c r="K46" s="233"/>
      <c r="L46" s="234"/>
      <c r="M46" s="4"/>
      <c r="N46" s="4"/>
      <c r="O46" s="4"/>
      <c r="P46" s="4"/>
      <c r="Q46" s="4"/>
    </row>
    <row r="47" spans="3:17" x14ac:dyDescent="0.45">
      <c r="C47" s="226"/>
      <c r="D47" s="268"/>
      <c r="E47" s="268"/>
      <c r="F47" s="268"/>
      <c r="G47" s="268"/>
      <c r="H47" s="268"/>
      <c r="I47" s="268"/>
      <c r="J47" s="268"/>
      <c r="K47" s="268"/>
      <c r="L47" s="228"/>
      <c r="M47" s="4"/>
      <c r="N47" s="4"/>
      <c r="O47" s="4"/>
      <c r="P47" s="4"/>
      <c r="Q47" s="4"/>
    </row>
  </sheetData>
  <mergeCells count="3">
    <mergeCell ref="C8:L9"/>
    <mergeCell ref="N21:Q25"/>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topLeftCell="N1" zoomScale="80" zoomScaleNormal="80" workbookViewId="0">
      <selection activeCell="C15" sqref="C15"/>
    </sheetView>
  </sheetViews>
  <sheetFormatPr defaultRowHeight="14.25" x14ac:dyDescent="0.45"/>
  <cols>
    <col min="3" max="3" width="42.1328125" customWidth="1"/>
    <col min="4" max="4" width="3.3984375" customWidth="1"/>
    <col min="6" max="6" width="21.265625" customWidth="1"/>
    <col min="7" max="7" width="32.86328125" customWidth="1"/>
    <col min="8" max="8" width="14.1328125" customWidth="1"/>
    <col min="9" max="9" width="20.73046875" customWidth="1"/>
    <col min="10" max="10" width="16.1328125" customWidth="1"/>
    <col min="11" max="11" width="12" customWidth="1"/>
    <col min="12" max="12" width="11.265625" customWidth="1"/>
    <col min="13" max="13" width="3.3984375" customWidth="1"/>
    <col min="14" max="14" width="33.59765625" customWidth="1"/>
    <col min="15" max="15" width="52.59765625" customWidth="1"/>
    <col min="16" max="16" width="3" customWidth="1"/>
    <col min="18" max="18" width="11.265625" customWidth="1"/>
  </cols>
  <sheetData>
    <row r="9" spans="3:15" ht="15" customHeight="1" x14ac:dyDescent="0.45">
      <c r="C9" s="260" t="s">
        <v>120</v>
      </c>
      <c r="D9" s="261"/>
      <c r="E9" s="261"/>
      <c r="F9" s="261"/>
      <c r="G9" s="261"/>
      <c r="H9" s="261"/>
      <c r="I9" s="262"/>
      <c r="J9" s="4"/>
      <c r="K9" s="4"/>
      <c r="L9" s="4"/>
      <c r="M9" s="4"/>
      <c r="N9" s="4"/>
      <c r="O9" s="4"/>
    </row>
    <row r="10" spans="3:15" ht="15" customHeight="1" x14ac:dyDescent="0.45">
      <c r="C10" s="263"/>
      <c r="D10" s="271"/>
      <c r="E10" s="271"/>
      <c r="F10" s="271"/>
      <c r="G10" s="271"/>
      <c r="H10" s="271"/>
      <c r="I10" s="265"/>
      <c r="J10" s="4"/>
      <c r="K10" s="4"/>
      <c r="L10" s="4"/>
      <c r="M10" s="4"/>
      <c r="N10" s="4"/>
      <c r="O10" s="4"/>
    </row>
    <row r="11" spans="3:15" ht="15" customHeight="1" x14ac:dyDescent="0.45"/>
    <row r="12" spans="3:15" x14ac:dyDescent="0.45">
      <c r="C12" s="149" t="s">
        <v>30</v>
      </c>
      <c r="E12" s="269" t="s">
        <v>129</v>
      </c>
      <c r="F12" s="269"/>
      <c r="G12" s="269"/>
      <c r="H12" s="269"/>
      <c r="I12" s="269"/>
      <c r="J12" s="269"/>
      <c r="K12" s="269"/>
      <c r="L12" s="269"/>
      <c r="N12" s="270" t="s">
        <v>20</v>
      </c>
      <c r="O12" s="270"/>
    </row>
    <row r="13" spans="3:15" x14ac:dyDescent="0.45">
      <c r="C13" s="1"/>
    </row>
    <row r="14" spans="3:15" ht="14.65" thickBot="1" x14ac:dyDescent="0.5">
      <c r="C14" s="152" t="s">
        <v>10</v>
      </c>
      <c r="E14" s="163" t="s">
        <v>11</v>
      </c>
      <c r="F14" s="163" t="s">
        <v>2</v>
      </c>
      <c r="G14" s="163" t="s">
        <v>5</v>
      </c>
      <c r="H14" s="163" t="s">
        <v>12</v>
      </c>
      <c r="I14" s="163" t="s">
        <v>13</v>
      </c>
      <c r="J14" s="163" t="s">
        <v>135</v>
      </c>
      <c r="K14" s="163" t="s">
        <v>15</v>
      </c>
      <c r="L14" s="168" t="s">
        <v>136</v>
      </c>
      <c r="N14" s="6" t="s">
        <v>19</v>
      </c>
      <c r="O14" s="7" t="s">
        <v>18</v>
      </c>
    </row>
    <row r="15" spans="3:15" ht="22.5" customHeight="1" thickTop="1" x14ac:dyDescent="0.45">
      <c r="C15" s="35" t="s">
        <v>251</v>
      </c>
      <c r="E15" s="28" t="s">
        <v>154</v>
      </c>
      <c r="F15" s="29" t="str">
        <f t="shared" ref="F15:F28" si="0">IF(C15="","",Scope)</f>
        <v>rs-test</v>
      </c>
      <c r="G15" s="29" t="str">
        <f>IF(C15="","",C15)</f>
        <v>rs-instrument-prop3</v>
      </c>
      <c r="H15" s="29" t="str">
        <f>IF(C15="","", "TRUE")</f>
        <v>TRUE</v>
      </c>
      <c r="I15" s="29" t="str">
        <f>IF(C15="","",C15)</f>
        <v>rs-instrument-prop3</v>
      </c>
      <c r="J15" s="30" t="str">
        <f>IF(C15="","","default:string")</f>
        <v>default:string</v>
      </c>
      <c r="K15" s="31" t="s">
        <v>250</v>
      </c>
      <c r="L15" s="209"/>
      <c r="N15" s="37" t="s">
        <v>19</v>
      </c>
      <c r="O15" s="207" t="s">
        <v>252</v>
      </c>
    </row>
    <row r="16" spans="3:15" x14ac:dyDescent="0.45">
      <c r="C16" s="35"/>
      <c r="E16" s="28"/>
      <c r="F16" s="29" t="str">
        <f>IF(C16="","",Scope)</f>
        <v/>
      </c>
      <c r="G16" s="29" t="str">
        <f>IF(C16="","",C16)</f>
        <v/>
      </c>
      <c r="H16" s="29" t="str">
        <f>IF(C16="","", "TRUE")</f>
        <v/>
      </c>
      <c r="I16" s="29" t="str">
        <f>IF(C16="","",C16)</f>
        <v/>
      </c>
      <c r="J16" s="30" t="str">
        <f>IF(C16="","","default:string")</f>
        <v/>
      </c>
      <c r="K16" s="29" t="str">
        <f>IF(C16="","","asc")</f>
        <v/>
      </c>
      <c r="L16" s="31" t="str">
        <f>IF(C16="","","Perpetual")</f>
        <v/>
      </c>
      <c r="N16" s="37"/>
      <c r="O16" s="207"/>
    </row>
    <row r="17" spans="3:18" x14ac:dyDescent="0.45">
      <c r="C17" s="35"/>
      <c r="E17" s="28"/>
      <c r="F17" s="29" t="str">
        <f>IF(C17="","",Scope)</f>
        <v/>
      </c>
      <c r="G17" s="29" t="str">
        <f>IF(C17="","",C17)</f>
        <v/>
      </c>
      <c r="H17" s="29" t="str">
        <f>IF(C17="","", "TRUE")</f>
        <v/>
      </c>
      <c r="I17" s="29" t="str">
        <f>IF(C17="","",C17)</f>
        <v/>
      </c>
      <c r="J17" s="30" t="str">
        <f>IF(C17="","","default:string")</f>
        <v/>
      </c>
      <c r="K17" s="29" t="str">
        <f>IF(C17="","","asc")</f>
        <v/>
      </c>
      <c r="L17" s="31" t="str">
        <f>IF(C17="","","Perpetual")</f>
        <v/>
      </c>
      <c r="N17" s="37"/>
      <c r="O17" s="208"/>
    </row>
    <row r="18" spans="3:18" x14ac:dyDescent="0.45">
      <c r="C18" s="35"/>
      <c r="E18" s="28"/>
      <c r="F18" s="29" t="str">
        <f t="shared" si="0"/>
        <v/>
      </c>
      <c r="G18" s="29" t="str">
        <f>IF(C18="","",C18)</f>
        <v/>
      </c>
      <c r="H18" s="29" t="str">
        <f>IF(C18="","", "TRUE")</f>
        <v/>
      </c>
      <c r="I18" s="29" t="str">
        <f>IF(C18="","",C18)</f>
        <v/>
      </c>
      <c r="J18" s="30" t="str">
        <f>IF(C18="","","default:string")</f>
        <v/>
      </c>
      <c r="K18" s="29" t="str">
        <f t="shared" ref="K18:K27" si="1">IF(C18="","","asc")</f>
        <v/>
      </c>
      <c r="L18" s="31" t="str">
        <f t="shared" ref="L18:L27" si="2">IF(C18="","","Perpetual")</f>
        <v/>
      </c>
      <c r="N18" s="39"/>
      <c r="O18" s="208"/>
    </row>
    <row r="19" spans="3:18" x14ac:dyDescent="0.45">
      <c r="C19" s="35"/>
      <c r="E19" s="28"/>
      <c r="F19" s="29" t="str">
        <f t="shared" si="0"/>
        <v/>
      </c>
      <c r="G19" s="29" t="str">
        <f>IF(C19="","",C19)</f>
        <v/>
      </c>
      <c r="H19" s="29" t="str">
        <f>IF(C19="","", "TRUE")</f>
        <v/>
      </c>
      <c r="I19" s="29" t="str">
        <f>IF(C19="","",C19)</f>
        <v/>
      </c>
      <c r="J19" s="30" t="str">
        <f>IF(C19="","","default:string")</f>
        <v/>
      </c>
      <c r="K19" s="29" t="str">
        <f t="shared" si="1"/>
        <v/>
      </c>
      <c r="L19" s="31" t="str">
        <f>IF(C19="","","Perpetual")</f>
        <v/>
      </c>
      <c r="N19" s="37"/>
      <c r="O19" s="208"/>
    </row>
    <row r="20" spans="3:18" x14ac:dyDescent="0.45">
      <c r="C20" s="35"/>
      <c r="E20" s="28"/>
      <c r="F20" s="29" t="str">
        <f t="shared" si="0"/>
        <v/>
      </c>
      <c r="G20" s="29" t="str">
        <f t="shared" ref="G20:G27" si="3">IF(C20="","",C20)</f>
        <v/>
      </c>
      <c r="H20" s="29" t="str">
        <f t="shared" ref="H20:H27" si="4">IF(C20="","", "TRUE")</f>
        <v/>
      </c>
      <c r="I20" s="29" t="str">
        <f t="shared" ref="I20:I27" si="5">IF(C20="","",C20)</f>
        <v/>
      </c>
      <c r="J20" s="30" t="str">
        <f t="shared" ref="J20:J27" si="6">IF(C20="","","default:string")</f>
        <v/>
      </c>
      <c r="K20" s="29" t="str">
        <f t="shared" si="1"/>
        <v/>
      </c>
      <c r="L20" s="31" t="str">
        <f t="shared" si="2"/>
        <v/>
      </c>
      <c r="N20" s="37"/>
      <c r="O20" s="207"/>
    </row>
    <row r="21" spans="3:18" x14ac:dyDescent="0.45">
      <c r="C21" s="35"/>
      <c r="E21" s="28"/>
      <c r="F21" s="29" t="str">
        <f t="shared" si="0"/>
        <v/>
      </c>
      <c r="G21" s="29" t="str">
        <f t="shared" si="3"/>
        <v/>
      </c>
      <c r="H21" s="29" t="str">
        <f t="shared" si="4"/>
        <v/>
      </c>
      <c r="I21" s="29" t="str">
        <f t="shared" si="5"/>
        <v/>
      </c>
      <c r="J21" s="30" t="str">
        <f t="shared" si="6"/>
        <v/>
      </c>
      <c r="K21" s="29" t="str">
        <f t="shared" si="1"/>
        <v/>
      </c>
      <c r="L21" s="31" t="str">
        <f t="shared" si="2"/>
        <v/>
      </c>
      <c r="N21" s="37"/>
      <c r="O21" s="208"/>
    </row>
    <row r="22" spans="3:18" x14ac:dyDescent="0.45">
      <c r="C22" s="35"/>
      <c r="E22" s="28"/>
      <c r="F22" s="29" t="str">
        <f t="shared" si="0"/>
        <v/>
      </c>
      <c r="G22" s="29" t="str">
        <f t="shared" si="3"/>
        <v/>
      </c>
      <c r="H22" s="29" t="str">
        <f t="shared" si="4"/>
        <v/>
      </c>
      <c r="I22" s="29" t="str">
        <f t="shared" si="5"/>
        <v/>
      </c>
      <c r="J22" s="30" t="str">
        <f t="shared" si="6"/>
        <v/>
      </c>
      <c r="K22" s="29" t="str">
        <f t="shared" si="1"/>
        <v/>
      </c>
      <c r="L22" s="31" t="str">
        <f t="shared" si="2"/>
        <v/>
      </c>
      <c r="N22" s="37"/>
      <c r="O22" s="208"/>
    </row>
    <row r="23" spans="3:18" x14ac:dyDescent="0.45">
      <c r="C23" s="35"/>
      <c r="E23" s="28"/>
      <c r="F23" s="29" t="str">
        <f t="shared" si="0"/>
        <v/>
      </c>
      <c r="G23" s="29" t="str">
        <f t="shared" si="3"/>
        <v/>
      </c>
      <c r="H23" s="29" t="str">
        <f t="shared" si="4"/>
        <v/>
      </c>
      <c r="I23" s="29" t="str">
        <f t="shared" si="5"/>
        <v/>
      </c>
      <c r="J23" s="30" t="str">
        <f t="shared" si="6"/>
        <v/>
      </c>
      <c r="K23" s="29" t="str">
        <f t="shared" si="1"/>
        <v/>
      </c>
      <c r="L23" s="31" t="str">
        <f t="shared" si="2"/>
        <v/>
      </c>
      <c r="N23" s="37"/>
      <c r="O23" s="208"/>
    </row>
    <row r="24" spans="3:18" x14ac:dyDescent="0.45">
      <c r="C24" s="35"/>
      <c r="E24" s="28"/>
      <c r="F24" s="29" t="str">
        <f t="shared" si="0"/>
        <v/>
      </c>
      <c r="G24" s="29" t="str">
        <f t="shared" si="3"/>
        <v/>
      </c>
      <c r="H24" s="29" t="str">
        <f t="shared" si="4"/>
        <v/>
      </c>
      <c r="I24" s="29" t="str">
        <f t="shared" si="5"/>
        <v/>
      </c>
      <c r="J24" s="30" t="str">
        <f t="shared" si="6"/>
        <v/>
      </c>
      <c r="K24" s="29" t="str">
        <f t="shared" si="1"/>
        <v/>
      </c>
      <c r="L24" s="31" t="str">
        <f t="shared" si="2"/>
        <v/>
      </c>
      <c r="N24" s="37"/>
      <c r="O24" s="208"/>
    </row>
    <row r="25" spans="3:18" x14ac:dyDescent="0.45">
      <c r="C25" s="35"/>
      <c r="E25" s="28"/>
      <c r="F25" s="29" t="str">
        <f t="shared" si="0"/>
        <v/>
      </c>
      <c r="G25" s="29" t="str">
        <f t="shared" si="3"/>
        <v/>
      </c>
      <c r="H25" s="29" t="str">
        <f t="shared" si="4"/>
        <v/>
      </c>
      <c r="I25" s="29" t="str">
        <f t="shared" si="5"/>
        <v/>
      </c>
      <c r="J25" s="30" t="str">
        <f t="shared" si="6"/>
        <v/>
      </c>
      <c r="K25" s="29" t="str">
        <f t="shared" si="1"/>
        <v/>
      </c>
      <c r="L25" s="31" t="str">
        <f t="shared" si="2"/>
        <v/>
      </c>
      <c r="N25" s="37"/>
      <c r="O25" s="208"/>
    </row>
    <row r="26" spans="3:18" x14ac:dyDescent="0.45">
      <c r="C26" s="35"/>
      <c r="E26" s="28"/>
      <c r="F26" s="29" t="str">
        <f t="shared" si="0"/>
        <v/>
      </c>
      <c r="G26" s="29" t="str">
        <f t="shared" si="3"/>
        <v/>
      </c>
      <c r="H26" s="29" t="str">
        <f t="shared" si="4"/>
        <v/>
      </c>
      <c r="I26" s="29" t="str">
        <f t="shared" si="5"/>
        <v/>
      </c>
      <c r="J26" s="30" t="str">
        <f t="shared" si="6"/>
        <v/>
      </c>
      <c r="K26" s="29" t="str">
        <f t="shared" si="1"/>
        <v/>
      </c>
      <c r="L26" s="31" t="str">
        <f t="shared" si="2"/>
        <v/>
      </c>
      <c r="N26" s="37"/>
      <c r="O26" s="208"/>
      <c r="Q26" s="267" t="s">
        <v>22</v>
      </c>
      <c r="R26" s="267"/>
    </row>
    <row r="27" spans="3:18" x14ac:dyDescent="0.45">
      <c r="C27" s="35"/>
      <c r="E27" s="28"/>
      <c r="F27" s="29" t="str">
        <f t="shared" si="0"/>
        <v/>
      </c>
      <c r="G27" s="29" t="str">
        <f t="shared" si="3"/>
        <v/>
      </c>
      <c r="H27" s="29" t="str">
        <f t="shared" si="4"/>
        <v/>
      </c>
      <c r="I27" s="29" t="str">
        <f t="shared" si="5"/>
        <v/>
      </c>
      <c r="J27" s="30" t="str">
        <f t="shared" si="6"/>
        <v/>
      </c>
      <c r="K27" s="29" t="str">
        <f t="shared" si="1"/>
        <v/>
      </c>
      <c r="L27" s="31" t="str">
        <f t="shared" si="2"/>
        <v/>
      </c>
      <c r="N27" s="37"/>
      <c r="O27" s="208"/>
      <c r="Q27" s="267"/>
      <c r="R27" s="267"/>
    </row>
    <row r="28" spans="3:18" x14ac:dyDescent="0.45">
      <c r="C28" s="35"/>
      <c r="E28" s="28"/>
      <c r="F28" s="29" t="str">
        <f t="shared" si="0"/>
        <v/>
      </c>
      <c r="G28" s="29" t="str">
        <f t="shared" ref="G28:G42" si="7">IF(C28="","",C28)</f>
        <v/>
      </c>
      <c r="H28" s="29" t="str">
        <f t="shared" ref="H28:H42" si="8">IF(C28="","", "TRUE")</f>
        <v/>
      </c>
      <c r="I28" s="29" t="str">
        <f t="shared" ref="I28:I42" si="9">IF(C28="","",C28)</f>
        <v/>
      </c>
      <c r="J28" s="30" t="str">
        <f t="shared" ref="J28:J42" si="10">IF(C28="","","default:string")</f>
        <v/>
      </c>
      <c r="K28" s="29" t="str">
        <f t="shared" ref="K28:K42" si="11">IF(C28="","","asc")</f>
        <v/>
      </c>
      <c r="L28" s="31" t="str">
        <f t="shared" ref="L28:L42" si="12">IF(C28="","","Perpetual")</f>
        <v/>
      </c>
      <c r="N28" s="37"/>
      <c r="O28" s="208"/>
      <c r="Q28" s="267"/>
      <c r="R28" s="267"/>
    </row>
    <row r="29" spans="3:18" x14ac:dyDescent="0.45">
      <c r="C29" s="35"/>
      <c r="E29" s="28"/>
      <c r="F29" s="29"/>
      <c r="G29" s="29" t="str">
        <f t="shared" si="7"/>
        <v/>
      </c>
      <c r="H29" s="29" t="str">
        <f t="shared" si="8"/>
        <v/>
      </c>
      <c r="I29" s="29" t="str">
        <f t="shared" si="9"/>
        <v/>
      </c>
      <c r="J29" s="30" t="str">
        <f t="shared" si="10"/>
        <v/>
      </c>
      <c r="K29" s="29" t="str">
        <f t="shared" si="11"/>
        <v/>
      </c>
      <c r="L29" s="31" t="str">
        <f t="shared" si="12"/>
        <v/>
      </c>
      <c r="N29" s="37"/>
      <c r="O29" s="38"/>
      <c r="Q29" s="267"/>
      <c r="R29" s="267"/>
    </row>
    <row r="30" spans="3:18" x14ac:dyDescent="0.45">
      <c r="C30" s="35"/>
      <c r="E30" s="28"/>
      <c r="F30" s="29"/>
      <c r="G30" s="29" t="str">
        <f t="shared" si="7"/>
        <v/>
      </c>
      <c r="H30" s="29" t="str">
        <f t="shared" si="8"/>
        <v/>
      </c>
      <c r="I30" s="29" t="str">
        <f t="shared" si="9"/>
        <v/>
      </c>
      <c r="J30" s="30" t="str">
        <f t="shared" si="10"/>
        <v/>
      </c>
      <c r="K30" s="29" t="str">
        <f t="shared" si="11"/>
        <v/>
      </c>
      <c r="L30" s="31" t="str">
        <f t="shared" si="12"/>
        <v/>
      </c>
      <c r="N30" s="37"/>
      <c r="O30" s="38"/>
    </row>
    <row r="31" spans="3:18" x14ac:dyDescent="0.45">
      <c r="C31" s="35"/>
      <c r="E31" s="28"/>
      <c r="F31" s="29"/>
      <c r="G31" s="29" t="str">
        <f t="shared" si="7"/>
        <v/>
      </c>
      <c r="H31" s="29" t="str">
        <f t="shared" si="8"/>
        <v/>
      </c>
      <c r="I31" s="29" t="str">
        <f t="shared" si="9"/>
        <v/>
      </c>
      <c r="J31" s="30" t="str">
        <f t="shared" si="10"/>
        <v/>
      </c>
      <c r="K31" s="29" t="str">
        <f t="shared" si="11"/>
        <v/>
      </c>
      <c r="L31" s="31" t="str">
        <f t="shared" si="12"/>
        <v/>
      </c>
      <c r="N31" s="37"/>
      <c r="O31" s="38"/>
    </row>
    <row r="32" spans="3:18" x14ac:dyDescent="0.45">
      <c r="C32" s="35"/>
      <c r="E32" s="28"/>
      <c r="F32" s="29"/>
      <c r="G32" s="29" t="str">
        <f t="shared" si="7"/>
        <v/>
      </c>
      <c r="H32" s="29" t="str">
        <f t="shared" si="8"/>
        <v/>
      </c>
      <c r="I32" s="29" t="str">
        <f t="shared" si="9"/>
        <v/>
      </c>
      <c r="J32" s="30" t="str">
        <f t="shared" si="10"/>
        <v/>
      </c>
      <c r="K32" s="29" t="str">
        <f t="shared" si="11"/>
        <v/>
      </c>
      <c r="L32" s="31" t="str">
        <f t="shared" si="12"/>
        <v/>
      </c>
      <c r="N32" s="37"/>
      <c r="O32" s="38"/>
      <c r="Q32" s="1"/>
      <c r="R32" s="1"/>
    </row>
    <row r="33" spans="3:18" x14ac:dyDescent="0.45">
      <c r="C33" s="35"/>
      <c r="E33" s="28"/>
      <c r="F33" s="29"/>
      <c r="G33" s="29" t="str">
        <f t="shared" si="7"/>
        <v/>
      </c>
      <c r="H33" s="29" t="str">
        <f t="shared" si="8"/>
        <v/>
      </c>
      <c r="I33" s="29" t="str">
        <f t="shared" si="9"/>
        <v/>
      </c>
      <c r="J33" s="30" t="str">
        <f t="shared" si="10"/>
        <v/>
      </c>
      <c r="K33" s="29" t="str">
        <f t="shared" si="11"/>
        <v/>
      </c>
      <c r="L33" s="31" t="str">
        <f t="shared" si="12"/>
        <v/>
      </c>
      <c r="N33" s="37"/>
      <c r="O33" s="38"/>
      <c r="Q33" s="1"/>
      <c r="R33" s="1"/>
    </row>
    <row r="34" spans="3:18" x14ac:dyDescent="0.45">
      <c r="C34" s="35"/>
      <c r="E34" s="28"/>
      <c r="F34" s="29"/>
      <c r="G34" s="29" t="str">
        <f t="shared" si="7"/>
        <v/>
      </c>
      <c r="H34" s="29" t="str">
        <f t="shared" si="8"/>
        <v/>
      </c>
      <c r="I34" s="29" t="str">
        <f t="shared" si="9"/>
        <v/>
      </c>
      <c r="J34" s="30" t="str">
        <f t="shared" si="10"/>
        <v/>
      </c>
      <c r="K34" s="29" t="str">
        <f t="shared" si="11"/>
        <v/>
      </c>
      <c r="L34" s="31" t="str">
        <f t="shared" si="12"/>
        <v/>
      </c>
      <c r="N34" s="37"/>
      <c r="O34" s="38"/>
      <c r="Q34" s="1"/>
      <c r="R34" s="1"/>
    </row>
    <row r="35" spans="3:18" x14ac:dyDescent="0.45">
      <c r="C35" s="35"/>
      <c r="E35" s="28"/>
      <c r="F35" s="29"/>
      <c r="G35" s="29" t="str">
        <f t="shared" si="7"/>
        <v/>
      </c>
      <c r="H35" s="29" t="str">
        <f t="shared" si="8"/>
        <v/>
      </c>
      <c r="I35" s="29" t="str">
        <f t="shared" si="9"/>
        <v/>
      </c>
      <c r="J35" s="30" t="str">
        <f t="shared" si="10"/>
        <v/>
      </c>
      <c r="K35" s="29" t="str">
        <f t="shared" si="11"/>
        <v/>
      </c>
      <c r="L35" s="31" t="str">
        <f t="shared" si="12"/>
        <v/>
      </c>
      <c r="N35" s="37"/>
      <c r="O35" s="38"/>
    </row>
    <row r="36" spans="3:18" x14ac:dyDescent="0.45">
      <c r="C36" s="35"/>
      <c r="E36" s="28"/>
      <c r="F36" s="29"/>
      <c r="G36" s="29" t="str">
        <f t="shared" si="7"/>
        <v/>
      </c>
      <c r="H36" s="29" t="str">
        <f t="shared" si="8"/>
        <v/>
      </c>
      <c r="I36" s="29" t="str">
        <f t="shared" si="9"/>
        <v/>
      </c>
      <c r="J36" s="30" t="str">
        <f t="shared" si="10"/>
        <v/>
      </c>
      <c r="K36" s="29" t="str">
        <f t="shared" si="11"/>
        <v/>
      </c>
      <c r="L36" s="31" t="str">
        <f t="shared" si="12"/>
        <v/>
      </c>
      <c r="N36" s="37"/>
      <c r="O36" s="38"/>
    </row>
    <row r="37" spans="3:18" x14ac:dyDescent="0.45">
      <c r="C37" s="35"/>
      <c r="E37" s="28"/>
      <c r="F37" s="29"/>
      <c r="G37" s="29" t="str">
        <f t="shared" si="7"/>
        <v/>
      </c>
      <c r="H37" s="29" t="str">
        <f t="shared" si="8"/>
        <v/>
      </c>
      <c r="I37" s="29" t="str">
        <f t="shared" si="9"/>
        <v/>
      </c>
      <c r="J37" s="30" t="str">
        <f t="shared" si="10"/>
        <v/>
      </c>
      <c r="K37" s="29" t="str">
        <f t="shared" si="11"/>
        <v/>
      </c>
      <c r="L37" s="31" t="str">
        <f t="shared" si="12"/>
        <v/>
      </c>
      <c r="N37" s="37"/>
      <c r="O37" s="38"/>
    </row>
    <row r="38" spans="3:18" x14ac:dyDescent="0.45">
      <c r="C38" s="35"/>
      <c r="E38" s="28"/>
      <c r="F38" s="29"/>
      <c r="G38" s="29" t="str">
        <f t="shared" si="7"/>
        <v/>
      </c>
      <c r="H38" s="29" t="str">
        <f t="shared" si="8"/>
        <v/>
      </c>
      <c r="I38" s="29" t="str">
        <f t="shared" si="9"/>
        <v/>
      </c>
      <c r="J38" s="30" t="str">
        <f t="shared" si="10"/>
        <v/>
      </c>
      <c r="K38" s="29" t="str">
        <f t="shared" si="11"/>
        <v/>
      </c>
      <c r="L38" s="31" t="str">
        <f t="shared" si="12"/>
        <v/>
      </c>
      <c r="N38" s="37"/>
      <c r="O38" s="38"/>
    </row>
    <row r="39" spans="3:18" x14ac:dyDescent="0.45">
      <c r="C39" s="35"/>
      <c r="E39" s="28"/>
      <c r="F39" s="29"/>
      <c r="G39" s="29" t="str">
        <f t="shared" si="7"/>
        <v/>
      </c>
      <c r="H39" s="29" t="str">
        <f t="shared" si="8"/>
        <v/>
      </c>
      <c r="I39" s="29" t="str">
        <f t="shared" si="9"/>
        <v/>
      </c>
      <c r="J39" s="30" t="str">
        <f t="shared" si="10"/>
        <v/>
      </c>
      <c r="K39" s="29" t="str">
        <f t="shared" si="11"/>
        <v/>
      </c>
      <c r="L39" s="31" t="str">
        <f t="shared" si="12"/>
        <v/>
      </c>
      <c r="N39" s="37"/>
      <c r="O39" s="38"/>
    </row>
    <row r="40" spans="3:18" x14ac:dyDescent="0.45">
      <c r="C40" s="35"/>
      <c r="E40" s="28"/>
      <c r="F40" s="29"/>
      <c r="G40" s="29" t="str">
        <f t="shared" si="7"/>
        <v/>
      </c>
      <c r="H40" s="29" t="str">
        <f t="shared" si="8"/>
        <v/>
      </c>
      <c r="I40" s="29" t="str">
        <f t="shared" si="9"/>
        <v/>
      </c>
      <c r="J40" s="30" t="str">
        <f t="shared" si="10"/>
        <v/>
      </c>
      <c r="K40" s="29" t="str">
        <f t="shared" si="11"/>
        <v/>
      </c>
      <c r="L40" s="31" t="str">
        <f t="shared" si="12"/>
        <v/>
      </c>
      <c r="N40" s="37"/>
      <c r="O40" s="38"/>
    </row>
    <row r="41" spans="3:18" x14ac:dyDescent="0.45">
      <c r="C41" s="35"/>
      <c r="E41" s="28"/>
      <c r="F41" s="29"/>
      <c r="G41" s="29" t="str">
        <f t="shared" si="7"/>
        <v/>
      </c>
      <c r="H41" s="29" t="str">
        <f t="shared" si="8"/>
        <v/>
      </c>
      <c r="I41" s="29" t="str">
        <f t="shared" si="9"/>
        <v/>
      </c>
      <c r="J41" s="30" t="str">
        <f t="shared" si="10"/>
        <v/>
      </c>
      <c r="K41" s="29" t="str">
        <f t="shared" si="11"/>
        <v/>
      </c>
      <c r="L41" s="31" t="str">
        <f t="shared" si="12"/>
        <v/>
      </c>
      <c r="N41" s="37"/>
      <c r="O41" s="38"/>
    </row>
    <row r="42" spans="3:18" x14ac:dyDescent="0.45">
      <c r="C42" s="35"/>
      <c r="E42" s="28"/>
      <c r="F42" s="29"/>
      <c r="G42" s="29" t="str">
        <f t="shared" si="7"/>
        <v/>
      </c>
      <c r="H42" s="29" t="str">
        <f t="shared" si="8"/>
        <v/>
      </c>
      <c r="I42" s="29" t="str">
        <f t="shared" si="9"/>
        <v/>
      </c>
      <c r="J42" s="30" t="str">
        <f t="shared" si="10"/>
        <v/>
      </c>
      <c r="K42" s="29" t="str">
        <f t="shared" si="11"/>
        <v/>
      </c>
      <c r="L42" s="31" t="str">
        <f t="shared" si="12"/>
        <v/>
      </c>
      <c r="N42" s="37"/>
      <c r="O42" s="38"/>
    </row>
    <row r="43" spans="3:18" x14ac:dyDescent="0.45">
      <c r="C43" s="36"/>
      <c r="E43" s="28"/>
      <c r="F43" s="32"/>
      <c r="G43" s="32" t="str">
        <f>IF(C43="","",C43)</f>
        <v/>
      </c>
      <c r="H43" s="32" t="str">
        <f>IF(C43="","", "TRUE")</f>
        <v/>
      </c>
      <c r="I43" s="32" t="str">
        <f>IF(C43="","",C43)</f>
        <v/>
      </c>
      <c r="J43" s="33" t="str">
        <f>IF(C43="","","default:string")</f>
        <v/>
      </c>
      <c r="K43" s="32" t="str">
        <f>IF(C43="","","asc")</f>
        <v/>
      </c>
      <c r="L43" s="34" t="str">
        <f>IF(C43="","","Perpetual")</f>
        <v/>
      </c>
      <c r="N43" s="40"/>
      <c r="O43" s="41"/>
    </row>
    <row r="45" spans="3:18" ht="15" customHeight="1" x14ac:dyDescent="0.45">
      <c r="C45" s="223" t="s">
        <v>21</v>
      </c>
      <c r="D45" s="224"/>
      <c r="E45" s="224"/>
      <c r="F45" s="224"/>
      <c r="G45" s="224"/>
      <c r="H45" s="224"/>
      <c r="I45" s="224"/>
      <c r="J45" s="224"/>
      <c r="K45" s="224"/>
      <c r="L45" s="224"/>
      <c r="M45" s="224"/>
      <c r="N45" s="224"/>
      <c r="O45" s="225"/>
    </row>
    <row r="46" spans="3:18" x14ac:dyDescent="0.45">
      <c r="C46" s="232"/>
      <c r="D46" s="233"/>
      <c r="E46" s="233"/>
      <c r="F46" s="233"/>
      <c r="G46" s="233"/>
      <c r="H46" s="233"/>
      <c r="I46" s="233"/>
      <c r="J46" s="233"/>
      <c r="K46" s="233"/>
      <c r="L46" s="233"/>
      <c r="M46" s="233"/>
      <c r="N46" s="233"/>
      <c r="O46" s="234"/>
    </row>
    <row r="47" spans="3:18" x14ac:dyDescent="0.45">
      <c r="C47" s="232"/>
      <c r="D47" s="233"/>
      <c r="E47" s="233"/>
      <c r="F47" s="233"/>
      <c r="G47" s="233"/>
      <c r="H47" s="233"/>
      <c r="I47" s="233"/>
      <c r="J47" s="233"/>
      <c r="K47" s="233"/>
      <c r="L47" s="233"/>
      <c r="M47" s="233"/>
      <c r="N47" s="233"/>
      <c r="O47" s="234"/>
    </row>
    <row r="48" spans="3:18" x14ac:dyDescent="0.45">
      <c r="C48" s="232"/>
      <c r="D48" s="233"/>
      <c r="E48" s="233"/>
      <c r="F48" s="233"/>
      <c r="G48" s="233"/>
      <c r="H48" s="233"/>
      <c r="I48" s="233"/>
      <c r="J48" s="233"/>
      <c r="K48" s="233"/>
      <c r="L48" s="233"/>
      <c r="M48" s="233"/>
      <c r="N48" s="233"/>
      <c r="O48" s="234"/>
    </row>
    <row r="49" spans="3:15" x14ac:dyDescent="0.45">
      <c r="C49" s="226"/>
      <c r="D49" s="227"/>
      <c r="E49" s="227"/>
      <c r="F49" s="227"/>
      <c r="G49" s="227"/>
      <c r="H49" s="227"/>
      <c r="I49" s="227"/>
      <c r="J49" s="227"/>
      <c r="K49" s="227"/>
      <c r="L49" s="227"/>
      <c r="M49" s="227"/>
      <c r="N49" s="227"/>
      <c r="O49" s="228"/>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L35" sqref="L35"/>
    </sheetView>
  </sheetViews>
  <sheetFormatPr defaultRowHeight="14.25" x14ac:dyDescent="0.45"/>
  <cols>
    <col min="1" max="1" width="15.3984375" customWidth="1"/>
    <col min="2" max="2" width="4.1328125" customWidth="1"/>
    <col min="3" max="3" width="31.73046875" customWidth="1"/>
    <col min="4" max="4" width="14.265625" customWidth="1"/>
    <col min="5" max="5" width="49.3984375" customWidth="1"/>
    <col min="6" max="6" width="29.1328125" customWidth="1"/>
    <col min="7" max="7" width="33.59765625" customWidth="1"/>
    <col min="8" max="8" width="26.86328125" customWidth="1"/>
    <col min="9" max="9" width="33.3984375" customWidth="1"/>
    <col min="10" max="10" width="16.73046875" customWidth="1"/>
    <col min="11" max="11" width="6" customWidth="1"/>
  </cols>
  <sheetData>
    <row r="6" spans="2:10" x14ac:dyDescent="0.45">
      <c r="H6" s="12"/>
    </row>
    <row r="7" spans="2:10" x14ac:dyDescent="0.45">
      <c r="J7" t="str">
        <f>LEFT($E14,1)</f>
        <v>I</v>
      </c>
    </row>
    <row r="9" spans="2:10" x14ac:dyDescent="0.45">
      <c r="C9" s="272" t="s">
        <v>121</v>
      </c>
      <c r="D9" s="273"/>
      <c r="E9" s="273"/>
      <c r="F9" s="274"/>
    </row>
    <row r="10" spans="2:10" x14ac:dyDescent="0.45">
      <c r="C10" s="275"/>
      <c r="D10" s="276"/>
      <c r="E10" s="276"/>
      <c r="F10" s="277"/>
    </row>
    <row r="11" spans="2:10" x14ac:dyDescent="0.45">
      <c r="C11" s="5"/>
      <c r="D11" s="5"/>
      <c r="E11" s="5"/>
      <c r="F11" s="5"/>
    </row>
    <row r="12" spans="2:10" x14ac:dyDescent="0.45">
      <c r="C12" s="278" t="s">
        <v>35</v>
      </c>
      <c r="D12" s="279"/>
      <c r="E12" s="279"/>
      <c r="F12" s="279"/>
      <c r="G12" s="279"/>
      <c r="H12" s="279"/>
      <c r="I12" s="280"/>
    </row>
    <row r="13" spans="2:10" x14ac:dyDescent="0.45">
      <c r="C13" t="str">
        <f>_xll.fbnClassificationsAdd_Template()</f>
        <v>OK</v>
      </c>
    </row>
    <row r="14" spans="2:10" ht="15.75" customHeight="1" thickBot="1" x14ac:dyDescent="0.5">
      <c r="B14" s="2"/>
      <c r="C14" s="62" t="s">
        <v>8</v>
      </c>
      <c r="D14" s="105" t="s">
        <v>115</v>
      </c>
      <c r="E14" s="106" t="str">
        <f t="array" ref="E14:I14">TRANSPOSE(IF(ClassificationKeys="","",ClassificationKeys))</f>
        <v>Instrument/rs-test/rs-instrument-prop3</v>
      </c>
      <c r="F14" s="106" t="str">
        <v/>
      </c>
      <c r="G14" s="106" t="str">
        <v/>
      </c>
      <c r="H14" s="106" t="str">
        <v/>
      </c>
      <c r="I14" s="107" t="str">
        <v/>
      </c>
      <c r="J14" s="165"/>
    </row>
    <row r="15" spans="2:10" ht="14.65" thickTop="1" x14ac:dyDescent="0.45">
      <c r="B15" s="19">
        <v>1</v>
      </c>
      <c r="C15" s="80" t="str">
        <f>IF(Setup!D14=0,NA(),Setup!D14)</f>
        <v>LUID_743IR9YI</v>
      </c>
      <c r="D15" s="45">
        <f ca="1">IF(C15="","",TODAY())</f>
        <v>43526</v>
      </c>
      <c r="E15" s="82" t="s">
        <v>229</v>
      </c>
      <c r="F15" s="82"/>
      <c r="G15" s="82"/>
      <c r="H15" s="82"/>
      <c r="I15" s="108"/>
      <c r="J15" s="219" t="s">
        <v>19</v>
      </c>
    </row>
    <row r="16" spans="2:10" x14ac:dyDescent="0.45">
      <c r="B16" s="19">
        <v>2</v>
      </c>
      <c r="C16" s="80" t="str">
        <f>IF(Setup!D15=0,NA(),Setup!D15)</f>
        <v>LUID_1QFNMM7Q</v>
      </c>
      <c r="D16" s="45">
        <f t="shared" ref="D16:D36" ca="1" si="0">IF(C16="","",TODAY())</f>
        <v>43526</v>
      </c>
      <c r="E16" s="82" t="s">
        <v>230</v>
      </c>
      <c r="F16" s="82"/>
      <c r="G16" s="82"/>
      <c r="H16" s="82"/>
      <c r="I16" s="108"/>
      <c r="J16" s="38"/>
    </row>
    <row r="17" spans="2:13" x14ac:dyDescent="0.45">
      <c r="B17" s="19">
        <v>3</v>
      </c>
      <c r="C17" s="80" t="str">
        <f>IF(Setup!D16=0,NA(),Setup!D16)</f>
        <v>LUID_BTD8TCBY</v>
      </c>
      <c r="D17" s="45">
        <f t="shared" ca="1" si="0"/>
        <v>43526</v>
      </c>
      <c r="E17" s="82" t="s">
        <v>231</v>
      </c>
      <c r="F17" s="82"/>
      <c r="G17" s="82"/>
      <c r="H17" s="82"/>
      <c r="I17" s="108"/>
      <c r="J17" s="38"/>
    </row>
    <row r="18" spans="2:13" x14ac:dyDescent="0.45">
      <c r="B18" s="19">
        <v>4</v>
      </c>
      <c r="C18" s="80" t="str">
        <f>IF(Setup!D17=0,NA(),Setup!D17)</f>
        <v>LUID_2NHLJ63K</v>
      </c>
      <c r="D18" s="45">
        <f t="shared" ca="1" si="0"/>
        <v>43526</v>
      </c>
      <c r="E18" s="82" t="s">
        <v>232</v>
      </c>
      <c r="F18" s="82"/>
      <c r="G18" s="82"/>
      <c r="H18" s="82"/>
      <c r="I18" s="108"/>
      <c r="J18" s="38"/>
    </row>
    <row r="19" spans="2:13" x14ac:dyDescent="0.45">
      <c r="B19" s="19">
        <v>5</v>
      </c>
      <c r="C19" s="80" t="str">
        <f>IF(Setup!D18=0,NA(),Setup!D18)</f>
        <v>LUID_NFUKQ78Y</v>
      </c>
      <c r="D19" s="45">
        <f t="shared" ca="1" si="0"/>
        <v>43526</v>
      </c>
      <c r="E19" s="82" t="s">
        <v>233</v>
      </c>
      <c r="F19" s="82"/>
      <c r="G19" s="82"/>
      <c r="H19" s="82"/>
      <c r="I19" s="108"/>
      <c r="J19" s="38"/>
    </row>
    <row r="20" spans="2:13" x14ac:dyDescent="0.45">
      <c r="B20" s="19">
        <v>6</v>
      </c>
      <c r="C20" s="80" t="str">
        <f>IF(Setup!D19=0,NA(),Setup!D19)</f>
        <v>LUID_19063M9U</v>
      </c>
      <c r="D20" s="45">
        <f t="shared" ca="1" si="0"/>
        <v>43526</v>
      </c>
      <c r="E20" s="82" t="s">
        <v>234</v>
      </c>
      <c r="F20" s="82"/>
      <c r="G20" s="82"/>
      <c r="H20" s="82"/>
      <c r="I20" s="108"/>
      <c r="J20" s="38"/>
    </row>
    <row r="21" spans="2:13" x14ac:dyDescent="0.45">
      <c r="B21" s="19">
        <v>7</v>
      </c>
      <c r="C21" s="80" t="str">
        <f>IF(Setup!D20=0,NA(),Setup!D20)</f>
        <v>LUID_01O5RKGZ</v>
      </c>
      <c r="D21" s="45">
        <f t="shared" ca="1" si="0"/>
        <v>43526</v>
      </c>
      <c r="E21" s="82" t="s">
        <v>235</v>
      </c>
      <c r="F21" s="82"/>
      <c r="G21" s="82"/>
      <c r="H21" s="82"/>
      <c r="I21" s="108"/>
      <c r="J21" s="38"/>
    </row>
    <row r="22" spans="2:13" x14ac:dyDescent="0.45">
      <c r="B22" s="19">
        <v>8</v>
      </c>
      <c r="C22" s="80" t="str">
        <f>IF(Setup!D21=0,NA(),Setup!D21)</f>
        <v>LUID_J9339BN6</v>
      </c>
      <c r="D22" s="45">
        <f t="shared" ca="1" si="0"/>
        <v>43526</v>
      </c>
      <c r="E22" s="82" t="s">
        <v>224</v>
      </c>
      <c r="F22" s="82"/>
      <c r="G22" s="82"/>
      <c r="H22" s="82"/>
      <c r="I22" s="108"/>
      <c r="J22" s="38"/>
    </row>
    <row r="23" spans="2:13" x14ac:dyDescent="0.45">
      <c r="B23" s="19">
        <v>9</v>
      </c>
      <c r="C23" s="80" t="str">
        <f>IF(Setup!D22=0,NA(),Setup!D22)</f>
        <v>LUID_0T4ENP6U</v>
      </c>
      <c r="D23" s="45">
        <f t="shared" ca="1" si="0"/>
        <v>43526</v>
      </c>
      <c r="E23" s="82" t="s">
        <v>249</v>
      </c>
      <c r="F23" s="82"/>
      <c r="G23" s="82"/>
      <c r="H23" s="82"/>
      <c r="I23" s="108"/>
      <c r="J23" s="38"/>
    </row>
    <row r="24" spans="2:13" x14ac:dyDescent="0.45">
      <c r="B24" s="19">
        <v>10</v>
      </c>
      <c r="C24" s="80" t="str">
        <f>IF(Setup!D23=0,NA(),Setup!D23)</f>
        <v>LUID_ROYPD30O</v>
      </c>
      <c r="D24" s="45">
        <f t="shared" ca="1" si="0"/>
        <v>43526</v>
      </c>
      <c r="E24" s="82" t="s">
        <v>236</v>
      </c>
      <c r="F24" s="82"/>
      <c r="G24" s="82"/>
      <c r="H24" s="82"/>
      <c r="I24" s="108"/>
      <c r="J24" s="38"/>
    </row>
    <row r="25" spans="2:13" x14ac:dyDescent="0.45">
      <c r="B25" s="19">
        <v>11</v>
      </c>
      <c r="C25" s="80" t="str">
        <f>IF(Setup!D24=0,NA(),Setup!D24)</f>
        <v>LUID_TUHB7XTD</v>
      </c>
      <c r="D25" s="45">
        <f t="shared" ca="1" si="0"/>
        <v>43526</v>
      </c>
      <c r="E25" s="82" t="s">
        <v>237</v>
      </c>
      <c r="F25" s="82"/>
      <c r="G25" s="82"/>
      <c r="H25" s="82"/>
      <c r="I25" s="108"/>
      <c r="J25" s="38"/>
    </row>
    <row r="26" spans="2:13" x14ac:dyDescent="0.45">
      <c r="B26" s="19">
        <v>12</v>
      </c>
      <c r="C26" s="80" t="str">
        <f>IF(Setup!D25=0,NA(),Setup!D25)</f>
        <v>LUID_RW0E62PU</v>
      </c>
      <c r="D26" s="45">
        <f t="shared" ca="1" si="0"/>
        <v>43526</v>
      </c>
      <c r="E26" s="82" t="s">
        <v>238</v>
      </c>
      <c r="F26" s="82"/>
      <c r="G26" s="82"/>
      <c r="H26" s="82"/>
      <c r="I26" s="108"/>
      <c r="J26" s="38"/>
    </row>
    <row r="27" spans="2:13" x14ac:dyDescent="0.45">
      <c r="B27" s="19">
        <v>13</v>
      </c>
      <c r="C27" s="80" t="str">
        <f>IF(Setup!D26=0,NA(),Setup!D26)</f>
        <v>LUID_NSEKU1OZ</v>
      </c>
      <c r="D27" s="45">
        <f t="shared" ca="1" si="0"/>
        <v>43526</v>
      </c>
      <c r="E27" s="82" t="s">
        <v>239</v>
      </c>
      <c r="F27" s="82"/>
      <c r="G27" s="82"/>
      <c r="H27" s="82"/>
      <c r="I27" s="108"/>
      <c r="J27" s="38"/>
      <c r="L27" s="267" t="s">
        <v>23</v>
      </c>
      <c r="M27" s="267"/>
    </row>
    <row r="28" spans="2:13" x14ac:dyDescent="0.45">
      <c r="B28" s="19">
        <v>14</v>
      </c>
      <c r="C28" s="80" t="str">
        <f>IF(Setup!D27=0,NA(),Setup!D27)</f>
        <v>LUID_SPXF639U</v>
      </c>
      <c r="D28" s="45">
        <f t="shared" ca="1" si="0"/>
        <v>43526</v>
      </c>
      <c r="E28" s="82" t="s">
        <v>240</v>
      </c>
      <c r="F28" s="82"/>
      <c r="G28" s="82"/>
      <c r="H28" s="82"/>
      <c r="I28" s="108"/>
      <c r="J28" s="38"/>
      <c r="L28" s="267"/>
      <c r="M28" s="267"/>
    </row>
    <row r="29" spans="2:13" x14ac:dyDescent="0.45">
      <c r="B29" s="19">
        <v>15</v>
      </c>
      <c r="C29" s="80" t="str">
        <f>IF(Setup!D28=0,NA(),Setup!D28)</f>
        <v>LUID_AJGU6LO8</v>
      </c>
      <c r="D29" s="45">
        <f t="shared" ca="1" si="0"/>
        <v>43526</v>
      </c>
      <c r="E29" s="82" t="s">
        <v>241</v>
      </c>
      <c r="F29" s="82"/>
      <c r="G29" s="82"/>
      <c r="H29" s="82"/>
      <c r="I29" s="108"/>
      <c r="J29" s="38"/>
      <c r="L29" s="267"/>
      <c r="M29" s="267"/>
    </row>
    <row r="30" spans="2:13" x14ac:dyDescent="0.45">
      <c r="B30" s="19">
        <v>16</v>
      </c>
      <c r="C30" s="80" t="str">
        <f>IF(Setup!D29=0,NA(),Setup!D29)</f>
        <v>LUID_7MHFLQ5W</v>
      </c>
      <c r="D30" s="45">
        <f t="shared" ca="1" si="0"/>
        <v>43526</v>
      </c>
      <c r="E30" s="82" t="s">
        <v>242</v>
      </c>
      <c r="F30" s="82"/>
      <c r="G30" s="82"/>
      <c r="H30" s="82"/>
      <c r="I30" s="108"/>
      <c r="J30" s="38"/>
      <c r="L30" s="267"/>
      <c r="M30" s="267"/>
    </row>
    <row r="31" spans="2:13" x14ac:dyDescent="0.45">
      <c r="B31" s="19">
        <v>17</v>
      </c>
      <c r="C31" s="80" t="str">
        <f>IF(Setup!D30=0,NA(),Setup!D30)</f>
        <v>LUID_IGLZ5M6K</v>
      </c>
      <c r="D31" s="45">
        <f t="shared" ca="1" si="0"/>
        <v>43526</v>
      </c>
      <c r="E31" s="82" t="s">
        <v>243</v>
      </c>
      <c r="F31" s="82"/>
      <c r="G31" s="82"/>
      <c r="H31" s="82"/>
      <c r="I31" s="108"/>
      <c r="J31" s="38"/>
      <c r="L31" s="267"/>
      <c r="M31" s="267"/>
    </row>
    <row r="32" spans="2:13" x14ac:dyDescent="0.45">
      <c r="B32" s="19">
        <v>18</v>
      </c>
      <c r="C32" s="80" t="str">
        <f>IF(Setup!D31=0,NA(),Setup!D31)</f>
        <v>LUID_OE63TA2K</v>
      </c>
      <c r="D32" s="45">
        <f t="shared" ca="1" si="0"/>
        <v>43526</v>
      </c>
      <c r="E32" s="82" t="s">
        <v>244</v>
      </c>
      <c r="F32" s="82"/>
      <c r="G32" s="82"/>
      <c r="H32" s="82"/>
      <c r="I32" s="108"/>
      <c r="J32" s="38"/>
    </row>
    <row r="33" spans="2:15" x14ac:dyDescent="0.45">
      <c r="B33" s="19">
        <v>19</v>
      </c>
      <c r="C33" s="80" t="str">
        <f>IF(Setup!D32=0,NA(),Setup!D32)</f>
        <v>LUID_NJGWCWRW</v>
      </c>
      <c r="D33" s="45">
        <f t="shared" ca="1" si="0"/>
        <v>43526</v>
      </c>
      <c r="E33" s="82" t="s">
        <v>245</v>
      </c>
      <c r="F33" s="82"/>
      <c r="G33" s="82"/>
      <c r="H33" s="82"/>
      <c r="I33" s="108"/>
      <c r="J33" s="38"/>
    </row>
    <row r="34" spans="2:15" x14ac:dyDescent="0.45">
      <c r="B34" s="19">
        <v>20</v>
      </c>
      <c r="C34" s="80" t="str">
        <f>IF(Setup!D33=0,NA(),Setup!D33)</f>
        <v>LUID_SUMBZHU2</v>
      </c>
      <c r="D34" s="45">
        <f t="shared" ca="1" si="0"/>
        <v>43526</v>
      </c>
      <c r="E34" s="82" t="s">
        <v>246</v>
      </c>
      <c r="F34" s="82"/>
      <c r="G34" s="82"/>
      <c r="H34" s="82"/>
      <c r="I34" s="108"/>
      <c r="J34" s="38"/>
    </row>
    <row r="35" spans="2:15" x14ac:dyDescent="0.45">
      <c r="B35" s="19">
        <v>21</v>
      </c>
      <c r="C35" s="80" t="str">
        <f>IF(Setup!D34=0,NA(),Setup!D34)</f>
        <v>LUID_YVVC055R</v>
      </c>
      <c r="D35" s="45">
        <f t="shared" ca="1" si="0"/>
        <v>43526</v>
      </c>
      <c r="E35" s="82" t="s">
        <v>247</v>
      </c>
      <c r="F35" s="82"/>
      <c r="G35" s="82"/>
      <c r="H35" s="82"/>
      <c r="I35" s="108"/>
      <c r="J35" s="38"/>
    </row>
    <row r="36" spans="2:15" x14ac:dyDescent="0.45">
      <c r="B36" s="19">
        <v>22</v>
      </c>
      <c r="C36" s="80" t="str">
        <f>IF(Setup!D35=0,NA(),Setup!D35)</f>
        <v>LUID_SZBESFPL</v>
      </c>
      <c r="D36" s="45">
        <f t="shared" ca="1" si="0"/>
        <v>43526</v>
      </c>
      <c r="E36" s="82" t="s">
        <v>248</v>
      </c>
      <c r="F36" s="82"/>
      <c r="G36" s="82"/>
      <c r="H36" s="82"/>
      <c r="I36" s="108"/>
      <c r="J36" s="38"/>
    </row>
    <row r="37" spans="2:15" x14ac:dyDescent="0.45">
      <c r="B37" s="19">
        <v>23</v>
      </c>
      <c r="C37" s="80" t="e">
        <f>IF(Setup!D36=0,NA(),Setup!D36)</f>
        <v>#N/A</v>
      </c>
      <c r="D37" s="45" t="e">
        <f t="shared" ref="D37:D44" ca="1" si="1">IF(C37="","",TODAY())</f>
        <v>#N/A</v>
      </c>
      <c r="E37" s="82"/>
      <c r="F37" s="82"/>
      <c r="G37" s="82"/>
      <c r="H37" s="82"/>
      <c r="I37" s="108"/>
      <c r="J37" s="38"/>
    </row>
    <row r="38" spans="2:15" x14ac:dyDescent="0.45">
      <c r="B38" s="19">
        <v>24</v>
      </c>
      <c r="C38" s="80" t="e">
        <f>IF(Setup!D37=0,NA(),Setup!D37)</f>
        <v>#N/A</v>
      </c>
      <c r="D38" s="45" t="e">
        <f t="shared" ca="1" si="1"/>
        <v>#N/A</v>
      </c>
      <c r="E38" s="82"/>
      <c r="F38" s="82"/>
      <c r="G38" s="82"/>
      <c r="H38" s="82"/>
      <c r="I38" s="108"/>
      <c r="J38" s="38"/>
    </row>
    <row r="39" spans="2:15" x14ac:dyDescent="0.45">
      <c r="B39" s="19">
        <v>25</v>
      </c>
      <c r="C39" s="80" t="e">
        <f>IF(Setup!D38=0,NA(),Setup!D38)</f>
        <v>#N/A</v>
      </c>
      <c r="D39" s="45" t="e">
        <f t="shared" ca="1" si="1"/>
        <v>#N/A</v>
      </c>
      <c r="E39" s="82"/>
      <c r="F39" s="82"/>
      <c r="G39" s="82"/>
      <c r="H39" s="82"/>
      <c r="I39" s="108"/>
      <c r="J39" s="38"/>
    </row>
    <row r="40" spans="2:15" ht="15" customHeight="1" x14ac:dyDescent="0.45">
      <c r="B40" s="19">
        <v>26</v>
      </c>
      <c r="C40" s="80" t="e">
        <f>IF(Setup!D39=0,NA(),Setup!D39)</f>
        <v>#N/A</v>
      </c>
      <c r="D40" s="45" t="e">
        <f ca="1">IF(C40="","",TODAY())</f>
        <v>#N/A</v>
      </c>
      <c r="E40" s="82"/>
      <c r="F40" s="82"/>
      <c r="G40" s="82"/>
      <c r="H40" s="82"/>
      <c r="I40" s="108"/>
      <c r="J40" s="38"/>
    </row>
    <row r="41" spans="2:15" x14ac:dyDescent="0.45">
      <c r="B41" s="19">
        <v>27</v>
      </c>
      <c r="C41" s="80" t="e">
        <f>IF(Setup!D40=0,NA(),Setup!D40)</f>
        <v>#N/A</v>
      </c>
      <c r="D41" s="45" t="e">
        <f ca="1">IF(C41="","",TODAY())</f>
        <v>#N/A</v>
      </c>
      <c r="E41" s="82"/>
      <c r="F41" s="82"/>
      <c r="G41" s="82"/>
      <c r="H41" s="82"/>
      <c r="I41" s="108"/>
      <c r="J41" s="38"/>
    </row>
    <row r="42" spans="2:15" x14ac:dyDescent="0.45">
      <c r="B42" s="19">
        <v>28</v>
      </c>
      <c r="C42" s="80" t="e">
        <f>IF(Setup!D41=0,NA(),Setup!D41)</f>
        <v>#N/A</v>
      </c>
      <c r="D42" s="45" t="e">
        <f ca="1">IF(C42="","",TODAY())</f>
        <v>#N/A</v>
      </c>
      <c r="E42" s="82"/>
      <c r="F42" s="82"/>
      <c r="G42" s="82"/>
      <c r="H42" s="42"/>
      <c r="I42" s="43"/>
      <c r="J42" s="38"/>
    </row>
    <row r="43" spans="2:15" x14ac:dyDescent="0.45">
      <c r="B43" s="19">
        <v>29</v>
      </c>
      <c r="C43" s="80" t="e">
        <f>IF(Setup!D42=0,NA(),Setup!D42)</f>
        <v>#N/A</v>
      </c>
      <c r="D43" s="45" t="e">
        <f ca="1">IF(C43="","",TODAY())</f>
        <v>#N/A</v>
      </c>
      <c r="E43" s="82"/>
      <c r="F43" s="82"/>
      <c r="G43" s="82"/>
      <c r="H43" s="42"/>
      <c r="I43" s="43"/>
      <c r="J43" s="38"/>
    </row>
    <row r="44" spans="2:15" x14ac:dyDescent="0.45">
      <c r="B44" s="19">
        <v>30</v>
      </c>
      <c r="C44" s="81" t="e">
        <f>IF(Setup!D43=0,NA(),Setup!D43)</f>
        <v>#N/A</v>
      </c>
      <c r="D44" s="109" t="e">
        <f t="shared" ca="1" si="1"/>
        <v>#N/A</v>
      </c>
      <c r="E44" s="110"/>
      <c r="F44" s="110"/>
      <c r="G44" s="110"/>
      <c r="H44" s="111"/>
      <c r="I44" s="44"/>
      <c r="J44" s="41"/>
    </row>
    <row r="45" spans="2:15" x14ac:dyDescent="0.45">
      <c r="B45" s="3"/>
      <c r="C45" s="15"/>
      <c r="D45" s="16"/>
      <c r="E45" s="17"/>
      <c r="F45" s="17"/>
      <c r="G45" s="17"/>
      <c r="H45" s="17"/>
      <c r="I45" s="17"/>
      <c r="J45" s="18"/>
    </row>
    <row r="46" spans="2:15" ht="15" customHeight="1" x14ac:dyDescent="0.45">
      <c r="B46" s="3"/>
      <c r="C46" s="223" t="s">
        <v>38</v>
      </c>
      <c r="D46" s="224"/>
      <c r="E46" s="224"/>
      <c r="F46" s="224"/>
      <c r="G46" s="224"/>
      <c r="H46" s="224"/>
      <c r="I46" s="225"/>
      <c r="J46" s="4"/>
      <c r="K46" s="4"/>
      <c r="L46" s="4"/>
      <c r="M46" s="4"/>
      <c r="N46" s="4"/>
      <c r="O46" s="4"/>
    </row>
    <row r="47" spans="2:15" x14ac:dyDescent="0.45">
      <c r="B47" s="3"/>
      <c r="C47" s="232"/>
      <c r="D47" s="233"/>
      <c r="E47" s="233"/>
      <c r="F47" s="233"/>
      <c r="G47" s="233"/>
      <c r="H47" s="233"/>
      <c r="I47" s="234"/>
      <c r="J47" s="4"/>
      <c r="K47" s="4"/>
      <c r="L47" s="4"/>
      <c r="M47" s="4"/>
      <c r="N47" s="4"/>
      <c r="O47" s="4"/>
    </row>
    <row r="48" spans="2:15" x14ac:dyDescent="0.45">
      <c r="B48" s="3"/>
      <c r="C48" s="232"/>
      <c r="D48" s="233"/>
      <c r="E48" s="233"/>
      <c r="F48" s="233"/>
      <c r="G48" s="233"/>
      <c r="H48" s="233"/>
      <c r="I48" s="234"/>
      <c r="J48" s="4"/>
      <c r="K48" s="4"/>
      <c r="L48" s="4"/>
      <c r="M48" s="4"/>
      <c r="N48" s="4"/>
      <c r="O48" s="4"/>
    </row>
    <row r="49" spans="2:15" x14ac:dyDescent="0.45">
      <c r="B49" s="3"/>
      <c r="C49" s="232"/>
      <c r="D49" s="233"/>
      <c r="E49" s="233"/>
      <c r="F49" s="233"/>
      <c r="G49" s="233"/>
      <c r="H49" s="233"/>
      <c r="I49" s="234"/>
      <c r="J49" s="4"/>
      <c r="K49" s="4"/>
      <c r="L49" s="4"/>
      <c r="M49" s="4"/>
      <c r="N49" s="4"/>
      <c r="O49" s="4"/>
    </row>
    <row r="50" spans="2:15" x14ac:dyDescent="0.45">
      <c r="C50" s="226"/>
      <c r="D50" s="268"/>
      <c r="E50" s="268"/>
      <c r="F50" s="268"/>
      <c r="G50" s="268"/>
      <c r="H50" s="268"/>
      <c r="I50" s="228"/>
      <c r="J50" s="4"/>
      <c r="K50" s="4"/>
      <c r="L50" s="4"/>
      <c r="M50" s="4"/>
      <c r="N50" s="4"/>
      <c r="O50" s="4"/>
    </row>
    <row r="51" spans="2:15" x14ac:dyDescent="0.45">
      <c r="D51" s="15"/>
      <c r="E51" s="16"/>
      <c r="F51" s="17"/>
      <c r="G51" s="17"/>
      <c r="H51" s="17"/>
      <c r="I51" s="17"/>
      <c r="J51" s="17"/>
      <c r="K51" s="18"/>
    </row>
    <row r="52" spans="2:15" x14ac:dyDescent="0.45">
      <c r="D52" s="15"/>
      <c r="E52" s="16"/>
      <c r="F52" s="17"/>
      <c r="G52" s="17"/>
      <c r="H52" s="17"/>
      <c r="I52" s="17"/>
      <c r="J52" s="17"/>
      <c r="K52" s="1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tabSelected="1" zoomScale="80" zoomScaleNormal="80" workbookViewId="0">
      <selection activeCell="E10" sqref="E10"/>
    </sheetView>
  </sheetViews>
  <sheetFormatPr defaultRowHeight="14.25" x14ac:dyDescent="0.45"/>
  <cols>
    <col min="2" max="2" width="4.3984375" customWidth="1"/>
    <col min="3" max="3" width="27.86328125" customWidth="1"/>
    <col min="4" max="4" width="33.3984375" customWidth="1"/>
    <col min="5" max="5" width="30.59765625" customWidth="1"/>
    <col min="6" max="6" width="33" customWidth="1"/>
    <col min="7" max="7" width="29.86328125" customWidth="1"/>
    <col min="8" max="8" width="39.86328125" customWidth="1"/>
    <col min="9" max="9" width="34.86328125" customWidth="1"/>
    <col min="11" max="11" width="28.73046875" customWidth="1"/>
  </cols>
  <sheetData>
    <row r="6" spans="2:11" ht="15" customHeight="1" x14ac:dyDescent="0.45"/>
    <row r="7" spans="2:11" x14ac:dyDescent="0.45">
      <c r="C7" s="272" t="s">
        <v>36</v>
      </c>
      <c r="D7" s="273"/>
      <c r="E7" s="273"/>
      <c r="F7" s="274"/>
    </row>
    <row r="8" spans="2:11" x14ac:dyDescent="0.45">
      <c r="C8" s="275"/>
      <c r="D8" s="276"/>
      <c r="E8" s="276"/>
      <c r="F8" s="277"/>
    </row>
    <row r="9" spans="2:11" ht="15.75" x14ac:dyDescent="0.45">
      <c r="C9" s="52"/>
      <c r="D9" s="52"/>
      <c r="E9" s="52"/>
      <c r="F9" s="52"/>
    </row>
    <row r="10" spans="2:11" ht="15.75" x14ac:dyDescent="0.45">
      <c r="C10" s="284" t="s">
        <v>50</v>
      </c>
      <c r="D10" s="284"/>
      <c r="E10" s="52"/>
      <c r="F10" s="52"/>
    </row>
    <row r="12" spans="2:11" x14ac:dyDescent="0.45">
      <c r="C12" s="220" t="s">
        <v>255</v>
      </c>
      <c r="D12" s="79" t="s">
        <v>0</v>
      </c>
      <c r="E12" s="99" t="s">
        <v>256</v>
      </c>
      <c r="F12" s="99" t="s">
        <v>179</v>
      </c>
      <c r="G12" s="99" t="s">
        <v>254</v>
      </c>
      <c r="H12" s="97"/>
      <c r="I12" s="90"/>
      <c r="K12" s="22"/>
    </row>
    <row r="13" spans="2:11" x14ac:dyDescent="0.45">
      <c r="B13" s="54">
        <v>1</v>
      </c>
      <c r="C13" s="85"/>
      <c r="D13" s="86"/>
      <c r="E13" s="103"/>
      <c r="F13" s="86"/>
      <c r="G13" s="86"/>
      <c r="H13" s="86"/>
      <c r="I13" s="87"/>
      <c r="K13" s="23"/>
    </row>
    <row r="14" spans="2:11" x14ac:dyDescent="0.45">
      <c r="B14" s="55">
        <v>2</v>
      </c>
      <c r="C14" s="85"/>
      <c r="D14" s="86"/>
      <c r="E14" s="100"/>
      <c r="F14" s="86"/>
      <c r="G14" s="86"/>
      <c r="H14" s="86"/>
      <c r="I14" s="87"/>
      <c r="K14" s="23"/>
    </row>
    <row r="15" spans="2:11" x14ac:dyDescent="0.45">
      <c r="B15" s="55">
        <v>3</v>
      </c>
      <c r="C15" s="85"/>
      <c r="D15" s="86"/>
      <c r="E15" s="100"/>
      <c r="F15" s="86"/>
      <c r="G15" s="86"/>
      <c r="H15" s="86"/>
      <c r="I15" s="87"/>
      <c r="K15" s="23"/>
    </row>
    <row r="16" spans="2:11" x14ac:dyDescent="0.45">
      <c r="B16" s="55">
        <v>4</v>
      </c>
      <c r="C16" s="85"/>
      <c r="D16" s="86"/>
      <c r="E16" s="100"/>
      <c r="F16" s="86"/>
      <c r="G16" s="86"/>
      <c r="H16" s="86"/>
      <c r="I16" s="87"/>
      <c r="K16" s="23"/>
    </row>
    <row r="17" spans="2:11" x14ac:dyDescent="0.45">
      <c r="B17" s="55">
        <v>5</v>
      </c>
      <c r="C17" s="85"/>
      <c r="D17" s="86"/>
      <c r="E17" s="100"/>
      <c r="F17" s="86"/>
      <c r="G17" s="86"/>
      <c r="H17" s="86"/>
      <c r="I17" s="87"/>
      <c r="K17" s="23"/>
    </row>
    <row r="18" spans="2:11" x14ac:dyDescent="0.45">
      <c r="B18" s="55">
        <v>6</v>
      </c>
      <c r="C18" s="85"/>
      <c r="D18" s="86"/>
      <c r="E18" s="100"/>
      <c r="F18" s="86"/>
      <c r="G18" s="86"/>
      <c r="H18" s="86"/>
      <c r="I18" s="87"/>
      <c r="K18" s="23"/>
    </row>
    <row r="19" spans="2:11" x14ac:dyDescent="0.45">
      <c r="B19" s="55">
        <v>7</v>
      </c>
      <c r="C19" s="85"/>
      <c r="D19" s="86"/>
      <c r="E19" s="100"/>
      <c r="F19" s="86"/>
      <c r="G19" s="86"/>
      <c r="H19" s="86"/>
      <c r="I19" s="87"/>
      <c r="K19" s="23"/>
    </row>
    <row r="20" spans="2:11" x14ac:dyDescent="0.45">
      <c r="B20" s="55">
        <v>8</v>
      </c>
      <c r="C20" s="85"/>
      <c r="D20" s="86"/>
      <c r="E20" s="100"/>
      <c r="F20" s="86"/>
      <c r="G20" s="86"/>
      <c r="H20" s="86"/>
      <c r="I20" s="87"/>
      <c r="K20" s="23"/>
    </row>
    <row r="21" spans="2:11" x14ac:dyDescent="0.45">
      <c r="B21" s="55">
        <v>9</v>
      </c>
      <c r="C21" s="85"/>
      <c r="D21" s="86"/>
      <c r="E21" s="100"/>
      <c r="F21" s="86"/>
      <c r="G21" s="86"/>
      <c r="H21" s="86"/>
      <c r="I21" s="87"/>
      <c r="K21" s="23"/>
    </row>
    <row r="22" spans="2:11" x14ac:dyDescent="0.45">
      <c r="B22" s="55">
        <v>10</v>
      </c>
      <c r="C22" s="85"/>
      <c r="D22" s="86"/>
      <c r="E22" s="100"/>
      <c r="F22" s="86"/>
      <c r="G22" s="86"/>
      <c r="H22" s="86"/>
      <c r="I22" s="87"/>
      <c r="K22" s="23"/>
    </row>
    <row r="23" spans="2:11" x14ac:dyDescent="0.45">
      <c r="B23" s="55">
        <v>11</v>
      </c>
      <c r="C23" s="85"/>
      <c r="D23" s="86"/>
      <c r="E23" s="100"/>
      <c r="F23" s="86"/>
      <c r="G23" s="86"/>
      <c r="H23" s="86"/>
      <c r="I23" s="87"/>
      <c r="K23" s="23"/>
    </row>
    <row r="24" spans="2:11" x14ac:dyDescent="0.45">
      <c r="B24" s="55">
        <v>12</v>
      </c>
      <c r="C24" s="85"/>
      <c r="D24" s="86"/>
      <c r="E24" s="100"/>
      <c r="F24" s="86"/>
      <c r="G24" s="86"/>
      <c r="H24" s="86"/>
      <c r="I24" s="87"/>
      <c r="K24" s="23"/>
    </row>
    <row r="25" spans="2:11" ht="15" customHeight="1" x14ac:dyDescent="0.45">
      <c r="B25" s="55">
        <v>13</v>
      </c>
      <c r="C25" s="85"/>
      <c r="D25" s="86"/>
      <c r="E25" s="100"/>
      <c r="F25" s="86"/>
      <c r="G25" s="86"/>
      <c r="H25" s="86"/>
      <c r="I25" s="87"/>
      <c r="K25" s="281" t="s">
        <v>32</v>
      </c>
    </row>
    <row r="26" spans="2:11" x14ac:dyDescent="0.45">
      <c r="B26" s="55">
        <v>14</v>
      </c>
      <c r="C26" s="85"/>
      <c r="D26" s="86"/>
      <c r="E26" s="100"/>
      <c r="F26" s="86"/>
      <c r="G26" s="86"/>
      <c r="H26" s="86"/>
      <c r="I26" s="87"/>
      <c r="K26" s="282"/>
    </row>
    <row r="27" spans="2:11" x14ac:dyDescent="0.45">
      <c r="B27" s="55">
        <v>15</v>
      </c>
      <c r="C27" s="85"/>
      <c r="D27" s="86"/>
      <c r="E27" s="100"/>
      <c r="F27" s="86"/>
      <c r="G27" s="86"/>
      <c r="H27" s="86"/>
      <c r="I27" s="87"/>
      <c r="K27" s="282"/>
    </row>
    <row r="28" spans="2:11" x14ac:dyDescent="0.45">
      <c r="B28" s="55">
        <v>16</v>
      </c>
      <c r="C28" s="85"/>
      <c r="D28" s="86"/>
      <c r="E28" s="100"/>
      <c r="F28" s="86"/>
      <c r="G28" s="86"/>
      <c r="H28" s="86"/>
      <c r="I28" s="87"/>
      <c r="K28" s="283"/>
    </row>
    <row r="29" spans="2:11" x14ac:dyDescent="0.45">
      <c r="B29" s="55">
        <v>17</v>
      </c>
      <c r="C29" s="85"/>
      <c r="D29" s="86"/>
      <c r="E29" s="100"/>
      <c r="F29" s="86"/>
      <c r="G29" s="86"/>
      <c r="H29" s="86"/>
      <c r="I29" s="87"/>
      <c r="K29" s="23"/>
    </row>
    <row r="30" spans="2:11" x14ac:dyDescent="0.45">
      <c r="B30" s="55">
        <v>18</v>
      </c>
      <c r="C30" s="85"/>
      <c r="D30" s="86"/>
      <c r="E30" s="100"/>
      <c r="F30" s="86"/>
      <c r="G30" s="86"/>
      <c r="H30" s="86"/>
      <c r="I30" s="87"/>
      <c r="K30" s="23"/>
    </row>
    <row r="31" spans="2:11" x14ac:dyDescent="0.45">
      <c r="B31" s="55">
        <v>19</v>
      </c>
      <c r="C31" s="85"/>
      <c r="D31" s="86"/>
      <c r="E31" s="100"/>
      <c r="F31" s="86"/>
      <c r="G31" s="86"/>
      <c r="H31" s="86"/>
      <c r="I31" s="87"/>
      <c r="K31" s="23"/>
    </row>
    <row r="32" spans="2:11" x14ac:dyDescent="0.45">
      <c r="B32" s="55">
        <v>20</v>
      </c>
      <c r="C32" s="85"/>
      <c r="D32" s="86"/>
      <c r="E32" s="100"/>
      <c r="F32" s="86"/>
      <c r="G32" s="86"/>
      <c r="H32" s="86"/>
      <c r="I32" s="87"/>
      <c r="K32" s="23"/>
    </row>
    <row r="33" spans="2:16" x14ac:dyDescent="0.45">
      <c r="B33" s="55">
        <v>21</v>
      </c>
      <c r="C33" s="85"/>
      <c r="D33" s="86"/>
      <c r="E33" s="100"/>
      <c r="F33" s="86"/>
      <c r="G33" s="86"/>
      <c r="H33" s="86"/>
      <c r="I33" s="87"/>
      <c r="K33" s="23"/>
    </row>
    <row r="34" spans="2:16" x14ac:dyDescent="0.45">
      <c r="B34" s="55">
        <v>22</v>
      </c>
      <c r="C34" s="91"/>
      <c r="D34" s="86"/>
      <c r="E34" s="100"/>
      <c r="F34" s="86"/>
      <c r="G34" s="86"/>
      <c r="H34" s="86"/>
      <c r="I34" s="87"/>
      <c r="K34" s="23"/>
    </row>
    <row r="35" spans="2:16" x14ac:dyDescent="0.45">
      <c r="B35" s="55">
        <v>23</v>
      </c>
      <c r="C35" s="85"/>
      <c r="D35" s="86"/>
      <c r="E35" s="100"/>
      <c r="F35" s="86"/>
      <c r="G35" s="86"/>
      <c r="H35" s="86"/>
      <c r="I35" s="87"/>
      <c r="K35" s="23"/>
    </row>
    <row r="36" spans="2:16" x14ac:dyDescent="0.45">
      <c r="B36" s="55">
        <v>24</v>
      </c>
      <c r="C36" s="85"/>
      <c r="D36" s="86"/>
      <c r="E36" s="100"/>
      <c r="F36" s="86"/>
      <c r="G36" s="86"/>
      <c r="H36" s="86"/>
      <c r="I36" s="87"/>
      <c r="K36" s="23"/>
    </row>
    <row r="37" spans="2:16" x14ac:dyDescent="0.45">
      <c r="B37" s="55">
        <v>25</v>
      </c>
      <c r="C37" s="85"/>
      <c r="D37" s="86"/>
      <c r="E37" s="100"/>
      <c r="F37" s="86"/>
      <c r="G37" s="86"/>
      <c r="H37" s="86"/>
      <c r="I37" s="87"/>
      <c r="K37" s="23"/>
    </row>
    <row r="38" spans="2:16" x14ac:dyDescent="0.45">
      <c r="B38" s="55">
        <v>26</v>
      </c>
      <c r="C38" s="91"/>
      <c r="D38" s="92"/>
      <c r="E38" s="100"/>
      <c r="F38" s="86"/>
      <c r="G38" s="86"/>
      <c r="H38" s="86"/>
      <c r="I38" s="87"/>
      <c r="K38" s="23"/>
    </row>
    <row r="39" spans="2:16" x14ac:dyDescent="0.45">
      <c r="B39" s="55">
        <v>27</v>
      </c>
      <c r="C39" s="85"/>
      <c r="D39" s="86"/>
      <c r="E39" s="101"/>
      <c r="F39" s="29"/>
      <c r="G39" s="29"/>
      <c r="H39" s="29"/>
      <c r="I39" s="31"/>
      <c r="K39" s="24"/>
    </row>
    <row r="40" spans="2:16" x14ac:dyDescent="0.45">
      <c r="B40" s="55">
        <v>28</v>
      </c>
      <c r="C40" s="85"/>
      <c r="D40" s="86"/>
      <c r="E40" s="101"/>
      <c r="F40" s="29"/>
      <c r="G40" s="29"/>
      <c r="H40" s="29"/>
      <c r="I40" s="31"/>
      <c r="K40" s="24"/>
    </row>
    <row r="41" spans="2:16" x14ac:dyDescent="0.45">
      <c r="B41" s="55">
        <v>29</v>
      </c>
      <c r="C41" s="85"/>
      <c r="D41" s="86"/>
      <c r="E41" s="101"/>
      <c r="F41" s="29"/>
      <c r="G41" s="29"/>
      <c r="H41" s="29"/>
      <c r="I41" s="31"/>
      <c r="K41" s="24"/>
    </row>
    <row r="42" spans="2:16" x14ac:dyDescent="0.45">
      <c r="B42" s="53">
        <v>30</v>
      </c>
      <c r="C42" s="88"/>
      <c r="D42" s="89"/>
      <c r="E42" s="102"/>
      <c r="F42" s="84"/>
      <c r="G42" s="84"/>
      <c r="H42" s="84"/>
      <c r="I42" s="34"/>
      <c r="K42" s="24"/>
    </row>
    <row r="43" spans="2:16" x14ac:dyDescent="0.45">
      <c r="B43" s="20"/>
      <c r="C43" s="21"/>
      <c r="D43" s="21"/>
    </row>
    <row r="44" spans="2:16" ht="15" customHeight="1" x14ac:dyDescent="0.45">
      <c r="C44" s="223" t="s">
        <v>78</v>
      </c>
      <c r="D44" s="224"/>
      <c r="E44" s="224"/>
      <c r="F44" s="224"/>
      <c r="G44" s="224"/>
      <c r="H44" s="224"/>
      <c r="I44" s="225"/>
      <c r="J44" s="4"/>
      <c r="K44" s="4"/>
      <c r="L44" s="4"/>
      <c r="M44" s="4"/>
      <c r="N44" s="4"/>
      <c r="O44" s="4"/>
      <c r="P44" s="4"/>
    </row>
    <row r="45" spans="2:16" x14ac:dyDescent="0.45">
      <c r="C45" s="232"/>
      <c r="D45" s="233"/>
      <c r="E45" s="233"/>
      <c r="F45" s="233"/>
      <c r="G45" s="233"/>
      <c r="H45" s="233"/>
      <c r="I45" s="234"/>
      <c r="J45" s="4"/>
      <c r="K45" s="4"/>
      <c r="L45" s="4"/>
      <c r="M45" s="4"/>
      <c r="N45" s="4"/>
      <c r="O45" s="4"/>
      <c r="P45" s="4"/>
    </row>
    <row r="46" spans="2:16" x14ac:dyDescent="0.45">
      <c r="C46" s="232"/>
      <c r="D46" s="233"/>
      <c r="E46" s="233"/>
      <c r="F46" s="233"/>
      <c r="G46" s="233"/>
      <c r="H46" s="233"/>
      <c r="I46" s="234"/>
      <c r="J46" s="4"/>
      <c r="K46" s="4"/>
      <c r="L46" s="4"/>
      <c r="M46" s="4"/>
      <c r="N46" s="4"/>
      <c r="O46" s="4"/>
      <c r="P46" s="4"/>
    </row>
    <row r="47" spans="2:16" x14ac:dyDescent="0.45">
      <c r="C47" s="232"/>
      <c r="D47" s="233"/>
      <c r="E47" s="233"/>
      <c r="F47" s="233"/>
      <c r="G47" s="233"/>
      <c r="H47" s="233"/>
      <c r="I47" s="234"/>
      <c r="J47" s="4"/>
      <c r="K47" s="4"/>
      <c r="L47" s="4"/>
      <c r="M47" s="4"/>
      <c r="N47" s="4"/>
      <c r="O47" s="4"/>
      <c r="P47" s="4"/>
    </row>
    <row r="48" spans="2:16" x14ac:dyDescent="0.45">
      <c r="C48" s="226"/>
      <c r="D48" s="268"/>
      <c r="E48" s="268"/>
      <c r="F48" s="268"/>
      <c r="G48" s="268"/>
      <c r="H48" s="268"/>
      <c r="I48" s="228"/>
      <c r="J48" s="4"/>
      <c r="K48" s="4"/>
      <c r="L48" s="4"/>
      <c r="M48" s="4"/>
      <c r="N48" s="4"/>
      <c r="O48" s="4"/>
      <c r="P48" s="4"/>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5A2D-F991-426A-93E7-CA81A036F1F0}">
  <sheetPr codeName="Sheet18"/>
  <dimension ref="G12:N13"/>
  <sheetViews>
    <sheetView workbookViewId="0">
      <selection activeCell="G13" sqref="G13"/>
    </sheetView>
  </sheetViews>
  <sheetFormatPr defaultRowHeight="14.25" x14ac:dyDescent="0.45"/>
  <sheetData>
    <row r="12" spans="7:14" x14ac:dyDescent="0.45">
      <c r="G12" t="str">
        <f>_xll.fbnPropertiesAdd_Template()</f>
        <v>OK</v>
      </c>
    </row>
    <row r="13" spans="7:14" x14ac:dyDescent="0.45">
      <c r="G13" t="s">
        <v>11</v>
      </c>
      <c r="H13" t="s">
        <v>2</v>
      </c>
      <c r="I13" t="s">
        <v>5</v>
      </c>
      <c r="J13" t="s">
        <v>12</v>
      </c>
      <c r="K13" t="s">
        <v>13</v>
      </c>
      <c r="L13" t="s">
        <v>135</v>
      </c>
      <c r="M13" t="s">
        <v>15</v>
      </c>
      <c r="N13" t="s">
        <v>136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U19" sqref="U19"/>
    </sheetView>
  </sheetViews>
  <sheetFormatPr defaultRowHeight="14.25" x14ac:dyDescent="0.45"/>
  <cols>
    <col min="3" max="3" width="16.1328125" customWidth="1"/>
    <col min="4" max="4" width="27.3984375" customWidth="1"/>
    <col min="5" max="5" width="14.59765625" customWidth="1"/>
    <col min="6" max="6" width="16.3984375" customWidth="1"/>
    <col min="7" max="7" width="19" customWidth="1"/>
    <col min="8" max="8" width="30.73046875" customWidth="1"/>
    <col min="9" max="9" width="27.73046875" customWidth="1"/>
    <col min="10" max="10" width="16.265625" customWidth="1"/>
    <col min="11" max="11" width="20.73046875" customWidth="1"/>
    <col min="12" max="12" width="19.59765625" customWidth="1"/>
    <col min="13" max="13" width="15.265625" customWidth="1"/>
    <col min="14" max="14" width="13.86328125" customWidth="1"/>
    <col min="15" max="15" width="15.73046875" customWidth="1"/>
    <col min="16" max="16" width="20.59765625" customWidth="1"/>
    <col min="17" max="17" width="14.265625" customWidth="1"/>
    <col min="18" max="18" width="13" customWidth="1"/>
  </cols>
  <sheetData>
    <row r="5" spans="2:16" x14ac:dyDescent="0.45">
      <c r="L5" s="285" t="s">
        <v>149</v>
      </c>
      <c r="M5" s="286"/>
      <c r="N5" s="287"/>
    </row>
    <row r="6" spans="2:16" x14ac:dyDescent="0.45">
      <c r="L6" s="288"/>
      <c r="M6" s="289"/>
      <c r="N6" s="290"/>
    </row>
    <row r="7" spans="2:16" ht="15" customHeight="1" x14ac:dyDescent="0.45">
      <c r="C7" s="260" t="s">
        <v>48</v>
      </c>
      <c r="D7" s="261"/>
      <c r="E7" s="261"/>
      <c r="F7" s="261"/>
      <c r="G7" s="261"/>
      <c r="H7" s="261"/>
      <c r="I7" s="262"/>
      <c r="L7" s="288"/>
      <c r="M7" s="289"/>
      <c r="N7" s="290"/>
    </row>
    <row r="8" spans="2:16" ht="15" customHeight="1" x14ac:dyDescent="0.45">
      <c r="C8" s="263"/>
      <c r="D8" s="264"/>
      <c r="E8" s="264"/>
      <c r="F8" s="264"/>
      <c r="G8" s="264"/>
      <c r="H8" s="264"/>
      <c r="I8" s="265"/>
      <c r="L8" s="288"/>
      <c r="M8" s="289"/>
      <c r="N8" s="290"/>
    </row>
    <row r="9" spans="2:16" ht="15.75" x14ac:dyDescent="0.45">
      <c r="C9" s="52"/>
      <c r="D9" s="52"/>
      <c r="E9" s="52"/>
      <c r="F9" s="52"/>
      <c r="G9" s="52"/>
      <c r="H9" s="52"/>
      <c r="I9" s="52"/>
      <c r="L9" s="291"/>
      <c r="M9" s="292"/>
      <c r="N9" s="293"/>
    </row>
    <row r="10" spans="2:16" x14ac:dyDescent="0.45">
      <c r="C10" s="294" t="s">
        <v>122</v>
      </c>
      <c r="D10" s="295"/>
      <c r="E10" s="295"/>
      <c r="F10" s="296"/>
      <c r="G10" s="300"/>
      <c r="H10" s="98"/>
      <c r="I10" s="98"/>
    </row>
    <row r="11" spans="2:16" x14ac:dyDescent="0.45">
      <c r="C11" s="297"/>
      <c r="D11" s="298"/>
      <c r="E11" s="298"/>
      <c r="F11" s="299"/>
      <c r="G11" s="300"/>
      <c r="H11" s="98"/>
      <c r="I11" s="98"/>
    </row>
    <row r="12" spans="2:16" x14ac:dyDescent="0.45">
      <c r="G12" s="1"/>
    </row>
    <row r="14" spans="2:16" ht="14.65" thickBot="1" x14ac:dyDescent="0.5">
      <c r="C14" s="190" t="s">
        <v>137</v>
      </c>
      <c r="D14" s="163" t="s">
        <v>138</v>
      </c>
      <c r="E14" s="164" t="s">
        <v>139</v>
      </c>
      <c r="F14" s="164" t="s">
        <v>40</v>
      </c>
      <c r="G14" s="163" t="s">
        <v>41</v>
      </c>
      <c r="H14" s="163" t="s">
        <v>140</v>
      </c>
      <c r="I14" s="163" t="s">
        <v>141</v>
      </c>
      <c r="J14" s="163" t="s">
        <v>42</v>
      </c>
      <c r="K14" s="163" t="s">
        <v>142</v>
      </c>
      <c r="L14" s="163" t="s">
        <v>43</v>
      </c>
      <c r="M14" s="163" t="s">
        <v>44</v>
      </c>
      <c r="N14" s="163" t="s">
        <v>45</v>
      </c>
      <c r="O14" s="163" t="s">
        <v>46</v>
      </c>
      <c r="P14" s="189" t="s">
        <v>4</v>
      </c>
    </row>
    <row r="15" spans="2:16" ht="22.5" customHeight="1" thickTop="1" x14ac:dyDescent="0.45">
      <c r="B15" s="54">
        <v>1</v>
      </c>
      <c r="C15" s="94" t="s">
        <v>146</v>
      </c>
      <c r="D15" s="29" t="str">
        <f>Setup!D14</f>
        <v>LUID_743IR9YI</v>
      </c>
      <c r="E15" s="83">
        <f ca="1">TODAY()</f>
        <v>43526</v>
      </c>
      <c r="F15" s="83">
        <f ca="1">TODAY()</f>
        <v>43526</v>
      </c>
      <c r="G15" s="30" t="s">
        <v>66</v>
      </c>
      <c r="H15" s="29">
        <v>2</v>
      </c>
      <c r="I15" s="30" t="s">
        <v>47</v>
      </c>
      <c r="J15" s="30" t="s">
        <v>143</v>
      </c>
      <c r="K15" s="29">
        <v>2</v>
      </c>
      <c r="L15" s="29">
        <v>2</v>
      </c>
      <c r="M15" s="29"/>
      <c r="N15" s="29"/>
      <c r="O15" s="29"/>
      <c r="P15" s="147" t="s">
        <v>225</v>
      </c>
    </row>
    <row r="16" spans="2:16" x14ac:dyDescent="0.45">
      <c r="B16" s="55">
        <v>2</v>
      </c>
      <c r="C16" s="94"/>
      <c r="D16" s="29"/>
      <c r="E16" s="83"/>
      <c r="F16" s="83"/>
      <c r="G16" s="30"/>
      <c r="H16" s="29"/>
      <c r="I16" s="30"/>
      <c r="J16" s="30"/>
      <c r="K16" s="29"/>
      <c r="L16" s="29"/>
      <c r="M16" s="29"/>
      <c r="N16" s="29"/>
      <c r="O16" s="29"/>
      <c r="P16" s="147"/>
    </row>
    <row r="17" spans="2:16" x14ac:dyDescent="0.45">
      <c r="B17" s="55">
        <v>3</v>
      </c>
      <c r="C17" s="94"/>
      <c r="D17" s="29"/>
      <c r="E17" s="83"/>
      <c r="F17" s="83"/>
      <c r="G17" s="30"/>
      <c r="H17" s="29"/>
      <c r="I17" s="30"/>
      <c r="J17" s="30"/>
      <c r="K17" s="29"/>
      <c r="L17" s="29"/>
      <c r="M17" s="29"/>
      <c r="N17" s="29"/>
      <c r="O17" s="29"/>
      <c r="P17" s="147"/>
    </row>
    <row r="18" spans="2:16" x14ac:dyDescent="0.45">
      <c r="B18" s="55">
        <v>4</v>
      </c>
      <c r="C18" s="94"/>
      <c r="D18" s="29"/>
      <c r="E18" s="83"/>
      <c r="F18" s="83"/>
      <c r="G18" s="30"/>
      <c r="H18" s="29"/>
      <c r="I18" s="30"/>
      <c r="J18" s="30"/>
      <c r="K18" s="29"/>
      <c r="L18" s="29"/>
      <c r="M18" s="29"/>
      <c r="N18" s="29"/>
      <c r="O18" s="29"/>
      <c r="P18" s="147"/>
    </row>
    <row r="19" spans="2:16" x14ac:dyDescent="0.45">
      <c r="B19" s="55">
        <v>5</v>
      </c>
      <c r="C19" s="94"/>
      <c r="D19" s="29"/>
      <c r="E19" s="83"/>
      <c r="F19" s="83"/>
      <c r="G19" s="30"/>
      <c r="H19" s="29"/>
      <c r="I19" s="30"/>
      <c r="J19" s="30"/>
      <c r="K19" s="29"/>
      <c r="L19" s="29"/>
      <c r="M19" s="29"/>
      <c r="N19" s="29"/>
      <c r="O19" s="29"/>
      <c r="P19" s="147"/>
    </row>
    <row r="20" spans="2:16" x14ac:dyDescent="0.45">
      <c r="B20" s="55">
        <v>6</v>
      </c>
      <c r="C20" s="94"/>
      <c r="D20" s="29"/>
      <c r="E20" s="83"/>
      <c r="F20" s="83"/>
      <c r="G20" s="30"/>
      <c r="H20" s="29"/>
      <c r="I20" s="30"/>
      <c r="J20" s="30"/>
      <c r="K20" s="29"/>
      <c r="L20" s="29"/>
      <c r="M20" s="29"/>
      <c r="N20" s="29"/>
      <c r="O20" s="29"/>
      <c r="P20" s="147"/>
    </row>
    <row r="21" spans="2:16" x14ac:dyDescent="0.45">
      <c r="B21" s="55">
        <v>7</v>
      </c>
      <c r="C21" s="94"/>
      <c r="D21" s="29"/>
      <c r="E21" s="83"/>
      <c r="F21" s="83"/>
      <c r="G21" s="30"/>
      <c r="H21" s="29"/>
      <c r="I21" s="30"/>
      <c r="J21" s="30"/>
      <c r="K21" s="29"/>
      <c r="L21" s="29"/>
      <c r="M21" s="29"/>
      <c r="N21" s="29"/>
      <c r="O21" s="29"/>
      <c r="P21" s="147"/>
    </row>
    <row r="22" spans="2:16" x14ac:dyDescent="0.45">
      <c r="B22" s="55">
        <v>8</v>
      </c>
      <c r="C22" s="94"/>
      <c r="D22" s="29"/>
      <c r="E22" s="83"/>
      <c r="F22" s="83"/>
      <c r="G22" s="30"/>
      <c r="H22" s="29"/>
      <c r="I22" s="29"/>
      <c r="J22" s="29"/>
      <c r="K22" s="29"/>
      <c r="L22" s="29"/>
      <c r="M22" s="29"/>
      <c r="N22" s="29"/>
      <c r="O22" s="29"/>
      <c r="P22" s="147"/>
    </row>
    <row r="23" spans="2:16" x14ac:dyDescent="0.45">
      <c r="B23" s="55">
        <v>9</v>
      </c>
      <c r="C23" s="94"/>
      <c r="D23" s="29"/>
      <c r="E23" s="83"/>
      <c r="F23" s="83"/>
      <c r="G23" s="30"/>
      <c r="H23" s="29"/>
      <c r="I23" s="29"/>
      <c r="J23" s="29"/>
      <c r="K23" s="29"/>
      <c r="L23" s="29"/>
      <c r="M23" s="29"/>
      <c r="N23" s="29"/>
      <c r="O23" s="29"/>
      <c r="P23" s="147"/>
    </row>
    <row r="24" spans="2:16" x14ac:dyDescent="0.45">
      <c r="B24" s="55">
        <v>10</v>
      </c>
      <c r="C24" s="94"/>
      <c r="D24" s="29"/>
      <c r="E24" s="83"/>
      <c r="F24" s="83"/>
      <c r="G24" s="30"/>
      <c r="H24" s="29"/>
      <c r="I24" s="29"/>
      <c r="J24" s="29"/>
      <c r="K24" s="29"/>
      <c r="L24" s="29"/>
      <c r="M24" s="29"/>
      <c r="N24" s="29"/>
      <c r="O24" s="29"/>
      <c r="P24" s="147"/>
    </row>
    <row r="25" spans="2:16" x14ac:dyDescent="0.45">
      <c r="B25" s="55">
        <v>11</v>
      </c>
      <c r="C25" s="94"/>
      <c r="D25" s="29"/>
      <c r="E25" s="83"/>
      <c r="F25" s="83"/>
      <c r="G25" s="30"/>
      <c r="H25" s="29"/>
      <c r="I25" s="29"/>
      <c r="J25" s="29"/>
      <c r="K25" s="29"/>
      <c r="L25" s="29"/>
      <c r="M25" s="29"/>
      <c r="N25" s="29"/>
      <c r="O25" s="29"/>
      <c r="P25" s="147"/>
    </row>
    <row r="26" spans="2:16" x14ac:dyDescent="0.45">
      <c r="B26" s="55">
        <v>12</v>
      </c>
      <c r="C26" s="94"/>
      <c r="D26" s="29"/>
      <c r="E26" s="83"/>
      <c r="F26" s="83"/>
      <c r="G26" s="30"/>
      <c r="H26" s="29"/>
      <c r="I26" s="29"/>
      <c r="J26" s="29"/>
      <c r="K26" s="29"/>
      <c r="L26" s="29"/>
      <c r="M26" s="29"/>
      <c r="N26" s="29"/>
      <c r="O26" s="29"/>
      <c r="P26" s="147"/>
    </row>
    <row r="27" spans="2:16" x14ac:dyDescent="0.45">
      <c r="B27" s="55">
        <v>13</v>
      </c>
      <c r="C27" s="94"/>
      <c r="D27" s="29"/>
      <c r="E27" s="83"/>
      <c r="F27" s="83"/>
      <c r="G27" s="30"/>
      <c r="H27" s="29"/>
      <c r="I27" s="29"/>
      <c r="J27" s="29"/>
      <c r="K27" s="29"/>
      <c r="L27" s="29"/>
      <c r="M27" s="29"/>
      <c r="N27" s="29"/>
      <c r="O27" s="29"/>
      <c r="P27" s="147"/>
    </row>
    <row r="28" spans="2:16" x14ac:dyDescent="0.45">
      <c r="B28" s="55">
        <v>14</v>
      </c>
      <c r="C28" s="94"/>
      <c r="D28" s="29"/>
      <c r="E28" s="83"/>
      <c r="F28" s="83"/>
      <c r="G28" s="30"/>
      <c r="H28" s="29"/>
      <c r="I28" s="29"/>
      <c r="J28" s="29"/>
      <c r="K28" s="29"/>
      <c r="L28" s="29"/>
      <c r="M28" s="29"/>
      <c r="N28" s="29"/>
      <c r="O28" s="29"/>
      <c r="P28" s="147"/>
    </row>
    <row r="29" spans="2:16" x14ac:dyDescent="0.45">
      <c r="B29" s="55">
        <v>15</v>
      </c>
      <c r="C29" s="94"/>
      <c r="D29" s="29"/>
      <c r="E29" s="83"/>
      <c r="F29" s="83"/>
      <c r="G29" s="30"/>
      <c r="H29" s="29"/>
      <c r="I29" s="29"/>
      <c r="J29" s="29"/>
      <c r="K29" s="29"/>
      <c r="L29" s="29"/>
      <c r="M29" s="29"/>
      <c r="N29" s="29"/>
      <c r="O29" s="29"/>
      <c r="P29" s="147"/>
    </row>
    <row r="30" spans="2:16" x14ac:dyDescent="0.45">
      <c r="B30" s="55">
        <v>16</v>
      </c>
      <c r="C30" s="94"/>
      <c r="D30" s="29"/>
      <c r="E30" s="83"/>
      <c r="F30" s="83"/>
      <c r="G30" s="30"/>
      <c r="H30" s="29"/>
      <c r="I30" s="29"/>
      <c r="J30" s="29"/>
      <c r="K30" s="29"/>
      <c r="L30" s="29"/>
      <c r="M30" s="29"/>
      <c r="N30" s="29"/>
      <c r="O30" s="29"/>
      <c r="P30" s="147"/>
    </row>
    <row r="31" spans="2:16" x14ac:dyDescent="0.45">
      <c r="B31" s="55">
        <v>17</v>
      </c>
      <c r="C31" s="94"/>
      <c r="D31" s="29"/>
      <c r="E31" s="83"/>
      <c r="F31" s="83"/>
      <c r="G31" s="30"/>
      <c r="H31" s="29"/>
      <c r="I31" s="29"/>
      <c r="J31" s="29"/>
      <c r="K31" s="29"/>
      <c r="L31" s="29"/>
      <c r="M31" s="29"/>
      <c r="N31" s="29"/>
      <c r="O31" s="29"/>
      <c r="P31" s="147"/>
    </row>
    <row r="32" spans="2:16" x14ac:dyDescent="0.45">
      <c r="B32" s="55">
        <v>18</v>
      </c>
      <c r="C32" s="94"/>
      <c r="D32" s="29"/>
      <c r="E32" s="83"/>
      <c r="F32" s="83"/>
      <c r="G32" s="30"/>
      <c r="H32" s="29"/>
      <c r="I32" s="29"/>
      <c r="J32" s="29"/>
      <c r="K32" s="29"/>
      <c r="L32" s="29"/>
      <c r="M32" s="29"/>
      <c r="N32" s="29"/>
      <c r="O32" s="29"/>
      <c r="P32" s="147"/>
    </row>
    <row r="33" spans="2:16" x14ac:dyDescent="0.45">
      <c r="B33" s="55">
        <v>19</v>
      </c>
      <c r="C33" s="94"/>
      <c r="D33" s="29"/>
      <c r="E33" s="83"/>
      <c r="F33" s="83"/>
      <c r="G33" s="30"/>
      <c r="H33" s="29"/>
      <c r="I33" s="29"/>
      <c r="J33" s="29"/>
      <c r="K33" s="29"/>
      <c r="L33" s="29"/>
      <c r="M33" s="29"/>
      <c r="N33" s="29"/>
      <c r="O33" s="29"/>
      <c r="P33" s="147"/>
    </row>
    <row r="34" spans="2:16" x14ac:dyDescent="0.45">
      <c r="B34" s="55">
        <v>20</v>
      </c>
      <c r="C34" s="94"/>
      <c r="D34" s="29"/>
      <c r="E34" s="83"/>
      <c r="F34" s="83"/>
      <c r="G34" s="30"/>
      <c r="H34" s="29"/>
      <c r="I34" s="29"/>
      <c r="J34" s="29"/>
      <c r="K34" s="29"/>
      <c r="L34" s="29"/>
      <c r="M34" s="29"/>
      <c r="N34" s="29"/>
      <c r="O34" s="29"/>
      <c r="P34" s="147"/>
    </row>
    <row r="35" spans="2:16" x14ac:dyDescent="0.45">
      <c r="B35" s="55">
        <v>21</v>
      </c>
      <c r="C35" s="94"/>
      <c r="D35" s="29"/>
      <c r="E35" s="83"/>
      <c r="F35" s="83"/>
      <c r="G35" s="30"/>
      <c r="H35" s="29"/>
      <c r="I35" s="29"/>
      <c r="J35" s="29"/>
      <c r="K35" s="29"/>
      <c r="L35" s="29"/>
      <c r="M35" s="29"/>
      <c r="N35" s="29"/>
      <c r="O35" s="29"/>
      <c r="P35" s="147"/>
    </row>
    <row r="36" spans="2:16" x14ac:dyDescent="0.45">
      <c r="B36" s="55">
        <v>22</v>
      </c>
      <c r="C36" s="94"/>
      <c r="D36" s="29"/>
      <c r="E36" s="83"/>
      <c r="F36" s="83"/>
      <c r="G36" s="30"/>
      <c r="H36" s="29"/>
      <c r="I36" s="29"/>
      <c r="J36" s="29"/>
      <c r="K36" s="29"/>
      <c r="L36" s="29"/>
      <c r="M36" s="29"/>
      <c r="N36" s="29"/>
      <c r="O36" s="29"/>
      <c r="P36" s="147"/>
    </row>
    <row r="37" spans="2:16" x14ac:dyDescent="0.45">
      <c r="B37" s="55">
        <v>23</v>
      </c>
      <c r="C37" s="94"/>
      <c r="D37" s="29"/>
      <c r="E37" s="83"/>
      <c r="F37" s="83"/>
      <c r="G37" s="30"/>
      <c r="H37" s="29"/>
      <c r="I37" s="29"/>
      <c r="J37" s="29"/>
      <c r="K37" s="29"/>
      <c r="L37" s="29"/>
      <c r="M37" s="29"/>
      <c r="N37" s="29"/>
      <c r="O37" s="29"/>
      <c r="P37" s="147"/>
    </row>
    <row r="38" spans="2:16" x14ac:dyDescent="0.45">
      <c r="B38" s="55">
        <v>24</v>
      </c>
      <c r="C38" s="94"/>
      <c r="D38" s="29"/>
      <c r="E38" s="83"/>
      <c r="F38" s="83"/>
      <c r="G38" s="30"/>
      <c r="H38" s="29"/>
      <c r="I38" s="29"/>
      <c r="J38" s="29"/>
      <c r="K38" s="29"/>
      <c r="L38" s="29"/>
      <c r="M38" s="29"/>
      <c r="N38" s="29"/>
      <c r="O38" s="29"/>
      <c r="P38" s="147"/>
    </row>
    <row r="39" spans="2:16" x14ac:dyDescent="0.45">
      <c r="B39" s="55">
        <v>25</v>
      </c>
      <c r="C39" s="94"/>
      <c r="D39" s="29"/>
      <c r="E39" s="83"/>
      <c r="F39" s="83"/>
      <c r="G39" s="30"/>
      <c r="H39" s="29"/>
      <c r="I39" s="29"/>
      <c r="J39" s="29"/>
      <c r="K39" s="29"/>
      <c r="L39" s="29"/>
      <c r="M39" s="29"/>
      <c r="N39" s="29"/>
      <c r="O39" s="29"/>
      <c r="P39" s="147"/>
    </row>
    <row r="40" spans="2:16" x14ac:dyDescent="0.45">
      <c r="B40" s="55">
        <v>26</v>
      </c>
      <c r="C40" s="94"/>
      <c r="D40" s="29"/>
      <c r="E40" s="83"/>
      <c r="F40" s="83"/>
      <c r="G40" s="30"/>
      <c r="H40" s="29"/>
      <c r="I40" s="29"/>
      <c r="J40" s="29"/>
      <c r="K40" s="29"/>
      <c r="L40" s="29"/>
      <c r="M40" s="29"/>
      <c r="N40" s="29"/>
      <c r="O40" s="29"/>
      <c r="P40" s="147"/>
    </row>
    <row r="41" spans="2:16" x14ac:dyDescent="0.45">
      <c r="B41" s="55">
        <v>27</v>
      </c>
      <c r="C41" s="94"/>
      <c r="D41" s="29"/>
      <c r="E41" s="83"/>
      <c r="F41" s="83"/>
      <c r="G41" s="30"/>
      <c r="H41" s="29"/>
      <c r="I41" s="29"/>
      <c r="J41" s="29"/>
      <c r="K41" s="29"/>
      <c r="L41" s="29"/>
      <c r="M41" s="29"/>
      <c r="N41" s="29"/>
      <c r="O41" s="29"/>
      <c r="P41" s="147"/>
    </row>
    <row r="42" spans="2:16" x14ac:dyDescent="0.45">
      <c r="B42" s="55">
        <v>28</v>
      </c>
      <c r="C42" s="94"/>
      <c r="D42" s="29"/>
      <c r="E42" s="83"/>
      <c r="F42" s="83"/>
      <c r="G42" s="30"/>
      <c r="H42" s="29"/>
      <c r="I42" s="29"/>
      <c r="J42" s="29"/>
      <c r="K42" s="29"/>
      <c r="L42" s="29"/>
      <c r="M42" s="29"/>
      <c r="N42" s="29"/>
      <c r="O42" s="29"/>
      <c r="P42" s="147"/>
    </row>
    <row r="43" spans="2:16" x14ac:dyDescent="0.45">
      <c r="B43" s="55">
        <v>29</v>
      </c>
      <c r="C43" s="94"/>
      <c r="D43" s="29"/>
      <c r="E43" s="83"/>
      <c r="F43" s="83"/>
      <c r="G43" s="30"/>
      <c r="H43" s="29"/>
      <c r="I43" s="29"/>
      <c r="J43" s="29"/>
      <c r="K43" s="29"/>
      <c r="L43" s="29"/>
      <c r="M43" s="29"/>
      <c r="N43" s="29"/>
      <c r="O43" s="29"/>
      <c r="P43" s="147"/>
    </row>
    <row r="44" spans="2:16" x14ac:dyDescent="0.45">
      <c r="B44" s="53">
        <v>30</v>
      </c>
      <c r="C44" s="73"/>
      <c r="D44" s="84"/>
      <c r="E44" s="74"/>
      <c r="F44" s="74"/>
      <c r="G44" s="75"/>
      <c r="H44" s="84"/>
      <c r="I44" s="84"/>
      <c r="J44" s="84"/>
      <c r="K44" s="84"/>
      <c r="L44" s="84"/>
      <c r="M44" s="84"/>
      <c r="N44" s="84"/>
      <c r="O44" s="84"/>
      <c r="P44" s="148"/>
    </row>
    <row r="47" spans="2:16" ht="15" customHeight="1" x14ac:dyDescent="0.45">
      <c r="C47" s="223" t="s">
        <v>49</v>
      </c>
      <c r="D47" s="224"/>
      <c r="E47" s="224"/>
      <c r="F47" s="224"/>
      <c r="G47" s="224"/>
      <c r="H47" s="224"/>
      <c r="I47" s="224"/>
      <c r="J47" s="224"/>
      <c r="K47" s="224"/>
      <c r="L47" s="224"/>
      <c r="M47" s="224"/>
      <c r="N47" s="224"/>
      <c r="O47" s="224"/>
    </row>
    <row r="48" spans="2:16" x14ac:dyDescent="0.45">
      <c r="C48" s="232"/>
      <c r="D48" s="233"/>
      <c r="E48" s="233"/>
      <c r="F48" s="233"/>
      <c r="G48" s="233"/>
      <c r="H48" s="233"/>
      <c r="I48" s="233"/>
      <c r="J48" s="233"/>
      <c r="K48" s="233"/>
      <c r="L48" s="233"/>
      <c r="M48" s="233"/>
      <c r="N48" s="233"/>
      <c r="O48" s="233"/>
    </row>
    <row r="49" spans="3:15" x14ac:dyDescent="0.45">
      <c r="C49" s="232"/>
      <c r="D49" s="233"/>
      <c r="E49" s="233"/>
      <c r="F49" s="233"/>
      <c r="G49" s="233"/>
      <c r="H49" s="233"/>
      <c r="I49" s="233"/>
      <c r="J49" s="233"/>
      <c r="K49" s="233"/>
      <c r="L49" s="233"/>
      <c r="M49" s="233"/>
      <c r="N49" s="233"/>
      <c r="O49" s="233"/>
    </row>
    <row r="50" spans="3:15" x14ac:dyDescent="0.45">
      <c r="C50" s="232"/>
      <c r="D50" s="233"/>
      <c r="E50" s="233"/>
      <c r="F50" s="233"/>
      <c r="G50" s="233"/>
      <c r="H50" s="233"/>
      <c r="I50" s="233"/>
      <c r="J50" s="233"/>
      <c r="K50" s="233"/>
      <c r="L50" s="233"/>
      <c r="M50" s="233"/>
      <c r="N50" s="233"/>
      <c r="O50" s="233"/>
    </row>
    <row r="51" spans="3:15" x14ac:dyDescent="0.45">
      <c r="C51" s="226"/>
      <c r="D51" s="268"/>
      <c r="E51" s="268"/>
      <c r="F51" s="268"/>
      <c r="G51" s="268"/>
      <c r="H51" s="268"/>
      <c r="I51" s="268"/>
      <c r="J51" s="268"/>
      <c r="K51" s="268"/>
      <c r="L51" s="268"/>
      <c r="M51" s="268"/>
      <c r="N51" s="268"/>
      <c r="O51" s="268"/>
    </row>
    <row r="54" spans="3:15" x14ac:dyDescent="0.45">
      <c r="J54" s="4"/>
      <c r="K54" s="4"/>
      <c r="L54" s="4"/>
      <c r="M54" s="4"/>
      <c r="N54" s="4"/>
      <c r="O54" s="4"/>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M51"/>
  <sheetViews>
    <sheetView zoomScale="80" zoomScaleNormal="80" workbookViewId="0">
      <selection activeCell="C14" sqref="C14"/>
    </sheetView>
  </sheetViews>
  <sheetFormatPr defaultColWidth="9.1328125" defaultRowHeight="14.25" x14ac:dyDescent="0.45"/>
  <cols>
    <col min="1" max="1" width="7.73046875" customWidth="1"/>
    <col min="2" max="2" width="3.59765625" customWidth="1"/>
    <col min="3" max="3" width="38.1328125" customWidth="1"/>
    <col min="4" max="4" width="21.73046875" customWidth="1"/>
    <col min="5" max="5" width="13" style="60" customWidth="1"/>
    <col min="6" max="6" width="14.265625" customWidth="1"/>
    <col min="8" max="8" width="14.73046875" customWidth="1"/>
  </cols>
  <sheetData>
    <row r="7" spans="2:13" ht="15" customHeight="1" x14ac:dyDescent="0.45">
      <c r="C7" s="260" t="s">
        <v>123</v>
      </c>
      <c r="D7" s="262"/>
      <c r="E7" s="77"/>
    </row>
    <row r="8" spans="2:13" ht="15" customHeight="1" x14ac:dyDescent="0.45">
      <c r="C8" s="263"/>
      <c r="D8" s="265"/>
      <c r="E8" s="77"/>
    </row>
    <row r="9" spans="2:13" ht="15.75" x14ac:dyDescent="0.45">
      <c r="C9" s="52"/>
      <c r="D9" s="52"/>
      <c r="E9" s="61"/>
    </row>
    <row r="10" spans="2:13" ht="15" customHeight="1" x14ac:dyDescent="0.45">
      <c r="C10" s="301" t="s">
        <v>124</v>
      </c>
      <c r="D10" s="302"/>
      <c r="E10" s="136" t="s">
        <v>94</v>
      </c>
      <c r="F10" s="72">
        <f ca="1">TODAY()</f>
        <v>43526</v>
      </c>
      <c r="J10" s="179" t="s">
        <v>125</v>
      </c>
      <c r="K10" s="171"/>
      <c r="L10" s="171"/>
      <c r="M10" s="172"/>
    </row>
    <row r="11" spans="2:13" x14ac:dyDescent="0.45">
      <c r="C11" s="116"/>
      <c r="D11" s="116"/>
      <c r="E11" s="115"/>
      <c r="F11" s="57"/>
      <c r="J11" s="173"/>
      <c r="K11" s="174"/>
      <c r="L11" s="174"/>
      <c r="M11" s="175"/>
    </row>
    <row r="12" spans="2:13" x14ac:dyDescent="0.45">
      <c r="J12" s="173"/>
      <c r="K12" s="174"/>
      <c r="L12" s="174"/>
      <c r="M12" s="175"/>
    </row>
    <row r="13" spans="2:13" ht="14.65" thickBot="1" x14ac:dyDescent="0.5">
      <c r="C13" s="142" t="s">
        <v>39</v>
      </c>
      <c r="D13" s="143" t="s">
        <v>93</v>
      </c>
      <c r="E13" s="144" t="s">
        <v>92</v>
      </c>
      <c r="F13" s="144" t="s">
        <v>116</v>
      </c>
      <c r="G13" s="144" t="s">
        <v>148</v>
      </c>
      <c r="H13" s="181" t="s">
        <v>16</v>
      </c>
      <c r="J13" s="176"/>
      <c r="K13" s="177"/>
      <c r="L13" s="177"/>
      <c r="M13" s="178"/>
    </row>
    <row r="14" spans="2:13" ht="14.65" thickTop="1" x14ac:dyDescent="0.45">
      <c r="C14" s="94" t="str">
        <f>Setup!D14</f>
        <v>LUID_743IR9YI</v>
      </c>
      <c r="D14" s="29">
        <v>1</v>
      </c>
      <c r="E14" s="29">
        <v>300</v>
      </c>
      <c r="F14" s="29">
        <v>400</v>
      </c>
      <c r="G14" s="180" t="s">
        <v>100</v>
      </c>
      <c r="H14" s="146" t="s">
        <v>226</v>
      </c>
    </row>
    <row r="15" spans="2:13" x14ac:dyDescent="0.45">
      <c r="C15" s="94" t="str">
        <f>Setup!D15</f>
        <v>LUID_1QFNMM7Q</v>
      </c>
      <c r="D15" s="29"/>
      <c r="E15" s="29"/>
      <c r="F15" s="29"/>
      <c r="G15" s="114"/>
      <c r="H15" s="147"/>
    </row>
    <row r="16" spans="2:13" x14ac:dyDescent="0.45">
      <c r="B16" s="54">
        <v>1</v>
      </c>
      <c r="C16" s="94" t="str">
        <f>Setup!D16</f>
        <v>LUID_BTD8TCBY</v>
      </c>
      <c r="D16" s="29"/>
      <c r="E16" s="29"/>
      <c r="F16" s="29"/>
      <c r="G16" s="114"/>
      <c r="H16" s="147"/>
    </row>
    <row r="17" spans="2:8" x14ac:dyDescent="0.45">
      <c r="B17" s="55">
        <v>2</v>
      </c>
      <c r="C17" s="94" t="str">
        <f>Setup!D17</f>
        <v>LUID_2NHLJ63K</v>
      </c>
      <c r="D17" s="29"/>
      <c r="E17" s="29"/>
      <c r="F17" s="29"/>
      <c r="G17" s="114"/>
      <c r="H17" s="147"/>
    </row>
    <row r="18" spans="2:8" x14ac:dyDescent="0.45">
      <c r="B18" s="55">
        <v>3</v>
      </c>
      <c r="C18" s="94" t="str">
        <f>Setup!D18</f>
        <v>LUID_NFUKQ78Y</v>
      </c>
      <c r="D18" s="29"/>
      <c r="E18" s="29"/>
      <c r="F18" s="29"/>
      <c r="G18" s="114"/>
      <c r="H18" s="147"/>
    </row>
    <row r="19" spans="2:8" x14ac:dyDescent="0.45">
      <c r="B19" s="55">
        <v>4</v>
      </c>
      <c r="C19" s="94" t="str">
        <f>Setup!D19</f>
        <v>LUID_19063M9U</v>
      </c>
      <c r="D19" s="29"/>
      <c r="E19" s="29"/>
      <c r="F19" s="29"/>
      <c r="G19" s="114"/>
      <c r="H19" s="147"/>
    </row>
    <row r="20" spans="2:8" x14ac:dyDescent="0.45">
      <c r="B20" s="55">
        <v>5</v>
      </c>
      <c r="C20" s="94" t="str">
        <f>Setup!D20</f>
        <v>LUID_01O5RKGZ</v>
      </c>
      <c r="D20" s="29"/>
      <c r="E20" s="29"/>
      <c r="F20" s="29"/>
      <c r="G20" s="114"/>
      <c r="H20" s="147"/>
    </row>
    <row r="21" spans="2:8" x14ac:dyDescent="0.45">
      <c r="B21" s="55">
        <v>6</v>
      </c>
      <c r="C21" s="94" t="str">
        <f>Setup!D21</f>
        <v>LUID_J9339BN6</v>
      </c>
      <c r="D21" s="29"/>
      <c r="E21" s="29"/>
      <c r="F21" s="29"/>
      <c r="G21" s="114"/>
      <c r="H21" s="147"/>
    </row>
    <row r="22" spans="2:8" x14ac:dyDescent="0.45">
      <c r="B22" s="55">
        <v>7</v>
      </c>
      <c r="C22" s="94" t="str">
        <f>Setup!D22</f>
        <v>LUID_0T4ENP6U</v>
      </c>
      <c r="D22" s="29"/>
      <c r="E22" s="29"/>
      <c r="F22" s="29"/>
      <c r="G22" s="114"/>
      <c r="H22" s="147"/>
    </row>
    <row r="23" spans="2:8" x14ac:dyDescent="0.45">
      <c r="B23" s="55">
        <v>8</v>
      </c>
      <c r="C23" s="94" t="str">
        <f>Setup!D23</f>
        <v>LUID_ROYPD30O</v>
      </c>
      <c r="D23" s="29"/>
      <c r="E23" s="29"/>
      <c r="F23" s="29"/>
      <c r="G23" s="114"/>
      <c r="H23" s="147"/>
    </row>
    <row r="24" spans="2:8" x14ac:dyDescent="0.45">
      <c r="B24" s="55">
        <v>9</v>
      </c>
      <c r="C24" s="94" t="str">
        <f>Setup!D24</f>
        <v>LUID_TUHB7XTD</v>
      </c>
      <c r="D24" s="29"/>
      <c r="E24" s="29"/>
      <c r="F24" s="29"/>
      <c r="G24" s="114"/>
      <c r="H24" s="147"/>
    </row>
    <row r="25" spans="2:8" x14ac:dyDescent="0.45">
      <c r="B25" s="55">
        <v>10</v>
      </c>
      <c r="C25" s="94" t="str">
        <f>Setup!D25</f>
        <v>LUID_RW0E62PU</v>
      </c>
      <c r="D25" s="29"/>
      <c r="E25" s="29"/>
      <c r="F25" s="29"/>
      <c r="G25" s="114"/>
      <c r="H25" s="147"/>
    </row>
    <row r="26" spans="2:8" x14ac:dyDescent="0.45">
      <c r="B26" s="55">
        <v>11</v>
      </c>
      <c r="C26" s="94" t="str">
        <f>Setup!D26</f>
        <v>LUID_NSEKU1OZ</v>
      </c>
      <c r="D26" s="29"/>
      <c r="E26" s="29"/>
      <c r="F26" s="29"/>
      <c r="G26" s="114"/>
      <c r="H26" s="147"/>
    </row>
    <row r="27" spans="2:8" x14ac:dyDescent="0.45">
      <c r="B27" s="55">
        <v>12</v>
      </c>
      <c r="C27" s="94" t="str">
        <f>Setup!D27</f>
        <v>LUID_SPXF639U</v>
      </c>
      <c r="D27" s="29"/>
      <c r="E27" s="29"/>
      <c r="F27" s="29"/>
      <c r="G27" s="114"/>
      <c r="H27" s="147"/>
    </row>
    <row r="28" spans="2:8" x14ac:dyDescent="0.45">
      <c r="B28" s="55">
        <v>13</v>
      </c>
      <c r="C28" s="94" t="str">
        <f>Setup!D28</f>
        <v>LUID_AJGU6LO8</v>
      </c>
      <c r="D28" s="29"/>
      <c r="E28" s="29"/>
      <c r="F28" s="29"/>
      <c r="G28" s="114"/>
      <c r="H28" s="147"/>
    </row>
    <row r="29" spans="2:8" x14ac:dyDescent="0.45">
      <c r="B29" s="55">
        <v>14</v>
      </c>
      <c r="C29" s="94" t="str">
        <f>Setup!D29</f>
        <v>LUID_7MHFLQ5W</v>
      </c>
      <c r="D29" s="29"/>
      <c r="E29" s="29"/>
      <c r="F29" s="29"/>
      <c r="G29" s="114"/>
      <c r="H29" s="147"/>
    </row>
    <row r="30" spans="2:8" x14ac:dyDescent="0.45">
      <c r="B30" s="55">
        <v>15</v>
      </c>
      <c r="C30" s="94" t="str">
        <f>Setup!D30</f>
        <v>LUID_IGLZ5M6K</v>
      </c>
      <c r="D30" s="29"/>
      <c r="E30" s="29"/>
      <c r="F30" s="29"/>
      <c r="G30" s="114"/>
      <c r="H30" s="147"/>
    </row>
    <row r="31" spans="2:8" x14ac:dyDescent="0.45">
      <c r="B31" s="55">
        <v>16</v>
      </c>
      <c r="C31" s="94" t="str">
        <f>Setup!D31</f>
        <v>LUID_OE63TA2K</v>
      </c>
      <c r="D31" s="29"/>
      <c r="E31" s="29"/>
      <c r="F31" s="29"/>
      <c r="G31" s="114"/>
      <c r="H31" s="147"/>
    </row>
    <row r="32" spans="2:8" x14ac:dyDescent="0.45">
      <c r="B32" s="55">
        <v>17</v>
      </c>
      <c r="C32" s="94" t="str">
        <f>Setup!D32</f>
        <v>LUID_NJGWCWRW</v>
      </c>
      <c r="D32" s="29"/>
      <c r="E32" s="29"/>
      <c r="F32" s="29"/>
      <c r="G32" s="114"/>
      <c r="H32" s="147"/>
    </row>
    <row r="33" spans="2:8" x14ac:dyDescent="0.45">
      <c r="B33" s="55">
        <v>18</v>
      </c>
      <c r="C33" s="94" t="str">
        <f>Setup!D33</f>
        <v>LUID_SUMBZHU2</v>
      </c>
      <c r="D33" s="29"/>
      <c r="E33" s="29"/>
      <c r="F33" s="29"/>
      <c r="G33" s="114"/>
      <c r="H33" s="147"/>
    </row>
    <row r="34" spans="2:8" x14ac:dyDescent="0.45">
      <c r="B34" s="55">
        <v>19</v>
      </c>
      <c r="C34" s="94" t="str">
        <f>Setup!D34</f>
        <v>LUID_YVVC055R</v>
      </c>
      <c r="D34" s="29"/>
      <c r="E34" s="29"/>
      <c r="F34" s="29"/>
      <c r="G34" s="114"/>
      <c r="H34" s="147"/>
    </row>
    <row r="35" spans="2:8" x14ac:dyDescent="0.45">
      <c r="B35" s="55">
        <v>20</v>
      </c>
      <c r="C35" s="94" t="str">
        <f>Setup!D35</f>
        <v>LUID_SZBESFPL</v>
      </c>
      <c r="D35" s="29"/>
      <c r="E35" s="29"/>
      <c r="F35" s="29"/>
      <c r="G35" s="114"/>
      <c r="H35" s="147"/>
    </row>
    <row r="36" spans="2:8" x14ac:dyDescent="0.45">
      <c r="B36" s="55">
        <v>21</v>
      </c>
      <c r="C36" s="94"/>
      <c r="D36" s="29"/>
      <c r="E36" s="29"/>
      <c r="F36" s="29"/>
      <c r="G36" s="114"/>
      <c r="H36" s="147"/>
    </row>
    <row r="37" spans="2:8" x14ac:dyDescent="0.45">
      <c r="B37" s="55">
        <v>22</v>
      </c>
      <c r="C37" s="94"/>
      <c r="D37" s="29"/>
      <c r="E37" s="29"/>
      <c r="F37" s="29"/>
      <c r="G37" s="114"/>
      <c r="H37" s="147"/>
    </row>
    <row r="38" spans="2:8" x14ac:dyDescent="0.45">
      <c r="B38" s="55">
        <v>23</v>
      </c>
      <c r="C38" s="94"/>
      <c r="D38" s="29"/>
      <c r="E38" s="29"/>
      <c r="F38" s="29"/>
      <c r="G38" s="114"/>
      <c r="H38" s="147"/>
    </row>
    <row r="39" spans="2:8" x14ac:dyDescent="0.45">
      <c r="B39" s="55">
        <v>24</v>
      </c>
      <c r="C39" s="94"/>
      <c r="D39" s="29"/>
      <c r="E39" s="29"/>
      <c r="F39" s="29"/>
      <c r="G39" s="114"/>
      <c r="H39" s="147"/>
    </row>
    <row r="40" spans="2:8" x14ac:dyDescent="0.45">
      <c r="B40" s="55">
        <v>25</v>
      </c>
      <c r="C40" s="94"/>
      <c r="D40" s="29"/>
      <c r="E40" s="29"/>
      <c r="F40" s="29"/>
      <c r="G40" s="114"/>
      <c r="H40" s="147"/>
    </row>
    <row r="41" spans="2:8" x14ac:dyDescent="0.45">
      <c r="B41" s="55">
        <v>26</v>
      </c>
      <c r="C41" s="94"/>
      <c r="D41" s="29"/>
      <c r="E41" s="29"/>
      <c r="F41" s="29"/>
      <c r="G41" s="114"/>
      <c r="H41" s="147"/>
    </row>
    <row r="42" spans="2:8" x14ac:dyDescent="0.45">
      <c r="B42" s="55">
        <v>27</v>
      </c>
      <c r="C42" s="94"/>
      <c r="D42" s="29"/>
      <c r="E42" s="29"/>
      <c r="F42" s="29"/>
      <c r="G42" s="114"/>
      <c r="H42" s="147"/>
    </row>
    <row r="43" spans="2:8" x14ac:dyDescent="0.45">
      <c r="B43" s="55">
        <v>28</v>
      </c>
      <c r="C43" s="94"/>
      <c r="D43" s="29"/>
      <c r="E43" s="29"/>
      <c r="F43" s="29"/>
      <c r="G43" s="114"/>
      <c r="H43" s="147"/>
    </row>
    <row r="44" spans="2:8" x14ac:dyDescent="0.45">
      <c r="B44" s="55">
        <v>29</v>
      </c>
      <c r="C44" s="114"/>
      <c r="D44" s="114"/>
      <c r="E44" s="114"/>
      <c r="F44" s="114"/>
      <c r="G44" s="114"/>
      <c r="H44" s="147"/>
    </row>
    <row r="45" spans="2:8" x14ac:dyDescent="0.45">
      <c r="B45" s="53">
        <v>30</v>
      </c>
      <c r="C45" s="145"/>
      <c r="D45" s="145"/>
      <c r="E45" s="145"/>
      <c r="F45" s="145"/>
      <c r="G45" s="145"/>
      <c r="H45" s="148"/>
    </row>
    <row r="47" spans="2:8" x14ac:dyDescent="0.45">
      <c r="C47" s="223" t="s">
        <v>91</v>
      </c>
      <c r="D47" s="224"/>
      <c r="E47" s="224"/>
      <c r="F47" s="225"/>
    </row>
    <row r="48" spans="2:8" x14ac:dyDescent="0.45">
      <c r="C48" s="232"/>
      <c r="D48" s="233"/>
      <c r="E48" s="233"/>
      <c r="F48" s="234"/>
    </row>
    <row r="49" spans="3:6" ht="15" customHeight="1" x14ac:dyDescent="0.45">
      <c r="C49" s="232"/>
      <c r="D49" s="233"/>
      <c r="E49" s="233"/>
      <c r="F49" s="234"/>
    </row>
    <row r="50" spans="3:6" x14ac:dyDescent="0.45">
      <c r="C50" s="232"/>
      <c r="D50" s="233"/>
      <c r="E50" s="233"/>
      <c r="F50" s="234"/>
    </row>
    <row r="51" spans="3:6" x14ac:dyDescent="0.45">
      <c r="C51" s="226"/>
      <c r="D51" s="268"/>
      <c r="E51" s="268"/>
      <c r="F51" s="228"/>
    </row>
  </sheetData>
  <mergeCells count="3">
    <mergeCell ref="C7:D8"/>
    <mergeCell ref="C10:D10"/>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9</xdr:col>
                    <xdr:colOff>523875</xdr:colOff>
                    <xdr:row>10</xdr:row>
                    <xdr:rowOff>47625</xdr:rowOff>
                  </from>
                  <to>
                    <xdr:col>12</xdr:col>
                    <xdr:colOff>219075</xdr:colOff>
                    <xdr:row>12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S22"/>
    </sheetView>
  </sheetViews>
  <sheetFormatPr defaultRowHeight="14.25" x14ac:dyDescent="0.45"/>
  <cols>
    <col min="3" max="3" width="15.265625" bestFit="1" customWidth="1"/>
    <col min="4" max="4" width="16.59765625" bestFit="1" customWidth="1"/>
    <col min="5" max="5" width="18" style="57" bestFit="1" customWidth="1"/>
    <col min="6" max="6" width="17.265625" style="57" bestFit="1" customWidth="1"/>
    <col min="7" max="7" width="17.86328125" bestFit="1" customWidth="1"/>
    <col min="8" max="8" width="29.59765625" bestFit="1" customWidth="1"/>
    <col min="9" max="9" width="21.59765625" bestFit="1" customWidth="1"/>
    <col min="10" max="10" width="7.73046875" bestFit="1" customWidth="1"/>
    <col min="11" max="11" width="18" bestFit="1" customWidth="1"/>
    <col min="12" max="12" width="20.86328125" bestFit="1" customWidth="1"/>
    <col min="13" max="13" width="15.265625" bestFit="1" customWidth="1"/>
    <col min="14" max="14" width="16.3984375" bestFit="1" customWidth="1"/>
    <col min="15" max="15" width="12" bestFit="1" customWidth="1"/>
    <col min="16" max="16" width="22.1328125" bestFit="1" customWidth="1"/>
    <col min="17" max="17" width="18.1328125" bestFit="1" customWidth="1"/>
    <col min="18" max="18" width="16.3984375" bestFit="1" customWidth="1"/>
    <col min="19" max="19" width="12" bestFit="1" customWidth="1"/>
    <col min="20" max="20" width="18.1328125" bestFit="1" customWidth="1"/>
    <col min="21" max="21" width="22.1328125" bestFit="1" customWidth="1"/>
    <col min="22" max="22" width="36.73046875" bestFit="1" customWidth="1"/>
  </cols>
  <sheetData>
    <row r="1" spans="1:14" x14ac:dyDescent="0.45">
      <c r="A1" s="29"/>
    </row>
    <row r="7" spans="1:14" ht="15" customHeight="1" x14ac:dyDescent="0.45">
      <c r="C7" s="260" t="s">
        <v>90</v>
      </c>
      <c r="D7" s="261"/>
      <c r="E7" s="261"/>
      <c r="F7" s="261"/>
      <c r="G7" s="261"/>
      <c r="H7" s="261"/>
      <c r="I7" s="261"/>
      <c r="J7" s="261"/>
      <c r="K7" s="261"/>
      <c r="L7" s="261"/>
      <c r="M7" s="261"/>
      <c r="N7" s="262"/>
    </row>
    <row r="8" spans="1:14" ht="15" customHeight="1" x14ac:dyDescent="0.45">
      <c r="C8" s="263"/>
      <c r="D8" s="271"/>
      <c r="E8" s="271"/>
      <c r="F8" s="271"/>
      <c r="G8" s="271"/>
      <c r="H8" s="271"/>
      <c r="I8" s="271"/>
      <c r="J8" s="271"/>
      <c r="K8" s="271"/>
      <c r="L8" s="271"/>
      <c r="M8" s="271"/>
      <c r="N8" s="265"/>
    </row>
    <row r="9" spans="1:14" ht="15.75" x14ac:dyDescent="0.45">
      <c r="C9" s="52"/>
      <c r="D9" s="52"/>
      <c r="E9" s="56"/>
      <c r="F9" s="56"/>
      <c r="G9" s="52"/>
      <c r="H9" s="52"/>
      <c r="I9" s="52"/>
    </row>
    <row r="10" spans="1:14" ht="15.75" x14ac:dyDescent="0.45">
      <c r="C10" s="304" t="s">
        <v>50</v>
      </c>
      <c r="D10" s="305"/>
      <c r="E10" s="305"/>
      <c r="F10" s="306"/>
      <c r="G10" s="52"/>
      <c r="H10" s="316" t="s">
        <v>84</v>
      </c>
      <c r="I10" s="317"/>
      <c r="J10" s="317"/>
      <c r="K10" s="317"/>
      <c r="L10" s="317"/>
      <c r="M10" s="317"/>
      <c r="N10" s="318"/>
    </row>
    <row r="11" spans="1:14" ht="15.75" x14ac:dyDescent="0.45">
      <c r="C11" s="52"/>
      <c r="D11" s="52"/>
      <c r="E11" s="56"/>
      <c r="F11" s="56"/>
      <c r="G11" s="52"/>
      <c r="H11" s="319"/>
      <c r="I11" s="255"/>
      <c r="J11" s="255"/>
      <c r="K11" s="255"/>
      <c r="L11" s="255"/>
      <c r="M11" s="255"/>
      <c r="N11" s="320"/>
    </row>
    <row r="12" spans="1:14" x14ac:dyDescent="0.45">
      <c r="C12" s="307" t="s">
        <v>127</v>
      </c>
      <c r="D12" s="308"/>
      <c r="E12" s="308"/>
      <c r="F12" s="309"/>
      <c r="G12" s="303"/>
      <c r="H12" s="319"/>
      <c r="I12" s="255"/>
      <c r="J12" s="255"/>
      <c r="K12" s="255"/>
      <c r="L12" s="255"/>
      <c r="M12" s="255"/>
      <c r="N12" s="320"/>
    </row>
    <row r="13" spans="1:14" x14ac:dyDescent="0.45">
      <c r="C13" s="310"/>
      <c r="D13" s="311"/>
      <c r="E13" s="311"/>
      <c r="F13" s="312"/>
      <c r="G13" s="303"/>
      <c r="H13" s="319"/>
      <c r="I13" s="255"/>
      <c r="J13" s="255"/>
      <c r="K13" s="255"/>
      <c r="L13" s="255"/>
      <c r="M13" s="255"/>
      <c r="N13" s="320"/>
    </row>
    <row r="14" spans="1:14" x14ac:dyDescent="0.45">
      <c r="C14" s="313"/>
      <c r="D14" s="314"/>
      <c r="E14" s="314"/>
      <c r="F14" s="315"/>
      <c r="G14" s="76"/>
      <c r="H14" s="321"/>
      <c r="I14" s="322"/>
      <c r="J14" s="322"/>
      <c r="K14" s="322"/>
      <c r="L14" s="322"/>
      <c r="M14" s="322"/>
      <c r="N14" s="323"/>
    </row>
    <row r="15" spans="1:14" x14ac:dyDescent="0.45">
      <c r="G15" s="1"/>
    </row>
    <row r="16" spans="1:14" x14ac:dyDescent="0.45">
      <c r="E16"/>
      <c r="F16"/>
    </row>
    <row r="17" spans="2:23" x14ac:dyDescent="0.45">
      <c r="E17"/>
      <c r="F17"/>
      <c r="W17" s="95"/>
    </row>
    <row r="18" spans="2:23" x14ac:dyDescent="0.45">
      <c r="E18"/>
      <c r="F18"/>
      <c r="W18" s="95"/>
    </row>
    <row r="19" spans="2:23" x14ac:dyDescent="0.45">
      <c r="E19"/>
      <c r="F19"/>
      <c r="W19" s="95"/>
    </row>
    <row r="20" spans="2:23" x14ac:dyDescent="0.45">
      <c r="E20"/>
      <c r="F20"/>
      <c r="W20" s="95"/>
    </row>
    <row r="21" spans="2:23" x14ac:dyDescent="0.45">
      <c r="E21"/>
      <c r="F21"/>
      <c r="W21" s="95"/>
    </row>
    <row r="22" spans="2:23" x14ac:dyDescent="0.45">
      <c r="E22"/>
      <c r="F22"/>
      <c r="W22" s="95"/>
    </row>
    <row r="23" spans="2:23" x14ac:dyDescent="0.45">
      <c r="E23"/>
      <c r="F23"/>
      <c r="W23" s="95"/>
    </row>
    <row r="24" spans="2:23" x14ac:dyDescent="0.45">
      <c r="E24"/>
      <c r="F24"/>
      <c r="W24" s="95"/>
    </row>
    <row r="25" spans="2:23" x14ac:dyDescent="0.45">
      <c r="E25"/>
      <c r="F25"/>
      <c r="W25" s="95"/>
    </row>
    <row r="26" spans="2:23" x14ac:dyDescent="0.45">
      <c r="B26" s="20"/>
      <c r="E26"/>
      <c r="F26"/>
      <c r="T26" s="95"/>
      <c r="U26" s="95"/>
      <c r="V26" s="95"/>
      <c r="W26" s="95"/>
    </row>
    <row r="27" spans="2:23" x14ac:dyDescent="0.45">
      <c r="B27" s="20"/>
      <c r="E27"/>
      <c r="F27"/>
      <c r="T27" s="95"/>
      <c r="U27" s="95"/>
      <c r="V27" s="95"/>
      <c r="W27" s="95"/>
    </row>
    <row r="28" spans="2:23" x14ac:dyDescent="0.45">
      <c r="B28" s="20"/>
      <c r="E28"/>
      <c r="F28"/>
      <c r="T28" s="95"/>
      <c r="U28" s="95"/>
      <c r="V28" s="95"/>
      <c r="W28" s="95"/>
    </row>
    <row r="29" spans="2:23" x14ac:dyDescent="0.45">
      <c r="B29" s="20"/>
      <c r="E29"/>
      <c r="F29"/>
      <c r="T29" s="95"/>
      <c r="U29" s="95"/>
      <c r="V29" s="95"/>
      <c r="W29" s="95"/>
    </row>
    <row r="30" spans="2:23" x14ac:dyDescent="0.45">
      <c r="B30" s="20"/>
      <c r="E30"/>
      <c r="F30"/>
      <c r="T30" s="95"/>
      <c r="U30" s="95"/>
      <c r="V30" s="95"/>
      <c r="W30" s="95"/>
    </row>
    <row r="31" spans="2:23" x14ac:dyDescent="0.45">
      <c r="B31" s="20"/>
      <c r="E31"/>
      <c r="F31"/>
      <c r="T31" s="95"/>
      <c r="U31" s="95"/>
      <c r="V31" s="95"/>
      <c r="W31" s="95"/>
    </row>
    <row r="32" spans="2:23" x14ac:dyDescent="0.45">
      <c r="B32" s="20"/>
      <c r="E32"/>
      <c r="F32"/>
      <c r="T32" s="95"/>
      <c r="U32" s="95"/>
      <c r="V32" s="95"/>
      <c r="W32" s="95"/>
    </row>
    <row r="33" spans="2:23" x14ac:dyDescent="0.45">
      <c r="B33" s="20"/>
      <c r="E33"/>
      <c r="F33"/>
      <c r="T33" s="95"/>
      <c r="U33" s="95"/>
      <c r="V33" s="95"/>
      <c r="W33" s="95"/>
    </row>
    <row r="34" spans="2:23" x14ac:dyDescent="0.45">
      <c r="B34" s="20"/>
      <c r="E34"/>
      <c r="F34"/>
      <c r="T34" s="95"/>
      <c r="U34" s="95"/>
      <c r="V34" s="95"/>
      <c r="W34" s="95"/>
    </row>
    <row r="35" spans="2:23" x14ac:dyDescent="0.45">
      <c r="B35" s="20"/>
      <c r="E35"/>
      <c r="F35"/>
      <c r="T35" s="95"/>
      <c r="U35" s="95"/>
      <c r="V35" s="95"/>
      <c r="W35" s="95"/>
    </row>
    <row r="36" spans="2:23" x14ac:dyDescent="0.45">
      <c r="B36" s="20"/>
      <c r="E36"/>
      <c r="F36"/>
      <c r="T36" s="95"/>
      <c r="U36" s="95"/>
      <c r="V36" s="95"/>
      <c r="W36" s="95"/>
    </row>
    <row r="37" spans="2:23" x14ac:dyDescent="0.45">
      <c r="B37" s="20"/>
      <c r="E37"/>
      <c r="F37"/>
      <c r="T37" s="95"/>
      <c r="U37" s="95"/>
      <c r="V37" s="95"/>
      <c r="W37" s="95"/>
    </row>
    <row r="38" spans="2:23" x14ac:dyDescent="0.45">
      <c r="B38" s="20"/>
      <c r="E38"/>
      <c r="F38"/>
      <c r="T38" s="95"/>
      <c r="U38" s="95"/>
      <c r="V38" s="95"/>
      <c r="W38" s="95"/>
    </row>
    <row r="39" spans="2:23" x14ac:dyDescent="0.45">
      <c r="B39" s="20"/>
      <c r="E39"/>
      <c r="F39"/>
      <c r="T39" s="95"/>
      <c r="U39" s="95"/>
      <c r="V39" s="95"/>
      <c r="W39" s="95"/>
    </row>
    <row r="40" spans="2:23" x14ac:dyDescent="0.45">
      <c r="B40" s="20"/>
      <c r="E40"/>
      <c r="F40"/>
      <c r="T40" s="95"/>
      <c r="U40" s="95"/>
      <c r="V40" s="95"/>
      <c r="W40" s="95"/>
    </row>
    <row r="41" spans="2:23" x14ac:dyDescent="0.45">
      <c r="B41" s="20"/>
      <c r="E41"/>
      <c r="F41"/>
      <c r="T41" s="95"/>
      <c r="U41" s="95"/>
      <c r="V41" s="95"/>
      <c r="W41" s="95"/>
    </row>
    <row r="42" spans="2:23" x14ac:dyDescent="0.45">
      <c r="B42" s="20"/>
      <c r="E42"/>
      <c r="F42"/>
      <c r="T42" s="95"/>
      <c r="U42" s="95"/>
      <c r="V42" s="95"/>
      <c r="W42" s="95"/>
    </row>
    <row r="43" spans="2:23" x14ac:dyDescent="0.45">
      <c r="B43" s="20"/>
      <c r="E43"/>
      <c r="F43"/>
      <c r="T43" s="95"/>
      <c r="U43" s="95"/>
      <c r="V43" s="95"/>
      <c r="W43" s="95"/>
    </row>
    <row r="44" spans="2:23" x14ac:dyDescent="0.45">
      <c r="B44" s="20"/>
      <c r="E44"/>
      <c r="F44"/>
      <c r="T44" s="95"/>
      <c r="U44" s="95"/>
      <c r="V44" s="95"/>
      <c r="W44" s="95"/>
    </row>
    <row r="45" spans="2:23" x14ac:dyDescent="0.45">
      <c r="B45" s="20"/>
      <c r="E45"/>
      <c r="F45"/>
      <c r="T45" s="95"/>
      <c r="U45" s="95"/>
      <c r="V45" s="95"/>
      <c r="W45" s="95"/>
    </row>
    <row r="46" spans="2:23" x14ac:dyDescent="0.45">
      <c r="B46" s="20"/>
      <c r="E46"/>
      <c r="F46"/>
      <c r="T46" s="95"/>
      <c r="U46" s="95"/>
      <c r="V46" s="95"/>
      <c r="W46" s="95"/>
    </row>
    <row r="47" spans="2:23" x14ac:dyDescent="0.45">
      <c r="B47" s="20"/>
      <c r="E47"/>
      <c r="F47"/>
      <c r="T47" s="95"/>
      <c r="U47" s="95"/>
      <c r="V47" s="95"/>
      <c r="W47" s="95"/>
    </row>
    <row r="48" spans="2:23" x14ac:dyDescent="0.45">
      <c r="E48"/>
      <c r="F48"/>
    </row>
    <row r="49" spans="3:19" x14ac:dyDescent="0.45">
      <c r="E49"/>
      <c r="F49"/>
    </row>
    <row r="50" spans="3:19" x14ac:dyDescent="0.45">
      <c r="E50"/>
      <c r="F50"/>
    </row>
    <row r="51" spans="3:19" x14ac:dyDescent="0.45">
      <c r="E51"/>
      <c r="F51"/>
    </row>
    <row r="52" spans="3:19" x14ac:dyDescent="0.45">
      <c r="E52"/>
      <c r="F52"/>
    </row>
    <row r="53" spans="3:19" x14ac:dyDescent="0.45">
      <c r="E53"/>
      <c r="F53"/>
    </row>
    <row r="54" spans="3:19" x14ac:dyDescent="0.45">
      <c r="C54" s="4"/>
      <c r="D54" s="4"/>
      <c r="E54" s="4"/>
      <c r="F54" s="4"/>
      <c r="G54" s="4"/>
      <c r="H54" s="4"/>
      <c r="I54" s="4"/>
      <c r="J54" s="4"/>
      <c r="K54" s="4"/>
      <c r="L54" s="4"/>
      <c r="M54" s="4"/>
      <c r="N54" s="4"/>
      <c r="O54" s="4"/>
      <c r="P54" s="4"/>
      <c r="Q54" s="4"/>
      <c r="R54" s="4"/>
      <c r="S54" s="4"/>
    </row>
    <row r="55" spans="3:19" x14ac:dyDescent="0.45">
      <c r="C55" s="4"/>
      <c r="D55" s="4"/>
      <c r="E55" s="4"/>
      <c r="F55" s="4"/>
      <c r="G55" s="4"/>
      <c r="H55" s="4"/>
      <c r="I55" s="4"/>
      <c r="J55" s="4"/>
      <c r="K55" s="4"/>
      <c r="L55" s="4"/>
      <c r="M55" s="4"/>
      <c r="N55" s="4"/>
      <c r="O55" s="4"/>
      <c r="P55" s="4"/>
      <c r="Q55" s="4"/>
      <c r="R55" s="4"/>
      <c r="S55" s="4"/>
    </row>
    <row r="56" spans="3:19" x14ac:dyDescent="0.45">
      <c r="C56" s="4"/>
      <c r="D56" s="4"/>
      <c r="E56" s="4"/>
      <c r="F56" s="4"/>
      <c r="G56" s="4"/>
      <c r="H56" s="4"/>
      <c r="I56" s="4"/>
      <c r="J56" s="4"/>
      <c r="K56" s="4"/>
      <c r="L56" s="4"/>
      <c r="M56" s="4"/>
      <c r="N56" s="4"/>
      <c r="O56" s="4"/>
      <c r="P56" s="4"/>
      <c r="Q56" s="4"/>
      <c r="R56" s="4"/>
      <c r="S56" s="4"/>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B2:O16"/>
  <sheetViews>
    <sheetView zoomScale="80" zoomScaleNormal="80" workbookViewId="0">
      <selection activeCell="B17" sqref="B17:G20"/>
    </sheetView>
  </sheetViews>
  <sheetFormatPr defaultRowHeight="14.25" x14ac:dyDescent="0.45"/>
  <cols>
    <col min="2" max="2" width="16.59765625" bestFit="1" customWidth="1"/>
    <col min="3" max="3" width="13.86328125" bestFit="1" customWidth="1"/>
    <col min="4" max="4" width="6.3984375" bestFit="1" customWidth="1"/>
    <col min="5" max="5" width="13.3984375" bestFit="1" customWidth="1"/>
    <col min="6" max="6" width="5.265625" bestFit="1" customWidth="1"/>
    <col min="7" max="7" width="16.73046875" bestFit="1" customWidth="1"/>
    <col min="8" max="8" width="20.86328125" bestFit="1" customWidth="1"/>
    <col min="9" max="9" width="15.59765625" bestFit="1" customWidth="1"/>
    <col min="10" max="10" width="15.73046875" bestFit="1" customWidth="1"/>
    <col min="11" max="11" width="17.1328125" bestFit="1" customWidth="1"/>
    <col min="12" max="12" width="10.265625" bestFit="1" customWidth="1"/>
    <col min="13" max="13" width="7.73046875" bestFit="1" customWidth="1"/>
    <col min="14" max="14" width="12" bestFit="1" customWidth="1"/>
    <col min="15" max="15" width="20.86328125" bestFit="1" customWidth="1"/>
    <col min="16" max="16" width="15.265625" bestFit="1" customWidth="1"/>
    <col min="17" max="17" width="16.3984375" bestFit="1" customWidth="1"/>
    <col min="18" max="18" width="12" bestFit="1" customWidth="1"/>
    <col min="19" max="19" width="51.265625" bestFit="1" customWidth="1"/>
    <col min="20" max="20" width="37.265625" bestFit="1" customWidth="1"/>
  </cols>
  <sheetData>
    <row r="2" spans="2:15" x14ac:dyDescent="0.45">
      <c r="D2" s="57"/>
      <c r="E2" s="57"/>
    </row>
    <row r="3" spans="2:15" x14ac:dyDescent="0.45">
      <c r="D3" s="57"/>
      <c r="E3" s="57"/>
    </row>
    <row r="4" spans="2:15" x14ac:dyDescent="0.45">
      <c r="D4" s="57"/>
      <c r="E4" s="57"/>
    </row>
    <row r="5" spans="2:15" x14ac:dyDescent="0.45">
      <c r="D5" s="57"/>
      <c r="E5" s="57"/>
    </row>
    <row r="6" spans="2:15" x14ac:dyDescent="0.45">
      <c r="D6" s="57"/>
      <c r="E6" s="57"/>
    </row>
    <row r="7" spans="2:15" x14ac:dyDescent="0.45">
      <c r="B7" s="260" t="s">
        <v>89</v>
      </c>
      <c r="C7" s="261"/>
      <c r="D7" s="261"/>
      <c r="E7" s="261"/>
      <c r="F7" s="261"/>
      <c r="G7" s="261"/>
      <c r="H7" s="261"/>
      <c r="I7" s="261"/>
      <c r="J7" s="261"/>
      <c r="K7" s="261"/>
      <c r="L7" s="261"/>
      <c r="M7" s="262"/>
    </row>
    <row r="8" spans="2:15" x14ac:dyDescent="0.45">
      <c r="B8" s="263"/>
      <c r="C8" s="271"/>
      <c r="D8" s="271"/>
      <c r="E8" s="271"/>
      <c r="F8" s="271"/>
      <c r="G8" s="271"/>
      <c r="H8" s="271"/>
      <c r="I8" s="271"/>
      <c r="J8" s="271"/>
      <c r="K8" s="271"/>
      <c r="L8" s="271"/>
      <c r="M8" s="265"/>
    </row>
    <row r="9" spans="2:15" ht="15.75" x14ac:dyDescent="0.45">
      <c r="B9" s="52"/>
      <c r="C9" s="52"/>
      <c r="D9" s="56"/>
      <c r="E9" s="56"/>
      <c r="F9" s="52"/>
      <c r="G9" s="52"/>
      <c r="H9" s="56"/>
    </row>
    <row r="10" spans="2:15" ht="15.75" x14ac:dyDescent="0.45">
      <c r="B10" s="327" t="s">
        <v>75</v>
      </c>
      <c r="C10" s="328"/>
      <c r="D10" s="328"/>
      <c r="E10" s="328"/>
      <c r="F10" s="329"/>
      <c r="G10" s="52" t="s">
        <v>76</v>
      </c>
      <c r="H10" s="59">
        <f ca="1">TODAY()</f>
        <v>43526</v>
      </c>
    </row>
    <row r="11" spans="2:15" ht="15.75" x14ac:dyDescent="0.45">
      <c r="B11" s="52"/>
      <c r="C11" s="52"/>
      <c r="D11" s="56"/>
      <c r="E11" s="56"/>
      <c r="F11" s="52"/>
      <c r="G11" s="58"/>
      <c r="H11" s="58"/>
    </row>
    <row r="12" spans="2:15" ht="15.75" customHeight="1" x14ac:dyDescent="0.45">
      <c r="B12" s="52"/>
      <c r="C12" s="52"/>
      <c r="D12" s="56"/>
      <c r="E12" s="56"/>
      <c r="F12" s="52"/>
      <c r="G12" s="58"/>
      <c r="H12" s="58"/>
      <c r="I12" s="251" t="s">
        <v>79</v>
      </c>
      <c r="J12" s="252"/>
      <c r="K12" s="252"/>
      <c r="L12" s="252"/>
      <c r="M12" s="253"/>
      <c r="N12" s="77"/>
      <c r="O12" s="77"/>
    </row>
    <row r="13" spans="2:15" ht="15" customHeight="1" x14ac:dyDescent="0.45">
      <c r="B13" s="307" t="s">
        <v>51</v>
      </c>
      <c r="C13" s="308"/>
      <c r="D13" s="308"/>
      <c r="E13" s="309"/>
      <c r="F13" s="324"/>
      <c r="G13" s="325"/>
      <c r="H13" s="58"/>
      <c r="I13" s="254"/>
      <c r="J13" s="255"/>
      <c r="K13" s="255"/>
      <c r="L13" s="255"/>
      <c r="M13" s="256"/>
      <c r="N13" s="77"/>
      <c r="O13" s="77"/>
    </row>
    <row r="14" spans="2:15" ht="15" customHeight="1" x14ac:dyDescent="0.45">
      <c r="B14" s="313"/>
      <c r="C14" s="314"/>
      <c r="D14" s="314"/>
      <c r="E14" s="315"/>
      <c r="F14" s="324"/>
      <c r="G14" s="326"/>
      <c r="H14" s="58"/>
      <c r="I14" s="254"/>
      <c r="J14" s="255"/>
      <c r="K14" s="255"/>
      <c r="L14" s="255"/>
      <c r="M14" s="256"/>
      <c r="N14" s="77"/>
      <c r="O14" s="77"/>
    </row>
    <row r="15" spans="2:15" ht="15" customHeight="1" x14ac:dyDescent="0.45">
      <c r="D15" s="57"/>
      <c r="E15" s="57"/>
      <c r="F15" s="1"/>
      <c r="I15" s="254"/>
      <c r="J15" s="255"/>
      <c r="K15" s="255"/>
      <c r="L15" s="255"/>
      <c r="M15" s="256"/>
      <c r="N15" s="77"/>
      <c r="O15" s="77"/>
    </row>
    <row r="16" spans="2:15" ht="15" customHeight="1" x14ac:dyDescent="0.45">
      <c r="I16" s="257"/>
      <c r="J16" s="258"/>
      <c r="K16" s="258"/>
      <c r="L16" s="258"/>
      <c r="M16" s="259"/>
      <c r="N16" s="77"/>
      <c r="O16" s="77"/>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E23"/>
    </sheetView>
  </sheetViews>
  <sheetFormatPr defaultRowHeight="14.25" x14ac:dyDescent="0.45"/>
  <cols>
    <col min="2" max="2" width="3.265625" customWidth="1"/>
    <col min="3" max="3" width="25.86328125" customWidth="1"/>
    <col min="4" max="4" width="22.86328125" customWidth="1"/>
    <col min="5" max="5" width="33.59765625" customWidth="1"/>
  </cols>
  <sheetData>
    <row r="2" spans="3:15" x14ac:dyDescent="0.45">
      <c r="E2" s="60"/>
    </row>
    <row r="3" spans="3:15" x14ac:dyDescent="0.45">
      <c r="E3" s="60"/>
    </row>
    <row r="4" spans="3:15" x14ac:dyDescent="0.45">
      <c r="E4" s="60"/>
    </row>
    <row r="5" spans="3:15" x14ac:dyDescent="0.45">
      <c r="E5" s="60"/>
    </row>
    <row r="6" spans="3:15" x14ac:dyDescent="0.45">
      <c r="E6" s="60"/>
    </row>
    <row r="7" spans="3:15" ht="15" customHeight="1" x14ac:dyDescent="0.45">
      <c r="C7" s="251" t="s">
        <v>109</v>
      </c>
      <c r="D7" s="252"/>
      <c r="E7" s="252"/>
      <c r="F7" s="252"/>
      <c r="G7" s="252"/>
      <c r="H7" s="252"/>
      <c r="I7" s="252"/>
      <c r="J7" s="253"/>
      <c r="K7" s="70"/>
      <c r="L7" s="70"/>
      <c r="M7" s="70"/>
      <c r="N7" s="70"/>
      <c r="O7" s="70"/>
    </row>
    <row r="8" spans="3:15" ht="15" customHeight="1" x14ac:dyDescent="0.45">
      <c r="C8" s="257"/>
      <c r="D8" s="258"/>
      <c r="E8" s="258"/>
      <c r="F8" s="258"/>
      <c r="G8" s="258"/>
      <c r="H8" s="258"/>
      <c r="I8" s="258"/>
      <c r="J8" s="259"/>
      <c r="K8" s="70"/>
      <c r="L8" s="70"/>
      <c r="M8" s="70"/>
      <c r="N8" s="70"/>
      <c r="O8" s="70"/>
    </row>
    <row r="9" spans="3:15" ht="15.75" customHeight="1" x14ac:dyDescent="0.45">
      <c r="C9" s="135"/>
      <c r="D9" s="135"/>
      <c r="E9" s="135"/>
      <c r="F9" s="135"/>
      <c r="G9" s="135"/>
      <c r="H9" s="135"/>
      <c r="I9" s="135"/>
      <c r="J9" s="135"/>
    </row>
    <row r="10" spans="3:15" ht="15.75" x14ac:dyDescent="0.45">
      <c r="C10" s="304" t="s">
        <v>110</v>
      </c>
      <c r="D10" s="305"/>
      <c r="E10" s="305"/>
      <c r="F10" s="305"/>
      <c r="G10" s="305"/>
      <c r="H10" s="305"/>
      <c r="I10" s="305"/>
      <c r="J10" s="306"/>
    </row>
    <row r="11" spans="3:15" ht="15.75" x14ac:dyDescent="0.45">
      <c r="C11" s="52"/>
      <c r="D11" s="52"/>
      <c r="E11" s="61"/>
    </row>
    <row r="12" spans="3:15" ht="15" customHeight="1" x14ac:dyDescent="0.45">
      <c r="C12" s="338" t="s">
        <v>56</v>
      </c>
      <c r="D12" s="339"/>
      <c r="E12" s="339"/>
      <c r="F12" s="339"/>
      <c r="G12" s="339"/>
      <c r="H12" s="340"/>
    </row>
    <row r="13" spans="3:15" ht="15" customHeight="1" x14ac:dyDescent="0.45">
      <c r="C13" s="341"/>
      <c r="D13" s="342"/>
      <c r="E13" s="342"/>
      <c r="F13" s="342"/>
      <c r="G13" s="342"/>
      <c r="H13" s="343"/>
    </row>
    <row r="14" spans="3:15" ht="15" customHeight="1" x14ac:dyDescent="0.45"/>
    <row r="15" spans="3:15" ht="15" customHeight="1" x14ac:dyDescent="0.45"/>
    <row r="16" spans="3:15" ht="15" customHeight="1" x14ac:dyDescent="0.45">
      <c r="C16" s="182" t="s">
        <v>2</v>
      </c>
      <c r="D16" s="183" t="s">
        <v>55</v>
      </c>
      <c r="E16" s="139" t="s">
        <v>4</v>
      </c>
      <c r="G16" s="251" t="s">
        <v>80</v>
      </c>
      <c r="H16" s="252"/>
      <c r="I16" s="252"/>
      <c r="J16" s="252"/>
      <c r="K16" s="253"/>
    </row>
    <row r="17" spans="2:11" ht="15.75" customHeight="1" x14ac:dyDescent="0.45">
      <c r="B17" s="54">
        <v>1</v>
      </c>
      <c r="C17" s="184" t="str">
        <f>Scope</f>
        <v>rs-test</v>
      </c>
      <c r="D17" s="185">
        <f ca="1">Setup!G36</f>
        <v>43526</v>
      </c>
      <c r="E17" s="140"/>
      <c r="G17" s="254"/>
      <c r="H17" s="255"/>
      <c r="I17" s="255"/>
      <c r="J17" s="255"/>
      <c r="K17" s="256"/>
    </row>
    <row r="18" spans="2:11" ht="15.75" customHeight="1" x14ac:dyDescent="0.45">
      <c r="B18" s="55">
        <v>2</v>
      </c>
      <c r="C18" s="184" t="str">
        <f>_xlfn.CONCAT(Scope,"_FX")</f>
        <v>rs-test_FX</v>
      </c>
      <c r="D18" s="185">
        <f ca="1">Setup!G36</f>
        <v>43526</v>
      </c>
      <c r="E18" s="140"/>
      <c r="G18" s="254"/>
      <c r="H18" s="255"/>
      <c r="I18" s="255"/>
      <c r="J18" s="255"/>
      <c r="K18" s="256"/>
    </row>
    <row r="19" spans="2:11" ht="15.75" customHeight="1" x14ac:dyDescent="0.45">
      <c r="B19" s="55">
        <v>3</v>
      </c>
      <c r="C19" s="184" t="str">
        <f>_xlfn.CONCAT(Scope,"_Accrual")</f>
        <v>rs-test_Accrual</v>
      </c>
      <c r="D19" s="185">
        <f ca="1">TODAY()</f>
        <v>43526</v>
      </c>
      <c r="E19" s="140"/>
      <c r="G19" s="254"/>
      <c r="H19" s="255"/>
      <c r="I19" s="255"/>
      <c r="J19" s="255"/>
      <c r="K19" s="256"/>
    </row>
    <row r="20" spans="2:11" ht="15.75" customHeight="1" x14ac:dyDescent="0.45">
      <c r="B20" s="55">
        <v>4</v>
      </c>
      <c r="C20" s="184"/>
      <c r="D20" s="86"/>
      <c r="E20" s="140"/>
      <c r="G20" s="257"/>
      <c r="H20" s="258"/>
      <c r="I20" s="258"/>
      <c r="J20" s="258"/>
      <c r="K20" s="259"/>
    </row>
    <row r="21" spans="2:11" x14ac:dyDescent="0.45">
      <c r="B21" s="55">
        <v>5</v>
      </c>
      <c r="C21" s="184"/>
      <c r="D21" s="86"/>
      <c r="E21" s="140"/>
    </row>
    <row r="22" spans="2:11" x14ac:dyDescent="0.45">
      <c r="B22" s="55">
        <v>6</v>
      </c>
      <c r="C22" s="184"/>
      <c r="D22" s="86"/>
      <c r="E22" s="140"/>
    </row>
    <row r="23" spans="2:11" ht="15" customHeight="1" x14ac:dyDescent="0.45">
      <c r="B23" s="55">
        <v>7</v>
      </c>
      <c r="C23" s="184"/>
      <c r="D23" s="86"/>
      <c r="E23" s="140"/>
      <c r="G23" s="330" t="s">
        <v>126</v>
      </c>
      <c r="H23" s="331"/>
      <c r="I23" s="331"/>
      <c r="J23" s="332"/>
    </row>
    <row r="24" spans="2:11" x14ac:dyDescent="0.45">
      <c r="B24" s="55">
        <v>8</v>
      </c>
      <c r="C24" s="184"/>
      <c r="D24" s="86"/>
      <c r="E24" s="140"/>
      <c r="G24" s="333"/>
      <c r="H24" s="267"/>
      <c r="I24" s="267"/>
      <c r="J24" s="334"/>
    </row>
    <row r="25" spans="2:11" x14ac:dyDescent="0.45">
      <c r="B25" s="55">
        <v>9</v>
      </c>
      <c r="C25" s="184"/>
      <c r="D25" s="86"/>
      <c r="E25" s="140"/>
      <c r="G25" s="333"/>
      <c r="H25" s="267"/>
      <c r="I25" s="267"/>
      <c r="J25" s="334"/>
    </row>
    <row r="26" spans="2:11" x14ac:dyDescent="0.45">
      <c r="B26" s="55">
        <v>10</v>
      </c>
      <c r="C26" s="184"/>
      <c r="D26" s="86"/>
      <c r="E26" s="140"/>
      <c r="G26" s="333"/>
      <c r="H26" s="267"/>
      <c r="I26" s="267"/>
      <c r="J26" s="334"/>
    </row>
    <row r="27" spans="2:11" x14ac:dyDescent="0.45">
      <c r="B27" s="55">
        <v>11</v>
      </c>
      <c r="C27" s="184"/>
      <c r="D27" s="86"/>
      <c r="E27" s="140"/>
      <c r="G27" s="333"/>
      <c r="H27" s="267"/>
      <c r="I27" s="267"/>
      <c r="J27" s="334"/>
    </row>
    <row r="28" spans="2:11" x14ac:dyDescent="0.45">
      <c r="B28" s="55">
        <v>12</v>
      </c>
      <c r="C28" s="184"/>
      <c r="D28" s="86"/>
      <c r="E28" s="140"/>
      <c r="G28" s="333"/>
      <c r="H28" s="267"/>
      <c r="I28" s="267"/>
      <c r="J28" s="334"/>
    </row>
    <row r="29" spans="2:11" x14ac:dyDescent="0.45">
      <c r="B29" s="55">
        <v>13</v>
      </c>
      <c r="C29" s="184"/>
      <c r="D29" s="86"/>
      <c r="E29" s="140"/>
      <c r="G29" s="333"/>
      <c r="H29" s="267"/>
      <c r="I29" s="267"/>
      <c r="J29" s="334"/>
    </row>
    <row r="30" spans="2:11" x14ac:dyDescent="0.45">
      <c r="B30" s="55">
        <v>14</v>
      </c>
      <c r="C30" s="184"/>
      <c r="D30" s="86"/>
      <c r="E30" s="140"/>
      <c r="G30" s="333"/>
      <c r="H30" s="267"/>
      <c r="I30" s="267"/>
      <c r="J30" s="334"/>
    </row>
    <row r="31" spans="2:11" x14ac:dyDescent="0.45">
      <c r="B31" s="55">
        <v>15</v>
      </c>
      <c r="C31" s="184"/>
      <c r="D31" s="86"/>
      <c r="E31" s="140"/>
      <c r="G31" s="335"/>
      <c r="H31" s="336"/>
      <c r="I31" s="336"/>
      <c r="J31" s="337"/>
    </row>
    <row r="32" spans="2:11" x14ac:dyDescent="0.45">
      <c r="B32" s="55">
        <v>16</v>
      </c>
      <c r="C32" s="184"/>
      <c r="D32" s="86"/>
      <c r="E32" s="140"/>
    </row>
    <row r="33" spans="2:5" x14ac:dyDescent="0.45">
      <c r="B33" s="55">
        <v>17</v>
      </c>
      <c r="C33" s="184"/>
      <c r="D33" s="86"/>
      <c r="E33" s="140"/>
    </row>
    <row r="34" spans="2:5" x14ac:dyDescent="0.45">
      <c r="B34" s="55">
        <v>18</v>
      </c>
      <c r="C34" s="184"/>
      <c r="D34" s="86"/>
      <c r="E34" s="140"/>
    </row>
    <row r="35" spans="2:5" x14ac:dyDescent="0.45">
      <c r="B35" s="55">
        <v>19</v>
      </c>
      <c r="C35" s="184"/>
      <c r="D35" s="86"/>
      <c r="E35" s="140"/>
    </row>
    <row r="36" spans="2:5" x14ac:dyDescent="0.45">
      <c r="B36" s="55">
        <v>20</v>
      </c>
      <c r="C36" s="184"/>
      <c r="D36" s="86"/>
      <c r="E36" s="140"/>
    </row>
    <row r="37" spans="2:5" x14ac:dyDescent="0.45">
      <c r="B37" s="55">
        <v>21</v>
      </c>
      <c r="C37" s="184"/>
      <c r="D37" s="86"/>
      <c r="E37" s="140"/>
    </row>
    <row r="38" spans="2:5" x14ac:dyDescent="0.45">
      <c r="B38" s="55">
        <v>22</v>
      </c>
      <c r="C38" s="184"/>
      <c r="D38" s="86"/>
      <c r="E38" s="140"/>
    </row>
    <row r="39" spans="2:5" x14ac:dyDescent="0.45">
      <c r="B39" s="55">
        <v>23</v>
      </c>
      <c r="C39" s="184"/>
      <c r="D39" s="86"/>
      <c r="E39" s="140"/>
    </row>
    <row r="40" spans="2:5" x14ac:dyDescent="0.45">
      <c r="B40" s="55">
        <v>24</v>
      </c>
      <c r="C40" s="184"/>
      <c r="D40" s="86"/>
      <c r="E40" s="140"/>
    </row>
    <row r="41" spans="2:5" x14ac:dyDescent="0.45">
      <c r="B41" s="55">
        <v>25</v>
      </c>
      <c r="C41" s="184"/>
      <c r="D41" s="86"/>
      <c r="E41" s="140"/>
    </row>
    <row r="42" spans="2:5" x14ac:dyDescent="0.45">
      <c r="B42" s="55">
        <v>26</v>
      </c>
      <c r="C42" s="184"/>
      <c r="D42" s="86"/>
      <c r="E42" s="140"/>
    </row>
    <row r="43" spans="2:5" x14ac:dyDescent="0.45">
      <c r="B43" s="55">
        <v>27</v>
      </c>
      <c r="C43" s="184"/>
      <c r="D43" s="86"/>
      <c r="E43" s="140"/>
    </row>
    <row r="44" spans="2:5" x14ac:dyDescent="0.45">
      <c r="B44" s="55">
        <v>28</v>
      </c>
      <c r="C44" s="184"/>
      <c r="D44" s="86"/>
      <c r="E44" s="140"/>
    </row>
    <row r="45" spans="2:5" x14ac:dyDescent="0.45">
      <c r="B45" s="55">
        <v>29</v>
      </c>
      <c r="C45" s="184"/>
      <c r="D45" s="86"/>
      <c r="E45" s="140"/>
    </row>
    <row r="46" spans="2:5" x14ac:dyDescent="0.45">
      <c r="B46" s="53">
        <v>30</v>
      </c>
      <c r="C46" s="186"/>
      <c r="D46" s="187"/>
      <c r="E46" s="141"/>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K17" sqref="K17"/>
    </sheetView>
  </sheetViews>
  <sheetFormatPr defaultRowHeight="14.25" x14ac:dyDescent="0.45"/>
  <cols>
    <col min="2" max="2" width="4.1328125" customWidth="1"/>
    <col min="3" max="3" width="7.86328125" customWidth="1"/>
    <col min="4" max="4" width="5.73046875" customWidth="1"/>
    <col min="5" max="5" width="43.86328125" customWidth="1"/>
    <col min="6" max="6" width="21.265625" style="60" customWidth="1"/>
    <col min="7" max="7" width="14.86328125" customWidth="1"/>
    <col min="8" max="8" width="11.59765625" bestFit="1" customWidth="1"/>
  </cols>
  <sheetData>
    <row r="8" spans="3:11" ht="15.75" customHeight="1" x14ac:dyDescent="0.45">
      <c r="C8" s="251" t="s">
        <v>108</v>
      </c>
      <c r="D8" s="252"/>
      <c r="E8" s="252"/>
      <c r="F8" s="252"/>
      <c r="G8" s="252"/>
      <c r="H8" s="253"/>
      <c r="I8" s="77"/>
      <c r="J8" s="344">
        <f ca="1">'Setup Analytics'!D17</f>
        <v>43526</v>
      </c>
      <c r="K8" s="345"/>
    </row>
    <row r="9" spans="3:11" ht="15" customHeight="1" x14ac:dyDescent="0.45">
      <c r="C9" s="257"/>
      <c r="D9" s="258"/>
      <c r="E9" s="258"/>
      <c r="F9" s="258"/>
      <c r="G9" s="258"/>
      <c r="H9" s="259"/>
      <c r="I9" s="77"/>
      <c r="J9" s="345"/>
      <c r="K9" s="345"/>
    </row>
    <row r="10" spans="3:11" ht="15" customHeight="1" x14ac:dyDescent="0.45">
      <c r="C10" s="52"/>
      <c r="D10" s="52"/>
      <c r="E10" s="52"/>
      <c r="F10" s="61"/>
    </row>
    <row r="11" spans="3:11" ht="15.75" x14ac:dyDescent="0.45">
      <c r="C11" s="304" t="s">
        <v>50</v>
      </c>
      <c r="D11" s="305"/>
      <c r="E11" s="305"/>
      <c r="F11" s="305"/>
      <c r="G11" s="305"/>
      <c r="H11" s="306"/>
    </row>
    <row r="12" spans="3:11" ht="15.75" x14ac:dyDescent="0.45">
      <c r="C12" s="52"/>
      <c r="D12" s="52"/>
      <c r="E12" s="52"/>
      <c r="F12" s="61"/>
    </row>
    <row r="13" spans="3:11" ht="15" customHeight="1" x14ac:dyDescent="0.45">
      <c r="C13" s="346" t="s">
        <v>111</v>
      </c>
      <c r="D13" s="347"/>
      <c r="E13" s="347"/>
      <c r="F13" s="347"/>
      <c r="G13" s="347"/>
      <c r="H13" s="348"/>
    </row>
    <row r="14" spans="3:11" x14ac:dyDescent="0.45">
      <c r="C14" s="349"/>
      <c r="D14" s="350"/>
      <c r="E14" s="350"/>
      <c r="F14" s="350"/>
      <c r="G14" s="350"/>
      <c r="H14" s="351"/>
    </row>
    <row r="16" spans="3:11" ht="15" customHeight="1" x14ac:dyDescent="0.45">
      <c r="C16" s="352" t="s">
        <v>57</v>
      </c>
      <c r="D16" s="353"/>
      <c r="E16" s="353"/>
      <c r="F16" s="353"/>
      <c r="G16" s="353"/>
      <c r="H16" s="354"/>
    </row>
    <row r="18" spans="3:12" ht="14.65" thickBot="1" x14ac:dyDescent="0.5">
      <c r="C18" s="2"/>
      <c r="D18" s="2"/>
      <c r="E18" s="62" t="s">
        <v>144</v>
      </c>
      <c r="F18" s="63" t="s">
        <v>53</v>
      </c>
      <c r="G18" s="63" t="s">
        <v>102</v>
      </c>
      <c r="H18" s="137" t="s">
        <v>16</v>
      </c>
    </row>
    <row r="19" spans="3:12" ht="14.65" thickTop="1" x14ac:dyDescent="0.45">
      <c r="D19" s="19">
        <v>1</v>
      </c>
      <c r="E19" s="184" t="str">
        <f>IF(Setup!D14="",NA(),Setup!D14)</f>
        <v>LUID_743IR9YI</v>
      </c>
      <c r="F19" s="191">
        <v>1</v>
      </c>
      <c r="G19" s="130" t="s">
        <v>100</v>
      </c>
      <c r="H19" s="38"/>
    </row>
    <row r="20" spans="3:12" x14ac:dyDescent="0.45">
      <c r="D20" s="19">
        <v>2</v>
      </c>
      <c r="E20" s="184" t="str">
        <f>IF(Setup!D15="",NA(),Setup!D15)</f>
        <v>LUID_1QFNMM7Q</v>
      </c>
      <c r="F20" s="191">
        <v>1</v>
      </c>
      <c r="G20" s="130" t="s">
        <v>100</v>
      </c>
      <c r="H20" s="38"/>
    </row>
    <row r="21" spans="3:12" x14ac:dyDescent="0.45">
      <c r="D21" s="19">
        <v>3</v>
      </c>
      <c r="E21" s="184" t="str">
        <f>IF(Setup!D16="",NA(),Setup!D16)</f>
        <v>LUID_BTD8TCBY</v>
      </c>
      <c r="F21" s="191">
        <v>1</v>
      </c>
      <c r="G21" s="130" t="s">
        <v>100</v>
      </c>
      <c r="H21" s="38"/>
    </row>
    <row r="22" spans="3:12" x14ac:dyDescent="0.45">
      <c r="D22" s="19">
        <v>4</v>
      </c>
      <c r="E22" s="184" t="str">
        <f>IF(Setup!D17="",NA(),Setup!D17)</f>
        <v>LUID_2NHLJ63K</v>
      </c>
      <c r="F22" s="191">
        <v>1</v>
      </c>
      <c r="G22" s="130" t="s">
        <v>100</v>
      </c>
      <c r="H22" s="38"/>
    </row>
    <row r="23" spans="3:12" x14ac:dyDescent="0.45">
      <c r="D23" s="19">
        <v>5</v>
      </c>
      <c r="E23" s="184" t="str">
        <f>IF(Setup!D18="",NA(),Setup!D18)</f>
        <v>LUID_NFUKQ78Y</v>
      </c>
      <c r="F23" s="191">
        <v>1</v>
      </c>
      <c r="G23" s="130" t="s">
        <v>100</v>
      </c>
      <c r="H23" s="38"/>
    </row>
    <row r="24" spans="3:12" x14ac:dyDescent="0.45">
      <c r="D24" s="19">
        <v>6</v>
      </c>
      <c r="E24" s="184" t="str">
        <f>IF(Setup!D19="",NA(),Setup!D19)</f>
        <v>LUID_19063M9U</v>
      </c>
      <c r="F24" s="191">
        <v>1</v>
      </c>
      <c r="G24" s="130" t="s">
        <v>100</v>
      </c>
      <c r="H24" s="38"/>
    </row>
    <row r="25" spans="3:12" x14ac:dyDescent="0.45">
      <c r="D25" s="19">
        <v>7</v>
      </c>
      <c r="E25" s="184" t="str">
        <f>IF(Setup!D20="",NA(),Setup!D20)</f>
        <v>LUID_01O5RKGZ</v>
      </c>
      <c r="F25" s="191">
        <v>1</v>
      </c>
      <c r="G25" s="130" t="s">
        <v>100</v>
      </c>
      <c r="H25" s="38"/>
    </row>
    <row r="26" spans="3:12" x14ac:dyDescent="0.45">
      <c r="D26" s="19">
        <v>8</v>
      </c>
      <c r="E26" s="184" t="str">
        <f>IF(Setup!D21="",NA(),Setup!D21)</f>
        <v>LUID_J9339BN6</v>
      </c>
      <c r="F26" s="191">
        <v>1</v>
      </c>
      <c r="G26" s="130" t="s">
        <v>100</v>
      </c>
      <c r="H26" s="38"/>
    </row>
    <row r="27" spans="3:12" x14ac:dyDescent="0.45">
      <c r="D27" s="19">
        <v>9</v>
      </c>
      <c r="E27" s="184" t="str">
        <f>IF(Setup!D22="",NA(),Setup!D22)</f>
        <v>LUID_0T4ENP6U</v>
      </c>
      <c r="F27" s="191">
        <v>1</v>
      </c>
      <c r="G27" s="130" t="s">
        <v>100</v>
      </c>
      <c r="H27" s="38"/>
    </row>
    <row r="28" spans="3:12" x14ac:dyDescent="0.45">
      <c r="D28" s="19">
        <v>10</v>
      </c>
      <c r="E28" s="184" t="str">
        <f>IF(Setup!D23="",NA(),Setup!D23)</f>
        <v>LUID_ROYPD30O</v>
      </c>
      <c r="F28" s="191">
        <v>1</v>
      </c>
      <c r="G28" s="130" t="s">
        <v>100</v>
      </c>
      <c r="H28" s="38"/>
    </row>
    <row r="29" spans="3:12" x14ac:dyDescent="0.45">
      <c r="D29" s="19">
        <v>11</v>
      </c>
      <c r="E29" s="184" t="str">
        <f>IF(Setup!D24="",NA(),Setup!D24)</f>
        <v>LUID_TUHB7XTD</v>
      </c>
      <c r="F29" s="191">
        <v>1</v>
      </c>
      <c r="G29" s="130" t="s">
        <v>100</v>
      </c>
      <c r="H29" s="38"/>
      <c r="J29" s="330" t="s">
        <v>58</v>
      </c>
      <c r="K29" s="331"/>
      <c r="L29" s="332"/>
    </row>
    <row r="30" spans="3:12" x14ac:dyDescent="0.45">
      <c r="D30" s="19">
        <v>12</v>
      </c>
      <c r="E30" s="184" t="str">
        <f>IF(Setup!D25="",NA(),Setup!D25)</f>
        <v>LUID_RW0E62PU</v>
      </c>
      <c r="F30" s="191">
        <v>1</v>
      </c>
      <c r="G30" s="130" t="s">
        <v>100</v>
      </c>
      <c r="H30" s="38"/>
      <c r="J30" s="333"/>
      <c r="K30" s="267"/>
      <c r="L30" s="334"/>
    </row>
    <row r="31" spans="3:12" x14ac:dyDescent="0.45">
      <c r="D31" s="19">
        <v>13</v>
      </c>
      <c r="E31" s="184" t="str">
        <f>IF(Setup!D26="",NA(),Setup!D26)</f>
        <v>LUID_NSEKU1OZ</v>
      </c>
      <c r="F31" s="191">
        <v>1</v>
      </c>
      <c r="G31" s="130" t="s">
        <v>100</v>
      </c>
      <c r="H31" s="38"/>
      <c r="J31" s="333"/>
      <c r="K31" s="267"/>
      <c r="L31" s="334"/>
    </row>
    <row r="32" spans="3:12" x14ac:dyDescent="0.45">
      <c r="D32" s="19">
        <v>14</v>
      </c>
      <c r="E32" s="184" t="str">
        <f>IF(Setup!D27="",NA(),Setup!D27)</f>
        <v>LUID_SPXF639U</v>
      </c>
      <c r="F32" s="191">
        <v>1</v>
      </c>
      <c r="G32" s="130" t="s">
        <v>100</v>
      </c>
      <c r="H32" s="38"/>
      <c r="J32" s="333"/>
      <c r="K32" s="267"/>
      <c r="L32" s="334"/>
    </row>
    <row r="33" spans="3:12" x14ac:dyDescent="0.45">
      <c r="D33" s="19">
        <v>15</v>
      </c>
      <c r="E33" s="184" t="str">
        <f>IF(Setup!D28="",NA(),Setup!D28)</f>
        <v>LUID_AJGU6LO8</v>
      </c>
      <c r="F33" s="191">
        <v>1</v>
      </c>
      <c r="G33" s="130" t="s">
        <v>100</v>
      </c>
      <c r="H33" s="38"/>
      <c r="J33" s="333"/>
      <c r="K33" s="267"/>
      <c r="L33" s="334"/>
    </row>
    <row r="34" spans="3:12" x14ac:dyDescent="0.45">
      <c r="D34" s="19">
        <v>16</v>
      </c>
      <c r="E34" s="184" t="str">
        <f>IF(Setup!D29="",NA(),Setup!D29)</f>
        <v>LUID_7MHFLQ5W</v>
      </c>
      <c r="F34" s="191">
        <v>1</v>
      </c>
      <c r="G34" s="130" t="s">
        <v>100</v>
      </c>
      <c r="H34" s="38"/>
      <c r="J34" s="333"/>
      <c r="K34" s="267"/>
      <c r="L34" s="334"/>
    </row>
    <row r="35" spans="3:12" x14ac:dyDescent="0.45">
      <c r="D35" s="19">
        <v>17</v>
      </c>
      <c r="E35" s="184" t="str">
        <f>IF(Setup!D30="",NA(),Setup!D30)</f>
        <v>LUID_IGLZ5M6K</v>
      </c>
      <c r="F35" s="191">
        <v>1</v>
      </c>
      <c r="G35" s="130" t="s">
        <v>100</v>
      </c>
      <c r="H35" s="38"/>
      <c r="J35" s="335"/>
      <c r="K35" s="336"/>
      <c r="L35" s="337"/>
    </row>
    <row r="36" spans="3:12" x14ac:dyDescent="0.45">
      <c r="D36" s="19">
        <v>18</v>
      </c>
      <c r="E36" s="184" t="str">
        <f>IF(Setup!D31="",NA(),Setup!D31)</f>
        <v>LUID_OE63TA2K</v>
      </c>
      <c r="F36" s="191">
        <v>1</v>
      </c>
      <c r="G36" s="130" t="s">
        <v>100</v>
      </c>
      <c r="H36" s="38"/>
    </row>
    <row r="37" spans="3:12" x14ac:dyDescent="0.45">
      <c r="D37" s="19">
        <v>19</v>
      </c>
      <c r="E37" s="184" t="str">
        <f>IF(Setup!D32="",NA(),Setup!D32)</f>
        <v>LUID_NJGWCWRW</v>
      </c>
      <c r="F37" s="191">
        <v>1</v>
      </c>
      <c r="G37" s="130" t="s">
        <v>100</v>
      </c>
      <c r="H37" s="38"/>
    </row>
    <row r="38" spans="3:12" x14ac:dyDescent="0.45">
      <c r="D38" s="19">
        <v>20</v>
      </c>
      <c r="E38" s="184" t="str">
        <f>IF(Setup!D33="",NA(),Setup!D33)</f>
        <v>LUID_SUMBZHU2</v>
      </c>
      <c r="F38" s="191">
        <v>1</v>
      </c>
      <c r="G38" s="130" t="s">
        <v>100</v>
      </c>
      <c r="H38" s="38"/>
    </row>
    <row r="39" spans="3:12" x14ac:dyDescent="0.45">
      <c r="D39" s="19">
        <v>21</v>
      </c>
      <c r="E39" s="184" t="str">
        <f>IF(Setup!D34="",NA(),Setup!D34)</f>
        <v>LUID_YVVC055R</v>
      </c>
      <c r="F39" s="191">
        <v>1</v>
      </c>
      <c r="G39" s="130" t="s">
        <v>100</v>
      </c>
      <c r="H39" s="38"/>
    </row>
    <row r="40" spans="3:12" x14ac:dyDescent="0.45">
      <c r="D40" s="19">
        <v>22</v>
      </c>
      <c r="E40" s="184" t="str">
        <f>IF(Setup!D35="",NA(),Setup!D35)</f>
        <v>LUID_SZBESFPL</v>
      </c>
      <c r="F40" s="191">
        <v>1</v>
      </c>
      <c r="G40" s="130" t="s">
        <v>100</v>
      </c>
      <c r="H40" s="38"/>
    </row>
    <row r="41" spans="3:12" x14ac:dyDescent="0.45">
      <c r="D41" s="19">
        <v>23</v>
      </c>
      <c r="E41" s="184" t="e">
        <f>IF(Setup!D36="",NA(),Setup!D36)</f>
        <v>#N/A</v>
      </c>
      <c r="F41" s="191">
        <v>1</v>
      </c>
      <c r="G41" s="130" t="s">
        <v>100</v>
      </c>
      <c r="H41" s="38"/>
    </row>
    <row r="42" spans="3:12" x14ac:dyDescent="0.45">
      <c r="D42" s="19">
        <v>24</v>
      </c>
      <c r="E42" s="184" t="e">
        <f>IF(Setup!D37="",NA(),Setup!D37)</f>
        <v>#N/A</v>
      </c>
      <c r="F42" s="191">
        <v>1</v>
      </c>
      <c r="G42" s="130" t="s">
        <v>100</v>
      </c>
      <c r="H42" s="38"/>
    </row>
    <row r="43" spans="3:12" x14ac:dyDescent="0.45">
      <c r="D43" s="19">
        <v>25</v>
      </c>
      <c r="E43" s="184" t="e">
        <f>IF(Setup!D38="",NA(),Setup!D38)</f>
        <v>#N/A</v>
      </c>
      <c r="F43" s="191">
        <v>1</v>
      </c>
      <c r="G43" s="130" t="s">
        <v>100</v>
      </c>
      <c r="H43" s="38"/>
    </row>
    <row r="44" spans="3:12" x14ac:dyDescent="0.45">
      <c r="D44" s="19">
        <v>26</v>
      </c>
      <c r="E44" s="184" t="e">
        <f>IF(Setup!D39="",NA(),Setup!D39)</f>
        <v>#N/A</v>
      </c>
      <c r="F44" s="191">
        <v>1</v>
      </c>
      <c r="G44" s="130" t="s">
        <v>100</v>
      </c>
      <c r="H44" s="38"/>
    </row>
    <row r="45" spans="3:12" x14ac:dyDescent="0.45">
      <c r="D45" s="19">
        <v>27</v>
      </c>
      <c r="E45" s="184" t="e">
        <f>IF(Setup!D40="",NA(),Setup!D40)</f>
        <v>#N/A</v>
      </c>
      <c r="F45" s="191"/>
      <c r="G45" s="130"/>
      <c r="H45" s="38"/>
    </row>
    <row r="46" spans="3:12" x14ac:dyDescent="0.45">
      <c r="D46" s="19">
        <v>28</v>
      </c>
      <c r="E46" s="184" t="e">
        <f>IF(Setup!D41="",NA(),Setup!D41)</f>
        <v>#N/A</v>
      </c>
      <c r="F46" s="191"/>
      <c r="G46" s="130"/>
      <c r="H46" s="38"/>
    </row>
    <row r="47" spans="3:12" x14ac:dyDescent="0.45">
      <c r="D47" s="19">
        <v>29</v>
      </c>
      <c r="E47" s="184" t="e">
        <f>IF(Setup!D42="",NA(),Setup!D42)</f>
        <v>#N/A</v>
      </c>
      <c r="F47" s="191"/>
      <c r="G47" s="64"/>
      <c r="H47" s="38"/>
    </row>
    <row r="48" spans="3:12" x14ac:dyDescent="0.45">
      <c r="C48" s="20"/>
      <c r="D48" s="19">
        <v>30</v>
      </c>
      <c r="E48" s="186" t="e">
        <f>IF(Setup!D43="",NA(),Setup!D43)</f>
        <v>#N/A</v>
      </c>
      <c r="F48" s="192"/>
      <c r="G48" s="104"/>
      <c r="H48" s="41"/>
    </row>
    <row r="52" spans="5:9" x14ac:dyDescent="0.45">
      <c r="E52" s="251" t="s">
        <v>81</v>
      </c>
      <c r="F52" s="252"/>
      <c r="G52" s="252"/>
      <c r="H52" s="252"/>
      <c r="I52" s="253"/>
    </row>
    <row r="53" spans="5:9" x14ac:dyDescent="0.45">
      <c r="E53" s="254"/>
      <c r="F53" s="255"/>
      <c r="G53" s="255"/>
      <c r="H53" s="255"/>
      <c r="I53" s="256"/>
    </row>
    <row r="54" spans="5:9" x14ac:dyDescent="0.45">
      <c r="E54" s="254"/>
      <c r="F54" s="255"/>
      <c r="G54" s="255"/>
      <c r="H54" s="255"/>
      <c r="I54" s="256"/>
    </row>
    <row r="55" spans="5:9" x14ac:dyDescent="0.45">
      <c r="E55" s="254"/>
      <c r="F55" s="255"/>
      <c r="G55" s="255"/>
      <c r="H55" s="255"/>
      <c r="I55" s="256"/>
    </row>
    <row r="56" spans="5:9" x14ac:dyDescent="0.45">
      <c r="E56" s="257"/>
      <c r="F56" s="258"/>
      <c r="G56" s="258"/>
      <c r="H56" s="258"/>
      <c r="I56" s="259"/>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B1:O183"/>
  <sheetViews>
    <sheetView zoomScale="80" zoomScaleNormal="80" workbookViewId="0">
      <selection activeCell="N22" sqref="N22"/>
    </sheetView>
  </sheetViews>
  <sheetFormatPr defaultRowHeight="14.25" x14ac:dyDescent="0.45"/>
  <cols>
    <col min="4" max="4" width="27.3984375" customWidth="1"/>
    <col min="5" max="5" width="10.3984375" customWidth="1"/>
    <col min="6" max="6" width="14.1328125" customWidth="1"/>
  </cols>
  <sheetData>
    <row r="1" spans="2:15" x14ac:dyDescent="0.45">
      <c r="E1" s="60"/>
    </row>
    <row r="2" spans="2:15" x14ac:dyDescent="0.45">
      <c r="E2" s="60"/>
    </row>
    <row r="3" spans="2:15" x14ac:dyDescent="0.45">
      <c r="E3" s="60"/>
    </row>
    <row r="4" spans="2:15" x14ac:dyDescent="0.45">
      <c r="E4" s="60"/>
    </row>
    <row r="5" spans="2:15" x14ac:dyDescent="0.45">
      <c r="E5" s="60"/>
    </row>
    <row r="6" spans="2:15" x14ac:dyDescent="0.45">
      <c r="B6" s="260" t="s">
        <v>107</v>
      </c>
      <c r="C6" s="261"/>
      <c r="D6" s="261"/>
      <c r="E6" s="261"/>
      <c r="F6" s="261"/>
      <c r="G6" s="261"/>
      <c r="H6" s="261"/>
      <c r="I6" s="262"/>
      <c r="K6" s="344">
        <f ca="1">TODAY()</f>
        <v>43526</v>
      </c>
      <c r="L6" s="345"/>
    </row>
    <row r="7" spans="2:15" x14ac:dyDescent="0.45">
      <c r="B7" s="263"/>
      <c r="C7" s="271"/>
      <c r="D7" s="271"/>
      <c r="E7" s="271"/>
      <c r="F7" s="271"/>
      <c r="G7" s="271"/>
      <c r="H7" s="271"/>
      <c r="I7" s="265"/>
      <c r="K7" s="345"/>
      <c r="L7" s="345"/>
    </row>
    <row r="8" spans="2:15" ht="15.75" x14ac:dyDescent="0.45">
      <c r="B8" s="52"/>
      <c r="C8" s="52"/>
      <c r="D8" s="52"/>
      <c r="E8" s="61"/>
    </row>
    <row r="9" spans="2:15" ht="15.75" x14ac:dyDescent="0.45">
      <c r="B9" s="304" t="s">
        <v>98</v>
      </c>
      <c r="C9" s="305"/>
      <c r="D9" s="305"/>
      <c r="E9" s="305"/>
      <c r="F9" s="305"/>
      <c r="G9" s="305"/>
      <c r="H9" s="305"/>
      <c r="I9" s="306"/>
    </row>
    <row r="10" spans="2:15" ht="15.75" x14ac:dyDescent="0.45">
      <c r="B10" s="52"/>
      <c r="C10" s="52"/>
      <c r="D10" s="52"/>
      <c r="E10" s="61"/>
    </row>
    <row r="11" spans="2:15" ht="15" customHeight="1" x14ac:dyDescent="0.45">
      <c r="B11" s="346" t="s">
        <v>112</v>
      </c>
      <c r="C11" s="347"/>
      <c r="D11" s="347"/>
      <c r="E11" s="347"/>
      <c r="F11" s="347"/>
      <c r="G11" s="347"/>
      <c r="H11" s="347"/>
      <c r="I11" s="348"/>
    </row>
    <row r="12" spans="2:15" x14ac:dyDescent="0.45">
      <c r="B12" s="349"/>
      <c r="C12" s="350"/>
      <c r="D12" s="350"/>
      <c r="E12" s="350"/>
      <c r="F12" s="350"/>
      <c r="G12" s="350"/>
      <c r="H12" s="350"/>
      <c r="I12" s="351"/>
    </row>
    <row r="13" spans="2:15" x14ac:dyDescent="0.45">
      <c r="E13" s="60"/>
    </row>
    <row r="14" spans="2:15" ht="15" customHeight="1" x14ac:dyDescent="0.45">
      <c r="B14" s="352" t="s">
        <v>99</v>
      </c>
      <c r="C14" s="353"/>
      <c r="D14" s="353"/>
      <c r="E14" s="353"/>
      <c r="F14" s="353"/>
      <c r="G14" s="353"/>
      <c r="H14" s="353"/>
      <c r="I14" s="354"/>
    </row>
    <row r="15" spans="2:15" x14ac:dyDescent="0.45">
      <c r="E15" s="60"/>
      <c r="N15" s="131"/>
      <c r="O15" s="126"/>
    </row>
    <row r="16" spans="2:15" ht="14.65" thickBot="1" x14ac:dyDescent="0.5">
      <c r="B16" s="2"/>
      <c r="C16" s="2"/>
      <c r="D16" s="62" t="s">
        <v>144</v>
      </c>
      <c r="E16" s="63" t="s">
        <v>53</v>
      </c>
      <c r="F16" s="134" t="s">
        <v>102</v>
      </c>
      <c r="G16" s="138" t="s">
        <v>16</v>
      </c>
      <c r="N16" s="131"/>
      <c r="O16" s="126"/>
    </row>
    <row r="17" spans="3:15" ht="14.65" thickTop="1" x14ac:dyDescent="0.45">
      <c r="C17" s="19">
        <v>1</v>
      </c>
      <c r="D17" s="184" t="s">
        <v>96</v>
      </c>
      <c r="E17" s="191">
        <v>1</v>
      </c>
      <c r="F17" s="193"/>
      <c r="G17" s="93"/>
      <c r="N17" s="131"/>
      <c r="O17" s="126"/>
    </row>
    <row r="18" spans="3:15" x14ac:dyDescent="0.45">
      <c r="C18" s="19">
        <v>2</v>
      </c>
      <c r="D18" s="184" t="s">
        <v>95</v>
      </c>
      <c r="E18" s="191">
        <v>1.34</v>
      </c>
      <c r="F18" s="193"/>
      <c r="G18" s="38"/>
      <c r="N18" s="131"/>
      <c r="O18" s="126"/>
    </row>
    <row r="19" spans="3:15" x14ac:dyDescent="0.45">
      <c r="C19" s="19">
        <v>3</v>
      </c>
      <c r="D19" s="184" t="s">
        <v>101</v>
      </c>
      <c r="E19" s="191">
        <v>7.9000000000000001E-2</v>
      </c>
      <c r="F19" s="193"/>
      <c r="G19" s="38"/>
    </row>
    <row r="20" spans="3:15" x14ac:dyDescent="0.45">
      <c r="C20" s="19">
        <v>4</v>
      </c>
      <c r="D20" s="184" t="s">
        <v>97</v>
      </c>
      <c r="E20" s="191">
        <v>1.17</v>
      </c>
      <c r="F20" s="193"/>
      <c r="G20" s="38"/>
    </row>
    <row r="21" spans="3:15" x14ac:dyDescent="0.45">
      <c r="C21" s="19">
        <v>5</v>
      </c>
      <c r="D21" s="184"/>
      <c r="E21" s="191"/>
      <c r="F21" s="193"/>
      <c r="G21" s="38"/>
    </row>
    <row r="22" spans="3:15" x14ac:dyDescent="0.45">
      <c r="C22" s="19">
        <v>6</v>
      </c>
      <c r="D22" s="184"/>
      <c r="E22" s="191"/>
      <c r="F22" s="193"/>
      <c r="G22" s="38"/>
    </row>
    <row r="23" spans="3:15" x14ac:dyDescent="0.45">
      <c r="C23" s="19">
        <v>7</v>
      </c>
      <c r="D23" s="184"/>
      <c r="E23" s="191"/>
      <c r="F23" s="193"/>
      <c r="G23" s="38"/>
    </row>
    <row r="24" spans="3:15" x14ac:dyDescent="0.45">
      <c r="C24" s="19">
        <v>8</v>
      </c>
      <c r="D24" s="184"/>
      <c r="E24" s="191"/>
      <c r="F24" s="193"/>
      <c r="G24" s="38"/>
    </row>
    <row r="25" spans="3:15" x14ac:dyDescent="0.45">
      <c r="C25" s="19">
        <v>9</v>
      </c>
      <c r="D25" s="184"/>
      <c r="E25" s="191"/>
      <c r="F25" s="193"/>
      <c r="G25" s="38"/>
    </row>
    <row r="26" spans="3:15" x14ac:dyDescent="0.45">
      <c r="C26" s="19">
        <v>10</v>
      </c>
      <c r="D26" s="184"/>
      <c r="E26" s="191"/>
      <c r="F26" s="193"/>
      <c r="G26" s="38"/>
    </row>
    <row r="27" spans="3:15" x14ac:dyDescent="0.45">
      <c r="C27" s="19">
        <v>11</v>
      </c>
      <c r="D27" s="184"/>
      <c r="E27" s="191"/>
      <c r="F27" s="193"/>
      <c r="G27" s="38"/>
      <c r="I27" s="330" t="s">
        <v>58</v>
      </c>
      <c r="J27" s="331"/>
      <c r="K27" s="332"/>
    </row>
    <row r="28" spans="3:15" x14ac:dyDescent="0.45">
      <c r="C28" s="19">
        <v>12</v>
      </c>
      <c r="D28" s="184"/>
      <c r="E28" s="191"/>
      <c r="F28" s="193"/>
      <c r="G28" s="38"/>
      <c r="I28" s="333"/>
      <c r="J28" s="267"/>
      <c r="K28" s="334"/>
    </row>
    <row r="29" spans="3:15" x14ac:dyDescent="0.45">
      <c r="C29" s="19">
        <v>13</v>
      </c>
      <c r="D29" s="184"/>
      <c r="E29" s="191"/>
      <c r="F29" s="193"/>
      <c r="G29" s="38"/>
      <c r="I29" s="333"/>
      <c r="J29" s="267"/>
      <c r="K29" s="334"/>
    </row>
    <row r="30" spans="3:15" x14ac:dyDescent="0.45">
      <c r="C30" s="19">
        <v>14</v>
      </c>
      <c r="D30" s="184"/>
      <c r="E30" s="191"/>
      <c r="F30" s="193"/>
      <c r="G30" s="38"/>
      <c r="I30" s="333"/>
      <c r="J30" s="267"/>
      <c r="K30" s="334"/>
    </row>
    <row r="31" spans="3:15" x14ac:dyDescent="0.45">
      <c r="C31" s="19">
        <v>15</v>
      </c>
      <c r="D31" s="184"/>
      <c r="E31" s="191"/>
      <c r="F31" s="193"/>
      <c r="G31" s="38"/>
      <c r="I31" s="333"/>
      <c r="J31" s="267"/>
      <c r="K31" s="334"/>
    </row>
    <row r="32" spans="3:15" x14ac:dyDescent="0.45">
      <c r="C32" s="19">
        <v>16</v>
      </c>
      <c r="D32" s="184"/>
      <c r="E32" s="191"/>
      <c r="F32" s="193"/>
      <c r="G32" s="38"/>
      <c r="I32" s="333"/>
      <c r="J32" s="267"/>
      <c r="K32" s="334"/>
    </row>
    <row r="33" spans="2:11" x14ac:dyDescent="0.45">
      <c r="C33" s="19">
        <v>17</v>
      </c>
      <c r="D33" s="184"/>
      <c r="E33" s="191"/>
      <c r="F33" s="193"/>
      <c r="G33" s="38"/>
      <c r="I33" s="335"/>
      <c r="J33" s="336"/>
      <c r="K33" s="337"/>
    </row>
    <row r="34" spans="2:11" x14ac:dyDescent="0.45">
      <c r="C34" s="19">
        <v>18</v>
      </c>
      <c r="D34" s="184"/>
      <c r="E34" s="191"/>
      <c r="F34" s="193"/>
      <c r="G34" s="38"/>
    </row>
    <row r="35" spans="2:11" x14ac:dyDescent="0.45">
      <c r="C35" s="19">
        <v>19</v>
      </c>
      <c r="D35" s="184"/>
      <c r="E35" s="191"/>
      <c r="F35" s="193"/>
      <c r="G35" s="38"/>
    </row>
    <row r="36" spans="2:11" x14ac:dyDescent="0.45">
      <c r="C36" s="19">
        <v>20</v>
      </c>
      <c r="D36" s="184"/>
      <c r="E36" s="191"/>
      <c r="F36" s="193"/>
      <c r="G36" s="38"/>
    </row>
    <row r="37" spans="2:11" x14ac:dyDescent="0.45">
      <c r="C37" s="19">
        <v>21</v>
      </c>
      <c r="D37" s="184"/>
      <c r="E37" s="191"/>
      <c r="F37" s="193"/>
      <c r="G37" s="38"/>
    </row>
    <row r="38" spans="2:11" x14ac:dyDescent="0.45">
      <c r="C38" s="19">
        <v>22</v>
      </c>
      <c r="D38" s="184"/>
      <c r="E38" s="191"/>
      <c r="F38" s="193"/>
      <c r="G38" s="38"/>
    </row>
    <row r="39" spans="2:11" x14ac:dyDescent="0.45">
      <c r="C39" s="19">
        <v>23</v>
      </c>
      <c r="D39" s="184"/>
      <c r="E39" s="191"/>
      <c r="F39" s="193"/>
      <c r="G39" s="38"/>
    </row>
    <row r="40" spans="2:11" x14ac:dyDescent="0.45">
      <c r="C40" s="19">
        <v>24</v>
      </c>
      <c r="D40" s="184"/>
      <c r="E40" s="191"/>
      <c r="F40" s="193"/>
      <c r="G40" s="38"/>
    </row>
    <row r="41" spans="2:11" x14ac:dyDescent="0.45">
      <c r="C41" s="19">
        <v>25</v>
      </c>
      <c r="D41" s="184"/>
      <c r="E41" s="191"/>
      <c r="F41" s="193"/>
      <c r="G41" s="38"/>
    </row>
    <row r="42" spans="2:11" x14ac:dyDescent="0.45">
      <c r="C42" s="19">
        <v>26</v>
      </c>
      <c r="D42" s="184"/>
      <c r="E42" s="191"/>
      <c r="F42" s="193"/>
      <c r="G42" s="38"/>
    </row>
    <row r="43" spans="2:11" x14ac:dyDescent="0.45">
      <c r="C43" s="19">
        <v>27</v>
      </c>
      <c r="D43" s="184"/>
      <c r="E43" s="191"/>
      <c r="F43" s="193"/>
      <c r="G43" s="38"/>
    </row>
    <row r="44" spans="2:11" x14ac:dyDescent="0.45">
      <c r="C44" s="19">
        <v>28</v>
      </c>
      <c r="D44" s="184"/>
      <c r="E44" s="191"/>
      <c r="F44" s="193"/>
      <c r="G44" s="38"/>
    </row>
    <row r="45" spans="2:11" x14ac:dyDescent="0.45">
      <c r="C45" s="19">
        <v>29</v>
      </c>
      <c r="D45" s="184"/>
      <c r="E45" s="191"/>
      <c r="F45" s="193"/>
      <c r="G45" s="38"/>
    </row>
    <row r="46" spans="2:11" x14ac:dyDescent="0.45">
      <c r="B46" s="20"/>
      <c r="C46" s="19">
        <v>30</v>
      </c>
      <c r="D46" s="186"/>
      <c r="E46" s="192"/>
      <c r="F46" s="194"/>
      <c r="G46" s="41"/>
    </row>
    <row r="47" spans="2:11" x14ac:dyDescent="0.45">
      <c r="E47" s="126"/>
    </row>
    <row r="48" spans="2:11" x14ac:dyDescent="0.45">
      <c r="E48" s="126"/>
    </row>
    <row r="49" spans="4:8" x14ac:dyDescent="0.45">
      <c r="E49" s="126"/>
    </row>
    <row r="50" spans="4:8" ht="15" customHeight="1" x14ac:dyDescent="0.45">
      <c r="D50" s="117"/>
      <c r="E50" s="128"/>
      <c r="F50" s="118"/>
      <c r="G50" s="118"/>
      <c r="H50" s="119"/>
    </row>
    <row r="51" spans="4:8" ht="15" customHeight="1" x14ac:dyDescent="0.45">
      <c r="D51" s="120"/>
      <c r="E51" s="127"/>
      <c r="F51" s="121"/>
      <c r="G51" s="121"/>
      <c r="H51" s="122"/>
    </row>
    <row r="52" spans="4:8" ht="15" customHeight="1" x14ac:dyDescent="0.45">
      <c r="D52" s="120"/>
      <c r="E52" s="127"/>
      <c r="F52" s="121"/>
      <c r="G52" s="121"/>
      <c r="H52" s="122"/>
    </row>
    <row r="53" spans="4:8" ht="15" customHeight="1" x14ac:dyDescent="0.45">
      <c r="D53" s="120"/>
      <c r="E53" s="127"/>
      <c r="F53" s="121"/>
      <c r="G53" s="121"/>
      <c r="H53" s="122"/>
    </row>
    <row r="54" spans="4:8" ht="15" customHeight="1" x14ac:dyDescent="0.45">
      <c r="D54" s="123"/>
      <c r="E54" s="129"/>
      <c r="F54" s="124"/>
      <c r="G54" s="124"/>
      <c r="H54" s="125"/>
    </row>
    <row r="55" spans="4:8" x14ac:dyDescent="0.45">
      <c r="E55" s="126"/>
    </row>
    <row r="56" spans="4:8" x14ac:dyDescent="0.45">
      <c r="E56" s="126"/>
    </row>
    <row r="57" spans="4:8" x14ac:dyDescent="0.45">
      <c r="E57" s="126"/>
    </row>
    <row r="58" spans="4:8" x14ac:dyDescent="0.45">
      <c r="E58" s="126"/>
    </row>
    <row r="59" spans="4:8" x14ac:dyDescent="0.45">
      <c r="E59" s="126"/>
    </row>
    <row r="60" spans="4:8" x14ac:dyDescent="0.45">
      <c r="E60" s="126"/>
    </row>
    <row r="61" spans="4:8" x14ac:dyDescent="0.45">
      <c r="E61" s="126"/>
    </row>
    <row r="62" spans="4:8" x14ac:dyDescent="0.45">
      <c r="E62" s="126"/>
    </row>
    <row r="63" spans="4:8" x14ac:dyDescent="0.45">
      <c r="E63" s="126"/>
    </row>
    <row r="64" spans="4:8" x14ac:dyDescent="0.45">
      <c r="E64" s="126"/>
    </row>
    <row r="65" spans="5:5" x14ac:dyDescent="0.45">
      <c r="E65" s="126"/>
    </row>
    <row r="66" spans="5:5" x14ac:dyDescent="0.45">
      <c r="E66" s="126"/>
    </row>
    <row r="67" spans="5:5" x14ac:dyDescent="0.45">
      <c r="E67" s="126"/>
    </row>
    <row r="68" spans="5:5" x14ac:dyDescent="0.45">
      <c r="E68" s="126"/>
    </row>
    <row r="69" spans="5:5" x14ac:dyDescent="0.45">
      <c r="E69" s="126"/>
    </row>
    <row r="70" spans="5:5" x14ac:dyDescent="0.45">
      <c r="E70" s="126"/>
    </row>
    <row r="71" spans="5:5" x14ac:dyDescent="0.45">
      <c r="E71" s="126"/>
    </row>
    <row r="72" spans="5:5" x14ac:dyDescent="0.45">
      <c r="E72" s="126"/>
    </row>
    <row r="73" spans="5:5" x14ac:dyDescent="0.45">
      <c r="E73" s="126"/>
    </row>
    <row r="74" spans="5:5" x14ac:dyDescent="0.45">
      <c r="E74" s="126"/>
    </row>
    <row r="75" spans="5:5" x14ac:dyDescent="0.45">
      <c r="E75" s="126"/>
    </row>
    <row r="76" spans="5:5" x14ac:dyDescent="0.45">
      <c r="E76" s="126"/>
    </row>
    <row r="77" spans="5:5" x14ac:dyDescent="0.45">
      <c r="E77" s="126"/>
    </row>
    <row r="78" spans="5:5" x14ac:dyDescent="0.45">
      <c r="E78" s="126"/>
    </row>
    <row r="79" spans="5:5" x14ac:dyDescent="0.45">
      <c r="E79" s="126"/>
    </row>
    <row r="80" spans="5:5" x14ac:dyDescent="0.45">
      <c r="E80" s="126"/>
    </row>
    <row r="81" spans="5:5" x14ac:dyDescent="0.45">
      <c r="E81" s="126"/>
    </row>
    <row r="82" spans="5:5" x14ac:dyDescent="0.45">
      <c r="E82" s="126"/>
    </row>
    <row r="83" spans="5:5" x14ac:dyDescent="0.45">
      <c r="E83" s="126"/>
    </row>
    <row r="84" spans="5:5" x14ac:dyDescent="0.45">
      <c r="E84" s="126"/>
    </row>
    <row r="85" spans="5:5" x14ac:dyDescent="0.45">
      <c r="E85" s="126"/>
    </row>
    <row r="86" spans="5:5" x14ac:dyDescent="0.45">
      <c r="E86" s="126"/>
    </row>
    <row r="87" spans="5:5" x14ac:dyDescent="0.45">
      <c r="E87" s="126"/>
    </row>
    <row r="88" spans="5:5" x14ac:dyDescent="0.45">
      <c r="E88" s="126"/>
    </row>
    <row r="89" spans="5:5" x14ac:dyDescent="0.45">
      <c r="E89" s="126"/>
    </row>
    <row r="90" spans="5:5" x14ac:dyDescent="0.45">
      <c r="E90" s="126"/>
    </row>
    <row r="91" spans="5:5" x14ac:dyDescent="0.45">
      <c r="E91" s="126"/>
    </row>
    <row r="92" spans="5:5" x14ac:dyDescent="0.45">
      <c r="E92" s="126"/>
    </row>
    <row r="93" spans="5:5" x14ac:dyDescent="0.45">
      <c r="E93" s="126"/>
    </row>
    <row r="94" spans="5:5" x14ac:dyDescent="0.45">
      <c r="E94" s="126"/>
    </row>
    <row r="95" spans="5:5" x14ac:dyDescent="0.45">
      <c r="E95" s="126"/>
    </row>
    <row r="96" spans="5:5" x14ac:dyDescent="0.45">
      <c r="E96" s="126"/>
    </row>
    <row r="97" spans="5:5" x14ac:dyDescent="0.45">
      <c r="E97" s="126"/>
    </row>
    <row r="98" spans="5:5" x14ac:dyDescent="0.45">
      <c r="E98" s="126"/>
    </row>
    <row r="99" spans="5:5" x14ac:dyDescent="0.45">
      <c r="E99" s="126"/>
    </row>
    <row r="100" spans="5:5" x14ac:dyDescent="0.45">
      <c r="E100" s="126"/>
    </row>
    <row r="101" spans="5:5" x14ac:dyDescent="0.45">
      <c r="E101" s="126"/>
    </row>
    <row r="102" spans="5:5" x14ac:dyDescent="0.45">
      <c r="E102" s="126"/>
    </row>
    <row r="103" spans="5:5" x14ac:dyDescent="0.45">
      <c r="E103" s="126"/>
    </row>
    <row r="104" spans="5:5" x14ac:dyDescent="0.45">
      <c r="E104" s="126"/>
    </row>
    <row r="105" spans="5:5" x14ac:dyDescent="0.45">
      <c r="E105" s="126"/>
    </row>
    <row r="106" spans="5:5" x14ac:dyDescent="0.45">
      <c r="E106" s="126"/>
    </row>
    <row r="107" spans="5:5" x14ac:dyDescent="0.45">
      <c r="E107" s="126"/>
    </row>
    <row r="108" spans="5:5" x14ac:dyDescent="0.45">
      <c r="E108" s="126"/>
    </row>
    <row r="109" spans="5:5" x14ac:dyDescent="0.45">
      <c r="E109" s="126"/>
    </row>
    <row r="110" spans="5:5" x14ac:dyDescent="0.45">
      <c r="E110" s="126"/>
    </row>
    <row r="111" spans="5:5" x14ac:dyDescent="0.45">
      <c r="E111" s="126"/>
    </row>
    <row r="112" spans="5:5" x14ac:dyDescent="0.45">
      <c r="E112" s="126"/>
    </row>
    <row r="113" spans="5:5" x14ac:dyDescent="0.45">
      <c r="E113" s="126"/>
    </row>
    <row r="114" spans="5:5" x14ac:dyDescent="0.45">
      <c r="E114" s="126"/>
    </row>
    <row r="115" spans="5:5" x14ac:dyDescent="0.45">
      <c r="E115" s="126"/>
    </row>
    <row r="116" spans="5:5" x14ac:dyDescent="0.45">
      <c r="E116" s="126"/>
    </row>
    <row r="117" spans="5:5" x14ac:dyDescent="0.45">
      <c r="E117" s="126"/>
    </row>
    <row r="118" spans="5:5" x14ac:dyDescent="0.45">
      <c r="E118" s="126"/>
    </row>
    <row r="119" spans="5:5" x14ac:dyDescent="0.45">
      <c r="E119" s="126"/>
    </row>
    <row r="120" spans="5:5" x14ac:dyDescent="0.45">
      <c r="E120" s="126"/>
    </row>
    <row r="121" spans="5:5" x14ac:dyDescent="0.45">
      <c r="E121" s="126"/>
    </row>
    <row r="122" spans="5:5" x14ac:dyDescent="0.45">
      <c r="E122" s="126"/>
    </row>
    <row r="123" spans="5:5" x14ac:dyDescent="0.45">
      <c r="E123" s="126"/>
    </row>
    <row r="124" spans="5:5" x14ac:dyDescent="0.45">
      <c r="E124" s="126"/>
    </row>
    <row r="125" spans="5:5" x14ac:dyDescent="0.45">
      <c r="E125" s="126"/>
    </row>
    <row r="126" spans="5:5" x14ac:dyDescent="0.45">
      <c r="E126" s="126"/>
    </row>
    <row r="127" spans="5:5" x14ac:dyDescent="0.45">
      <c r="E127" s="126"/>
    </row>
    <row r="128" spans="5:5" x14ac:dyDescent="0.45">
      <c r="E128" s="126"/>
    </row>
    <row r="129" spans="5:5" x14ac:dyDescent="0.45">
      <c r="E129" s="126"/>
    </row>
    <row r="130" spans="5:5" x14ac:dyDescent="0.45">
      <c r="E130" s="126"/>
    </row>
    <row r="131" spans="5:5" x14ac:dyDescent="0.45">
      <c r="E131" s="126"/>
    </row>
    <row r="132" spans="5:5" x14ac:dyDescent="0.45">
      <c r="E132" s="126"/>
    </row>
    <row r="133" spans="5:5" x14ac:dyDescent="0.45">
      <c r="E133" s="126"/>
    </row>
    <row r="134" spans="5:5" x14ac:dyDescent="0.45">
      <c r="E134" s="126"/>
    </row>
    <row r="135" spans="5:5" x14ac:dyDescent="0.45">
      <c r="E135" s="126"/>
    </row>
    <row r="136" spans="5:5" x14ac:dyDescent="0.45">
      <c r="E136" s="126"/>
    </row>
    <row r="137" spans="5:5" x14ac:dyDescent="0.45">
      <c r="E137" s="126"/>
    </row>
    <row r="138" spans="5:5" x14ac:dyDescent="0.45">
      <c r="E138" s="126"/>
    </row>
    <row r="139" spans="5:5" x14ac:dyDescent="0.45">
      <c r="E139" s="126"/>
    </row>
    <row r="140" spans="5:5" x14ac:dyDescent="0.45">
      <c r="E140" s="126"/>
    </row>
    <row r="141" spans="5:5" x14ac:dyDescent="0.45">
      <c r="E141" s="126"/>
    </row>
    <row r="142" spans="5:5" x14ac:dyDescent="0.45">
      <c r="E142" s="126"/>
    </row>
    <row r="143" spans="5:5" x14ac:dyDescent="0.45">
      <c r="E143" s="126"/>
    </row>
    <row r="144" spans="5:5" x14ac:dyDescent="0.45">
      <c r="E144" s="126"/>
    </row>
    <row r="145" spans="5:5" x14ac:dyDescent="0.45">
      <c r="E145" s="126"/>
    </row>
    <row r="146" spans="5:5" x14ac:dyDescent="0.45">
      <c r="E146" s="126"/>
    </row>
    <row r="147" spans="5:5" x14ac:dyDescent="0.45">
      <c r="E147" s="126"/>
    </row>
    <row r="148" spans="5:5" x14ac:dyDescent="0.45">
      <c r="E148" s="126"/>
    </row>
    <row r="149" spans="5:5" x14ac:dyDescent="0.45">
      <c r="E149" s="126"/>
    </row>
    <row r="150" spans="5:5" x14ac:dyDescent="0.45">
      <c r="E150" s="126"/>
    </row>
    <row r="151" spans="5:5" x14ac:dyDescent="0.45">
      <c r="E151" s="126"/>
    </row>
    <row r="152" spans="5:5" x14ac:dyDescent="0.45">
      <c r="E152" s="126"/>
    </row>
    <row r="153" spans="5:5" x14ac:dyDescent="0.45">
      <c r="E153" s="126"/>
    </row>
    <row r="154" spans="5:5" x14ac:dyDescent="0.45">
      <c r="E154" s="126"/>
    </row>
    <row r="155" spans="5:5" x14ac:dyDescent="0.45">
      <c r="E155" s="126"/>
    </row>
    <row r="156" spans="5:5" x14ac:dyDescent="0.45">
      <c r="E156" s="126"/>
    </row>
    <row r="157" spans="5:5" x14ac:dyDescent="0.45">
      <c r="E157" s="126"/>
    </row>
    <row r="158" spans="5:5" x14ac:dyDescent="0.45">
      <c r="E158" s="126"/>
    </row>
    <row r="159" spans="5:5" x14ac:dyDescent="0.45">
      <c r="E159" s="126"/>
    </row>
    <row r="160" spans="5:5" x14ac:dyDescent="0.45">
      <c r="E160" s="126"/>
    </row>
    <row r="161" spans="5:5" x14ac:dyDescent="0.45">
      <c r="E161" s="126"/>
    </row>
    <row r="162" spans="5:5" x14ac:dyDescent="0.45">
      <c r="E162" s="126"/>
    </row>
    <row r="163" spans="5:5" x14ac:dyDescent="0.45">
      <c r="E163" s="126"/>
    </row>
    <row r="164" spans="5:5" x14ac:dyDescent="0.45">
      <c r="E164" s="126"/>
    </row>
    <row r="165" spans="5:5" x14ac:dyDescent="0.45">
      <c r="E165" s="126"/>
    </row>
    <row r="166" spans="5:5" x14ac:dyDescent="0.45">
      <c r="E166" s="126"/>
    </row>
    <row r="167" spans="5:5" x14ac:dyDescent="0.45">
      <c r="E167" s="126"/>
    </row>
    <row r="168" spans="5:5" x14ac:dyDescent="0.45">
      <c r="E168" s="126"/>
    </row>
    <row r="169" spans="5:5" x14ac:dyDescent="0.45">
      <c r="E169" s="126"/>
    </row>
    <row r="170" spans="5:5" x14ac:dyDescent="0.45">
      <c r="E170" s="126"/>
    </row>
    <row r="171" spans="5:5" x14ac:dyDescent="0.45">
      <c r="E171" s="126"/>
    </row>
    <row r="172" spans="5:5" x14ac:dyDescent="0.45">
      <c r="E172" s="126"/>
    </row>
    <row r="173" spans="5:5" x14ac:dyDescent="0.45">
      <c r="E173" s="126"/>
    </row>
    <row r="174" spans="5:5" x14ac:dyDescent="0.45">
      <c r="E174" s="126"/>
    </row>
    <row r="175" spans="5:5" x14ac:dyDescent="0.45">
      <c r="E175" s="126"/>
    </row>
    <row r="176" spans="5:5" x14ac:dyDescent="0.45">
      <c r="E176" s="126"/>
    </row>
    <row r="177" spans="5:5" x14ac:dyDescent="0.45">
      <c r="E177" s="126"/>
    </row>
    <row r="178" spans="5:5" x14ac:dyDescent="0.45">
      <c r="E178" s="126"/>
    </row>
    <row r="179" spans="5:5" x14ac:dyDescent="0.45">
      <c r="E179" s="126"/>
    </row>
    <row r="180" spans="5:5" x14ac:dyDescent="0.45">
      <c r="E180" s="126"/>
    </row>
    <row r="181" spans="5:5" x14ac:dyDescent="0.45">
      <c r="E181" s="126"/>
    </row>
    <row r="182" spans="5:5" x14ac:dyDescent="0.45">
      <c r="E182" s="126"/>
    </row>
    <row r="183" spans="5:5" x14ac:dyDescent="0.45">
      <c r="E183" s="126"/>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O183"/>
  <sheetViews>
    <sheetView zoomScale="80" zoomScaleNormal="80" workbookViewId="0">
      <selection activeCell="N19" sqref="N19"/>
    </sheetView>
  </sheetViews>
  <sheetFormatPr defaultColWidth="9.1328125" defaultRowHeight="14.25" x14ac:dyDescent="0.45"/>
  <cols>
    <col min="4" max="4" width="27.3984375" customWidth="1"/>
    <col min="5" max="5" width="10.3984375" customWidth="1"/>
    <col min="6" max="6" width="15.265625" customWidth="1"/>
  </cols>
  <sheetData>
    <row r="1" spans="2:15" x14ac:dyDescent="0.45">
      <c r="E1" s="60"/>
    </row>
    <row r="2" spans="2:15" x14ac:dyDescent="0.45">
      <c r="E2" s="60"/>
    </row>
    <row r="3" spans="2:15" x14ac:dyDescent="0.45">
      <c r="E3" s="60"/>
    </row>
    <row r="4" spans="2:15" x14ac:dyDescent="0.45">
      <c r="E4" s="60"/>
    </row>
    <row r="5" spans="2:15" x14ac:dyDescent="0.45">
      <c r="E5" s="60"/>
    </row>
    <row r="6" spans="2:15" x14ac:dyDescent="0.45">
      <c r="B6" s="260" t="s">
        <v>114</v>
      </c>
      <c r="C6" s="261"/>
      <c r="D6" s="261"/>
      <c r="E6" s="261"/>
      <c r="F6" s="261"/>
      <c r="G6" s="261"/>
      <c r="H6" s="261"/>
      <c r="I6" s="262"/>
      <c r="K6" s="344">
        <f ca="1">TODAY()</f>
        <v>43526</v>
      </c>
      <c r="L6" s="345"/>
    </row>
    <row r="7" spans="2:15" x14ac:dyDescent="0.45">
      <c r="B7" s="263"/>
      <c r="C7" s="271"/>
      <c r="D7" s="271"/>
      <c r="E7" s="271"/>
      <c r="F7" s="271"/>
      <c r="G7" s="271"/>
      <c r="H7" s="271"/>
      <c r="I7" s="265"/>
      <c r="K7" s="345"/>
      <c r="L7" s="345"/>
    </row>
    <row r="8" spans="2:15" ht="15.75" x14ac:dyDescent="0.45">
      <c r="B8" s="52"/>
      <c r="C8" s="52"/>
      <c r="D8" s="52"/>
      <c r="E8" s="61"/>
    </row>
    <row r="9" spans="2:15" ht="15.75" x14ac:dyDescent="0.45">
      <c r="B9" s="304" t="s">
        <v>104</v>
      </c>
      <c r="C9" s="305"/>
      <c r="D9" s="305"/>
      <c r="E9" s="305"/>
      <c r="F9" s="305"/>
      <c r="G9" s="305"/>
      <c r="H9" s="305"/>
      <c r="I9" s="306"/>
    </row>
    <row r="10" spans="2:15" ht="15.75" x14ac:dyDescent="0.45">
      <c r="B10" s="52"/>
      <c r="C10" s="52"/>
      <c r="D10" s="52"/>
      <c r="E10" s="61"/>
    </row>
    <row r="11" spans="2:15" ht="15" customHeight="1" x14ac:dyDescent="0.45">
      <c r="B11" s="346" t="s">
        <v>113</v>
      </c>
      <c r="C11" s="347"/>
      <c r="D11" s="347"/>
      <c r="E11" s="347"/>
      <c r="F11" s="347"/>
      <c r="G11" s="347"/>
      <c r="H11" s="347"/>
      <c r="I11" s="348"/>
    </row>
    <row r="12" spans="2:15" x14ac:dyDescent="0.45">
      <c r="B12" s="349"/>
      <c r="C12" s="350"/>
      <c r="D12" s="350"/>
      <c r="E12" s="350"/>
      <c r="F12" s="350"/>
      <c r="G12" s="350"/>
      <c r="H12" s="350"/>
      <c r="I12" s="351"/>
    </row>
    <row r="13" spans="2:15" x14ac:dyDescent="0.45">
      <c r="E13" s="60"/>
    </row>
    <row r="14" spans="2:15" ht="15" customHeight="1" x14ac:dyDescent="0.45">
      <c r="B14" s="352" t="s">
        <v>105</v>
      </c>
      <c r="C14" s="353"/>
      <c r="D14" s="353"/>
      <c r="E14" s="353"/>
      <c r="F14" s="353"/>
      <c r="G14" s="353"/>
      <c r="H14" s="353"/>
      <c r="I14" s="354"/>
    </row>
    <row r="15" spans="2:15" x14ac:dyDescent="0.45">
      <c r="E15" s="60"/>
      <c r="N15" s="131"/>
      <c r="O15" s="126"/>
    </row>
    <row r="16" spans="2:15" ht="14.65" thickBot="1" x14ac:dyDescent="0.5">
      <c r="B16" s="2"/>
      <c r="C16" s="2"/>
      <c r="D16" s="133" t="s">
        <v>144</v>
      </c>
      <c r="E16" s="63" t="s">
        <v>53</v>
      </c>
      <c r="F16" s="134" t="s">
        <v>102</v>
      </c>
      <c r="G16" s="138" t="s">
        <v>16</v>
      </c>
      <c r="N16" s="131"/>
      <c r="O16" s="126"/>
    </row>
    <row r="17" spans="3:15" ht="14.65" thickTop="1" x14ac:dyDescent="0.45">
      <c r="C17" s="19">
        <v>1</v>
      </c>
      <c r="D17" s="65" t="str">
        <f>IF(Setup!D14="",NA(),Setup!D14)</f>
        <v>LUID_743IR9YI</v>
      </c>
      <c r="E17" s="191">
        <v>1</v>
      </c>
      <c r="F17" s="193"/>
      <c r="G17" s="93"/>
      <c r="N17" s="131"/>
      <c r="O17" s="126"/>
    </row>
    <row r="18" spans="3:15" x14ac:dyDescent="0.45">
      <c r="C18" s="19">
        <v>2</v>
      </c>
      <c r="D18" s="65"/>
      <c r="E18" s="191"/>
      <c r="F18" s="193"/>
      <c r="G18" s="38"/>
      <c r="N18" s="131"/>
      <c r="O18" s="126"/>
    </row>
    <row r="19" spans="3:15" x14ac:dyDescent="0.45">
      <c r="C19" s="19">
        <v>3</v>
      </c>
      <c r="D19" s="65"/>
      <c r="E19" s="191"/>
      <c r="F19" s="193"/>
      <c r="G19" s="38"/>
    </row>
    <row r="20" spans="3:15" x14ac:dyDescent="0.45">
      <c r="C20" s="19">
        <v>4</v>
      </c>
      <c r="D20" s="65"/>
      <c r="E20" s="191"/>
      <c r="F20" s="193"/>
      <c r="G20" s="38"/>
    </row>
    <row r="21" spans="3:15" x14ac:dyDescent="0.45">
      <c r="C21" s="19">
        <v>5</v>
      </c>
      <c r="D21" s="65"/>
      <c r="E21" s="191"/>
      <c r="F21" s="193"/>
      <c r="G21" s="38"/>
    </row>
    <row r="22" spans="3:15" x14ac:dyDescent="0.45">
      <c r="C22" s="19">
        <v>6</v>
      </c>
      <c r="D22" s="65"/>
      <c r="E22" s="191"/>
      <c r="F22" s="193"/>
      <c r="G22" s="38"/>
    </row>
    <row r="23" spans="3:15" x14ac:dyDescent="0.45">
      <c r="C23" s="19">
        <v>7</v>
      </c>
      <c r="D23" s="65"/>
      <c r="E23" s="191"/>
      <c r="F23" s="193"/>
      <c r="G23" s="38"/>
    </row>
    <row r="24" spans="3:15" x14ac:dyDescent="0.45">
      <c r="C24" s="19">
        <v>8</v>
      </c>
      <c r="D24" s="65"/>
      <c r="E24" s="191"/>
      <c r="F24" s="193"/>
      <c r="G24" s="38"/>
    </row>
    <row r="25" spans="3:15" x14ac:dyDescent="0.45">
      <c r="C25" s="19">
        <v>9</v>
      </c>
      <c r="D25" s="65"/>
      <c r="E25" s="191"/>
      <c r="F25" s="193"/>
      <c r="G25" s="38"/>
    </row>
    <row r="26" spans="3:15" x14ac:dyDescent="0.45">
      <c r="C26" s="19">
        <v>10</v>
      </c>
      <c r="D26" s="65"/>
      <c r="E26" s="191"/>
      <c r="F26" s="193"/>
      <c r="G26" s="38"/>
    </row>
    <row r="27" spans="3:15" x14ac:dyDescent="0.45">
      <c r="C27" s="19">
        <v>11</v>
      </c>
      <c r="D27" s="65"/>
      <c r="E27" s="191"/>
      <c r="F27" s="193"/>
      <c r="G27" s="38"/>
      <c r="I27" s="330" t="s">
        <v>103</v>
      </c>
      <c r="J27" s="331"/>
      <c r="K27" s="332"/>
    </row>
    <row r="28" spans="3:15" x14ac:dyDescent="0.45">
      <c r="C28" s="19">
        <v>12</v>
      </c>
      <c r="D28" s="65"/>
      <c r="E28" s="191"/>
      <c r="F28" s="193"/>
      <c r="G28" s="38"/>
      <c r="I28" s="333"/>
      <c r="J28" s="267"/>
      <c r="K28" s="334"/>
    </row>
    <row r="29" spans="3:15" x14ac:dyDescent="0.45">
      <c r="C29" s="19">
        <v>13</v>
      </c>
      <c r="D29" s="65"/>
      <c r="E29" s="191"/>
      <c r="F29" s="193"/>
      <c r="G29" s="38"/>
      <c r="I29" s="333"/>
      <c r="J29" s="267"/>
      <c r="K29" s="334"/>
    </row>
    <row r="30" spans="3:15" x14ac:dyDescent="0.45">
      <c r="C30" s="19">
        <v>14</v>
      </c>
      <c r="D30" s="65"/>
      <c r="E30" s="191"/>
      <c r="F30" s="193"/>
      <c r="G30" s="38"/>
      <c r="I30" s="333"/>
      <c r="J30" s="267"/>
      <c r="K30" s="334"/>
    </row>
    <row r="31" spans="3:15" x14ac:dyDescent="0.45">
      <c r="C31" s="19">
        <v>15</v>
      </c>
      <c r="D31" s="65"/>
      <c r="E31" s="191"/>
      <c r="F31" s="193"/>
      <c r="G31" s="38"/>
      <c r="I31" s="333"/>
      <c r="J31" s="267"/>
      <c r="K31" s="334"/>
    </row>
    <row r="32" spans="3:15" x14ac:dyDescent="0.45">
      <c r="C32" s="19">
        <v>16</v>
      </c>
      <c r="D32" s="65"/>
      <c r="E32" s="191"/>
      <c r="F32" s="193"/>
      <c r="G32" s="38"/>
      <c r="I32" s="333"/>
      <c r="J32" s="267"/>
      <c r="K32" s="334"/>
    </row>
    <row r="33" spans="2:11" x14ac:dyDescent="0.45">
      <c r="C33" s="19">
        <v>17</v>
      </c>
      <c r="D33" s="65"/>
      <c r="E33" s="191"/>
      <c r="F33" s="193"/>
      <c r="G33" s="38"/>
      <c r="I33" s="335"/>
      <c r="J33" s="336"/>
      <c r="K33" s="337"/>
    </row>
    <row r="34" spans="2:11" x14ac:dyDescent="0.45">
      <c r="C34" s="19">
        <v>18</v>
      </c>
      <c r="D34" s="65"/>
      <c r="E34" s="191"/>
      <c r="F34" s="193"/>
      <c r="G34" s="38"/>
    </row>
    <row r="35" spans="2:11" x14ac:dyDescent="0.45">
      <c r="C35" s="19">
        <v>19</v>
      </c>
      <c r="D35" s="65"/>
      <c r="E35" s="191"/>
      <c r="F35" s="193"/>
      <c r="G35" s="38"/>
    </row>
    <row r="36" spans="2:11" x14ac:dyDescent="0.45">
      <c r="C36" s="19">
        <v>20</v>
      </c>
      <c r="D36" s="65"/>
      <c r="E36" s="191"/>
      <c r="F36" s="193"/>
      <c r="G36" s="38"/>
    </row>
    <row r="37" spans="2:11" x14ac:dyDescent="0.45">
      <c r="C37" s="19">
        <v>21</v>
      </c>
      <c r="D37" s="65"/>
      <c r="E37" s="191"/>
      <c r="F37" s="193"/>
      <c r="G37" s="38"/>
    </row>
    <row r="38" spans="2:11" x14ac:dyDescent="0.45">
      <c r="C38" s="19">
        <v>22</v>
      </c>
      <c r="D38" s="65"/>
      <c r="E38" s="191"/>
      <c r="F38" s="193"/>
      <c r="G38" s="38"/>
    </row>
    <row r="39" spans="2:11" x14ac:dyDescent="0.45">
      <c r="C39" s="19">
        <v>23</v>
      </c>
      <c r="D39" s="65"/>
      <c r="E39" s="191"/>
      <c r="F39" s="193"/>
      <c r="G39" s="38"/>
    </row>
    <row r="40" spans="2:11" x14ac:dyDescent="0.45">
      <c r="C40" s="19">
        <v>24</v>
      </c>
      <c r="D40" s="65"/>
      <c r="E40" s="191"/>
      <c r="F40" s="193"/>
      <c r="G40" s="38"/>
    </row>
    <row r="41" spans="2:11" x14ac:dyDescent="0.45">
      <c r="C41" s="19">
        <v>25</v>
      </c>
      <c r="D41" s="65"/>
      <c r="E41" s="191"/>
      <c r="F41" s="193"/>
      <c r="G41" s="38"/>
    </row>
    <row r="42" spans="2:11" x14ac:dyDescent="0.45">
      <c r="C42" s="19">
        <v>26</v>
      </c>
      <c r="D42" s="65"/>
      <c r="E42" s="191"/>
      <c r="F42" s="193"/>
      <c r="G42" s="38"/>
    </row>
    <row r="43" spans="2:11" x14ac:dyDescent="0.45">
      <c r="C43" s="19">
        <v>27</v>
      </c>
      <c r="D43" s="65"/>
      <c r="E43" s="191"/>
      <c r="F43" s="193"/>
      <c r="G43" s="38"/>
    </row>
    <row r="44" spans="2:11" x14ac:dyDescent="0.45">
      <c r="C44" s="19">
        <v>28</v>
      </c>
      <c r="D44" s="65"/>
      <c r="E44" s="191"/>
      <c r="F44" s="193"/>
      <c r="G44" s="38"/>
    </row>
    <row r="45" spans="2:11" x14ac:dyDescent="0.45">
      <c r="C45" s="19">
        <v>29</v>
      </c>
      <c r="D45" s="65"/>
      <c r="E45" s="191"/>
      <c r="F45" s="193"/>
      <c r="G45" s="38"/>
    </row>
    <row r="46" spans="2:11" x14ac:dyDescent="0.45">
      <c r="B46" s="20"/>
      <c r="C46" s="19">
        <v>30</v>
      </c>
      <c r="D46" s="66"/>
      <c r="E46" s="192"/>
      <c r="F46" s="194"/>
      <c r="G46" s="41"/>
    </row>
    <row r="47" spans="2:11" x14ac:dyDescent="0.45">
      <c r="E47" s="126"/>
    </row>
    <row r="48" spans="2:11" x14ac:dyDescent="0.45">
      <c r="E48" s="126"/>
    </row>
    <row r="49" spans="3:8" x14ac:dyDescent="0.45">
      <c r="E49" s="126"/>
    </row>
    <row r="50" spans="3:8" ht="15" customHeight="1" x14ac:dyDescent="0.45">
      <c r="C50" s="251" t="s">
        <v>106</v>
      </c>
      <c r="D50" s="252"/>
      <c r="E50" s="252"/>
      <c r="F50" s="252"/>
      <c r="G50" s="252"/>
      <c r="H50" s="253"/>
    </row>
    <row r="51" spans="3:8" ht="15" customHeight="1" x14ac:dyDescent="0.45">
      <c r="C51" s="254"/>
      <c r="D51" s="255"/>
      <c r="E51" s="255"/>
      <c r="F51" s="255"/>
      <c r="G51" s="255"/>
      <c r="H51" s="256"/>
    </row>
    <row r="52" spans="3:8" ht="15" customHeight="1" x14ac:dyDescent="0.45">
      <c r="C52" s="254"/>
      <c r="D52" s="255"/>
      <c r="E52" s="255"/>
      <c r="F52" s="255"/>
      <c r="G52" s="255"/>
      <c r="H52" s="256"/>
    </row>
    <row r="53" spans="3:8" ht="15" customHeight="1" x14ac:dyDescent="0.45">
      <c r="C53" s="254"/>
      <c r="D53" s="255"/>
      <c r="E53" s="255"/>
      <c r="F53" s="255"/>
      <c r="G53" s="255"/>
      <c r="H53" s="256"/>
    </row>
    <row r="54" spans="3:8" ht="15" customHeight="1" x14ac:dyDescent="0.45">
      <c r="C54" s="257"/>
      <c r="D54" s="258"/>
      <c r="E54" s="258"/>
      <c r="F54" s="258"/>
      <c r="G54" s="258"/>
      <c r="H54" s="259"/>
    </row>
    <row r="55" spans="3:8" x14ac:dyDescent="0.45">
      <c r="E55" s="126"/>
    </row>
    <row r="56" spans="3:8" x14ac:dyDescent="0.45">
      <c r="E56" s="126"/>
    </row>
    <row r="57" spans="3:8" x14ac:dyDescent="0.45">
      <c r="E57" s="126"/>
    </row>
    <row r="58" spans="3:8" x14ac:dyDescent="0.45">
      <c r="E58" s="126"/>
    </row>
    <row r="59" spans="3:8" x14ac:dyDescent="0.45">
      <c r="E59" s="126"/>
    </row>
    <row r="60" spans="3:8" x14ac:dyDescent="0.45">
      <c r="E60" s="126"/>
    </row>
    <row r="61" spans="3:8" x14ac:dyDescent="0.45">
      <c r="E61" s="126"/>
    </row>
    <row r="62" spans="3:8" x14ac:dyDescent="0.45">
      <c r="E62" s="126"/>
    </row>
    <row r="63" spans="3:8" x14ac:dyDescent="0.45">
      <c r="E63" s="126"/>
    </row>
    <row r="64" spans="3:8" x14ac:dyDescent="0.45">
      <c r="E64" s="126"/>
    </row>
    <row r="65" spans="5:5" x14ac:dyDescent="0.45">
      <c r="E65" s="126"/>
    </row>
    <row r="66" spans="5:5" x14ac:dyDescent="0.45">
      <c r="E66" s="126"/>
    </row>
    <row r="67" spans="5:5" x14ac:dyDescent="0.45">
      <c r="E67" s="126"/>
    </row>
    <row r="68" spans="5:5" x14ac:dyDescent="0.45">
      <c r="E68" s="126"/>
    </row>
    <row r="69" spans="5:5" x14ac:dyDescent="0.45">
      <c r="E69" s="126"/>
    </row>
    <row r="70" spans="5:5" x14ac:dyDescent="0.45">
      <c r="E70" s="126"/>
    </row>
    <row r="71" spans="5:5" x14ac:dyDescent="0.45">
      <c r="E71" s="126"/>
    </row>
    <row r="72" spans="5:5" x14ac:dyDescent="0.45">
      <c r="E72" s="126"/>
    </row>
    <row r="73" spans="5:5" x14ac:dyDescent="0.45">
      <c r="E73" s="126"/>
    </row>
    <row r="74" spans="5:5" x14ac:dyDescent="0.45">
      <c r="E74" s="126"/>
    </row>
    <row r="75" spans="5:5" x14ac:dyDescent="0.45">
      <c r="E75" s="126"/>
    </row>
    <row r="76" spans="5:5" x14ac:dyDescent="0.45">
      <c r="E76" s="126"/>
    </row>
    <row r="77" spans="5:5" x14ac:dyDescent="0.45">
      <c r="E77" s="126"/>
    </row>
    <row r="78" spans="5:5" x14ac:dyDescent="0.45">
      <c r="E78" s="126"/>
    </row>
    <row r="79" spans="5:5" x14ac:dyDescent="0.45">
      <c r="E79" s="126"/>
    </row>
    <row r="80" spans="5:5" x14ac:dyDescent="0.45">
      <c r="E80" s="126"/>
    </row>
    <row r="81" spans="5:5" x14ac:dyDescent="0.45">
      <c r="E81" s="126"/>
    </row>
    <row r="82" spans="5:5" x14ac:dyDescent="0.45">
      <c r="E82" s="126"/>
    </row>
    <row r="83" spans="5:5" x14ac:dyDescent="0.45">
      <c r="E83" s="126"/>
    </row>
    <row r="84" spans="5:5" x14ac:dyDescent="0.45">
      <c r="E84" s="126"/>
    </row>
    <row r="85" spans="5:5" x14ac:dyDescent="0.45">
      <c r="E85" s="126"/>
    </row>
    <row r="86" spans="5:5" x14ac:dyDescent="0.45">
      <c r="E86" s="126"/>
    </row>
    <row r="87" spans="5:5" x14ac:dyDescent="0.45">
      <c r="E87" s="126"/>
    </row>
    <row r="88" spans="5:5" x14ac:dyDescent="0.45">
      <c r="E88" s="126"/>
    </row>
    <row r="89" spans="5:5" x14ac:dyDescent="0.45">
      <c r="E89" s="126"/>
    </row>
    <row r="90" spans="5:5" x14ac:dyDescent="0.45">
      <c r="E90" s="126"/>
    </row>
    <row r="91" spans="5:5" x14ac:dyDescent="0.45">
      <c r="E91" s="126"/>
    </row>
    <row r="92" spans="5:5" x14ac:dyDescent="0.45">
      <c r="E92" s="126"/>
    </row>
    <row r="93" spans="5:5" x14ac:dyDescent="0.45">
      <c r="E93" s="126"/>
    </row>
    <row r="94" spans="5:5" x14ac:dyDescent="0.45">
      <c r="E94" s="126"/>
    </row>
    <row r="95" spans="5:5" x14ac:dyDescent="0.45">
      <c r="E95" s="126"/>
    </row>
    <row r="96" spans="5:5" x14ac:dyDescent="0.45">
      <c r="E96" s="126"/>
    </row>
    <row r="97" spans="5:5" x14ac:dyDescent="0.45">
      <c r="E97" s="126"/>
    </row>
    <row r="98" spans="5:5" x14ac:dyDescent="0.45">
      <c r="E98" s="126"/>
    </row>
    <row r="99" spans="5:5" x14ac:dyDescent="0.45">
      <c r="E99" s="126"/>
    </row>
    <row r="100" spans="5:5" x14ac:dyDescent="0.45">
      <c r="E100" s="126"/>
    </row>
    <row r="101" spans="5:5" x14ac:dyDescent="0.45">
      <c r="E101" s="126"/>
    </row>
    <row r="102" spans="5:5" x14ac:dyDescent="0.45">
      <c r="E102" s="126"/>
    </row>
    <row r="103" spans="5:5" x14ac:dyDescent="0.45">
      <c r="E103" s="126"/>
    </row>
    <row r="104" spans="5:5" x14ac:dyDescent="0.45">
      <c r="E104" s="126"/>
    </row>
    <row r="105" spans="5:5" x14ac:dyDescent="0.45">
      <c r="E105" s="126"/>
    </row>
    <row r="106" spans="5:5" x14ac:dyDescent="0.45">
      <c r="E106" s="126"/>
    </row>
    <row r="107" spans="5:5" x14ac:dyDescent="0.45">
      <c r="E107" s="126"/>
    </row>
    <row r="108" spans="5:5" x14ac:dyDescent="0.45">
      <c r="E108" s="126"/>
    </row>
    <row r="109" spans="5:5" x14ac:dyDescent="0.45">
      <c r="E109" s="126"/>
    </row>
    <row r="110" spans="5:5" x14ac:dyDescent="0.45">
      <c r="E110" s="126"/>
    </row>
    <row r="111" spans="5:5" x14ac:dyDescent="0.45">
      <c r="E111" s="126"/>
    </row>
    <row r="112" spans="5:5" x14ac:dyDescent="0.45">
      <c r="E112" s="126"/>
    </row>
    <row r="113" spans="5:5" x14ac:dyDescent="0.45">
      <c r="E113" s="126"/>
    </row>
    <row r="114" spans="5:5" x14ac:dyDescent="0.45">
      <c r="E114" s="126"/>
    </row>
    <row r="115" spans="5:5" x14ac:dyDescent="0.45">
      <c r="E115" s="126"/>
    </row>
    <row r="116" spans="5:5" x14ac:dyDescent="0.45">
      <c r="E116" s="126"/>
    </row>
    <row r="117" spans="5:5" x14ac:dyDescent="0.45">
      <c r="E117" s="126"/>
    </row>
    <row r="118" spans="5:5" x14ac:dyDescent="0.45">
      <c r="E118" s="126"/>
    </row>
    <row r="119" spans="5:5" x14ac:dyDescent="0.45">
      <c r="E119" s="126"/>
    </row>
    <row r="120" spans="5:5" x14ac:dyDescent="0.45">
      <c r="E120" s="126"/>
    </row>
    <row r="121" spans="5:5" x14ac:dyDescent="0.45">
      <c r="E121" s="126"/>
    </row>
    <row r="122" spans="5:5" x14ac:dyDescent="0.45">
      <c r="E122" s="126"/>
    </row>
    <row r="123" spans="5:5" x14ac:dyDescent="0.45">
      <c r="E123" s="126"/>
    </row>
    <row r="124" spans="5:5" x14ac:dyDescent="0.45">
      <c r="E124" s="126"/>
    </row>
    <row r="125" spans="5:5" x14ac:dyDescent="0.45">
      <c r="E125" s="126"/>
    </row>
    <row r="126" spans="5:5" x14ac:dyDescent="0.45">
      <c r="E126" s="126"/>
    </row>
    <row r="127" spans="5:5" x14ac:dyDescent="0.45">
      <c r="E127" s="126"/>
    </row>
    <row r="128" spans="5:5" x14ac:dyDescent="0.45">
      <c r="E128" s="126"/>
    </row>
    <row r="129" spans="5:5" x14ac:dyDescent="0.45">
      <c r="E129" s="126"/>
    </row>
    <row r="130" spans="5:5" x14ac:dyDescent="0.45">
      <c r="E130" s="126"/>
    </row>
    <row r="131" spans="5:5" x14ac:dyDescent="0.45">
      <c r="E131" s="126"/>
    </row>
    <row r="132" spans="5:5" x14ac:dyDescent="0.45">
      <c r="E132" s="126"/>
    </row>
    <row r="133" spans="5:5" x14ac:dyDescent="0.45">
      <c r="E133" s="126"/>
    </row>
    <row r="134" spans="5:5" x14ac:dyDescent="0.45">
      <c r="E134" s="126"/>
    </row>
    <row r="135" spans="5:5" x14ac:dyDescent="0.45">
      <c r="E135" s="126"/>
    </row>
    <row r="136" spans="5:5" x14ac:dyDescent="0.45">
      <c r="E136" s="126"/>
    </row>
    <row r="137" spans="5:5" x14ac:dyDescent="0.45">
      <c r="E137" s="126"/>
    </row>
    <row r="138" spans="5:5" x14ac:dyDescent="0.45">
      <c r="E138" s="126"/>
    </row>
    <row r="139" spans="5:5" x14ac:dyDescent="0.45">
      <c r="E139" s="126"/>
    </row>
    <row r="140" spans="5:5" x14ac:dyDescent="0.45">
      <c r="E140" s="126"/>
    </row>
    <row r="141" spans="5:5" x14ac:dyDescent="0.45">
      <c r="E141" s="126"/>
    </row>
    <row r="142" spans="5:5" x14ac:dyDescent="0.45">
      <c r="E142" s="126"/>
    </row>
    <row r="143" spans="5:5" x14ac:dyDescent="0.45">
      <c r="E143" s="126"/>
    </row>
    <row r="144" spans="5:5" x14ac:dyDescent="0.45">
      <c r="E144" s="126"/>
    </row>
    <row r="145" spans="5:5" x14ac:dyDescent="0.45">
      <c r="E145" s="126"/>
    </row>
    <row r="146" spans="5:5" x14ac:dyDescent="0.45">
      <c r="E146" s="126"/>
    </row>
    <row r="147" spans="5:5" x14ac:dyDescent="0.45">
      <c r="E147" s="126"/>
    </row>
    <row r="148" spans="5:5" x14ac:dyDescent="0.45">
      <c r="E148" s="126"/>
    </row>
    <row r="149" spans="5:5" x14ac:dyDescent="0.45">
      <c r="E149" s="126"/>
    </row>
    <row r="150" spans="5:5" x14ac:dyDescent="0.45">
      <c r="E150" s="126"/>
    </row>
    <row r="151" spans="5:5" x14ac:dyDescent="0.45">
      <c r="E151" s="126"/>
    </row>
    <row r="152" spans="5:5" x14ac:dyDescent="0.45">
      <c r="E152" s="126"/>
    </row>
    <row r="153" spans="5:5" x14ac:dyDescent="0.45">
      <c r="E153" s="126"/>
    </row>
    <row r="154" spans="5:5" x14ac:dyDescent="0.45">
      <c r="E154" s="126"/>
    </row>
    <row r="155" spans="5:5" x14ac:dyDescent="0.45">
      <c r="E155" s="126"/>
    </row>
    <row r="156" spans="5:5" x14ac:dyDescent="0.45">
      <c r="E156" s="126"/>
    </row>
    <row r="157" spans="5:5" x14ac:dyDescent="0.45">
      <c r="E157" s="126"/>
    </row>
    <row r="158" spans="5:5" x14ac:dyDescent="0.45">
      <c r="E158" s="126"/>
    </row>
    <row r="159" spans="5:5" x14ac:dyDescent="0.45">
      <c r="E159" s="126"/>
    </row>
    <row r="160" spans="5:5" x14ac:dyDescent="0.45">
      <c r="E160" s="126"/>
    </row>
    <row r="161" spans="5:5" x14ac:dyDescent="0.45">
      <c r="E161" s="126"/>
    </row>
    <row r="162" spans="5:5" x14ac:dyDescent="0.45">
      <c r="E162" s="126"/>
    </row>
    <row r="163" spans="5:5" x14ac:dyDescent="0.45">
      <c r="E163" s="126"/>
    </row>
    <row r="164" spans="5:5" x14ac:dyDescent="0.45">
      <c r="E164" s="126"/>
    </row>
    <row r="165" spans="5:5" x14ac:dyDescent="0.45">
      <c r="E165" s="126"/>
    </row>
    <row r="166" spans="5:5" x14ac:dyDescent="0.45">
      <c r="E166" s="126"/>
    </row>
    <row r="167" spans="5:5" x14ac:dyDescent="0.45">
      <c r="E167" s="126"/>
    </row>
    <row r="168" spans="5:5" x14ac:dyDescent="0.45">
      <c r="E168" s="126"/>
    </row>
    <row r="169" spans="5:5" x14ac:dyDescent="0.45">
      <c r="E169" s="126"/>
    </row>
    <row r="170" spans="5:5" x14ac:dyDescent="0.45">
      <c r="E170" s="126"/>
    </row>
    <row r="171" spans="5:5" x14ac:dyDescent="0.45">
      <c r="E171" s="126"/>
    </row>
    <row r="172" spans="5:5" x14ac:dyDescent="0.45">
      <c r="E172" s="126"/>
    </row>
    <row r="173" spans="5:5" x14ac:dyDescent="0.45">
      <c r="E173" s="126"/>
    </row>
    <row r="174" spans="5:5" x14ac:dyDescent="0.45">
      <c r="E174" s="126"/>
    </row>
    <row r="175" spans="5:5" x14ac:dyDescent="0.45">
      <c r="E175" s="126"/>
    </row>
    <row r="176" spans="5:5" x14ac:dyDescent="0.45">
      <c r="E176" s="126"/>
    </row>
    <row r="177" spans="5:5" x14ac:dyDescent="0.45">
      <c r="E177" s="126"/>
    </row>
    <row r="178" spans="5:5" x14ac:dyDescent="0.45">
      <c r="E178" s="126"/>
    </row>
    <row r="179" spans="5:5" x14ac:dyDescent="0.45">
      <c r="E179" s="126"/>
    </row>
    <row r="180" spans="5:5" x14ac:dyDescent="0.45">
      <c r="E180" s="126"/>
    </row>
    <row r="181" spans="5:5" x14ac:dyDescent="0.45">
      <c r="E181" s="126"/>
    </row>
    <row r="182" spans="5:5" x14ac:dyDescent="0.45">
      <c r="E182" s="126"/>
    </row>
    <row r="183" spans="5:5" x14ac:dyDescent="0.45">
      <c r="E183" s="126"/>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4"/>
  <sheetViews>
    <sheetView zoomScale="80" zoomScaleNormal="80" workbookViewId="0">
      <selection activeCell="K31" sqref="K31"/>
    </sheetView>
  </sheetViews>
  <sheetFormatPr defaultRowHeight="14.25" x14ac:dyDescent="0.45"/>
  <cols>
    <col min="2" max="2" width="34.59765625" bestFit="1" customWidth="1"/>
    <col min="3" max="3" width="85.73046875" customWidth="1"/>
    <col min="4" max="4" width="9.3984375" bestFit="1" customWidth="1"/>
    <col min="5" max="5" width="13.86328125" bestFit="1" customWidth="1"/>
    <col min="10" max="10" width="20.1328125" customWidth="1"/>
    <col min="11" max="11" width="83.86328125" customWidth="1"/>
  </cols>
  <sheetData>
    <row r="2" spans="2:14" x14ac:dyDescent="0.45">
      <c r="D2" s="60"/>
    </row>
    <row r="3" spans="2:14" x14ac:dyDescent="0.45">
      <c r="D3" s="60"/>
    </row>
    <row r="4" spans="2:14" x14ac:dyDescent="0.45">
      <c r="D4" s="60"/>
    </row>
    <row r="5" spans="2:14" x14ac:dyDescent="0.45">
      <c r="D5" s="60"/>
    </row>
    <row r="6" spans="2:14" ht="15" customHeight="1" x14ac:dyDescent="0.45">
      <c r="B6" s="251" t="s">
        <v>72</v>
      </c>
      <c r="C6" s="252"/>
      <c r="D6" s="252"/>
      <c r="E6" s="252"/>
      <c r="F6" s="252"/>
      <c r="G6" s="252"/>
      <c r="H6" s="253"/>
      <c r="I6" s="70"/>
      <c r="L6" s="70"/>
      <c r="M6" s="70"/>
      <c r="N6" s="70"/>
    </row>
    <row r="7" spans="2:14" ht="15" customHeight="1" x14ac:dyDescent="0.45">
      <c r="B7" s="254"/>
      <c r="C7" s="255"/>
      <c r="D7" s="255"/>
      <c r="E7" s="255"/>
      <c r="F7" s="255"/>
      <c r="G7" s="255"/>
      <c r="H7" s="256"/>
      <c r="I7" s="70"/>
      <c r="L7" s="70"/>
      <c r="M7" s="70"/>
      <c r="N7" s="70"/>
    </row>
    <row r="8" spans="2:14" ht="15.75" customHeight="1" x14ac:dyDescent="0.45">
      <c r="B8" s="257"/>
      <c r="C8" s="258"/>
      <c r="D8" s="258"/>
      <c r="E8" s="258"/>
      <c r="F8" s="258"/>
      <c r="G8" s="258"/>
      <c r="H8" s="259"/>
    </row>
    <row r="10" spans="2:14" ht="15.75" customHeight="1" x14ac:dyDescent="0.45">
      <c r="B10" s="355" t="s">
        <v>71</v>
      </c>
      <c r="C10" s="356"/>
      <c r="D10" s="356"/>
      <c r="E10" s="356"/>
      <c r="F10" s="356"/>
      <c r="G10" s="356"/>
      <c r="H10" s="357"/>
      <c r="I10" s="52"/>
    </row>
    <row r="11" spans="2:14" ht="15.75" x14ac:dyDescent="0.45">
      <c r="B11" s="358"/>
      <c r="C11" s="359"/>
      <c r="D11" s="359"/>
      <c r="E11" s="359"/>
      <c r="F11" s="359"/>
      <c r="G11" s="359"/>
      <c r="H11" s="360"/>
      <c r="I11" s="52"/>
    </row>
    <row r="12" spans="2:14" ht="15.75" x14ac:dyDescent="0.45">
      <c r="D12" s="52"/>
      <c r="E12" s="52"/>
      <c r="F12" s="52"/>
      <c r="G12" s="52"/>
      <c r="H12" s="52"/>
      <c r="I12" s="52"/>
    </row>
    <row r="13" spans="2:14" ht="16.5" customHeight="1" thickBot="1" x14ac:dyDescent="0.5">
      <c r="B13" s="67" t="s">
        <v>0</v>
      </c>
      <c r="C13" s="68" t="s">
        <v>53</v>
      </c>
      <c r="D13" s="52"/>
      <c r="E13" s="251" t="s">
        <v>82</v>
      </c>
      <c r="F13" s="252"/>
      <c r="G13" s="252"/>
      <c r="H13" s="253"/>
      <c r="I13" s="77"/>
    </row>
    <row r="14" spans="2:14" ht="16.5" customHeight="1" thickTop="1" x14ac:dyDescent="0.45">
      <c r="B14" s="65" t="s">
        <v>59</v>
      </c>
      <c r="C14" s="195" t="str">
        <f>Scope</f>
        <v>rs-test</v>
      </c>
      <c r="D14" s="52"/>
      <c r="E14" s="254"/>
      <c r="F14" s="255"/>
      <c r="G14" s="255"/>
      <c r="H14" s="256"/>
      <c r="I14" s="77"/>
    </row>
    <row r="15" spans="2:14" ht="15.75" customHeight="1" x14ac:dyDescent="0.45">
      <c r="B15" s="65" t="s">
        <v>60</v>
      </c>
      <c r="C15" s="196" t="s">
        <v>145</v>
      </c>
      <c r="D15" s="52"/>
      <c r="E15" s="254"/>
      <c r="F15" s="255"/>
      <c r="G15" s="255"/>
      <c r="H15" s="256"/>
      <c r="I15" s="77"/>
    </row>
    <row r="16" spans="2:14" ht="15.75" customHeight="1" x14ac:dyDescent="0.45">
      <c r="B16" s="65" t="s">
        <v>61</v>
      </c>
      <c r="C16" s="65" t="s">
        <v>62</v>
      </c>
      <c r="D16" s="52"/>
      <c r="E16" s="254"/>
      <c r="F16" s="255"/>
      <c r="G16" s="255"/>
      <c r="H16" s="256"/>
      <c r="I16" s="77"/>
    </row>
    <row r="17" spans="2:10" ht="15.75" customHeight="1" x14ac:dyDescent="0.45">
      <c r="B17" s="65" t="s">
        <v>63</v>
      </c>
      <c r="C17" s="184" t="str">
        <f t="array" ref="C17">TRANSPOSE(IF(ClassificationKeys="","",ClassificationKeys))</f>
        <v>Instrument/rs-test/rs-instrument-prop3</v>
      </c>
      <c r="D17" s="52"/>
      <c r="E17" s="254"/>
      <c r="F17" s="255"/>
      <c r="G17" s="255"/>
      <c r="H17" s="256"/>
      <c r="I17" s="77"/>
      <c r="J17" s="96"/>
    </row>
    <row r="18" spans="2:10" ht="15.75" customHeight="1" x14ac:dyDescent="0.45">
      <c r="B18" s="65" t="s">
        <v>14</v>
      </c>
      <c r="C18" s="197" t="s">
        <v>64</v>
      </c>
      <c r="D18" s="52"/>
      <c r="E18" s="254"/>
      <c r="F18" s="255"/>
      <c r="G18" s="255"/>
      <c r="H18" s="256"/>
      <c r="I18" s="52"/>
      <c r="J18" s="78"/>
    </row>
    <row r="19" spans="2:10" ht="15.75" customHeight="1" x14ac:dyDescent="0.45">
      <c r="B19" s="66" t="s">
        <v>65</v>
      </c>
      <c r="C19" s="69">
        <f ca="1">AnalyticsStoreDate</f>
        <v>43526</v>
      </c>
      <c r="D19" s="52"/>
      <c r="E19" s="257"/>
      <c r="F19" s="258"/>
      <c r="G19" s="258"/>
      <c r="H19" s="259"/>
      <c r="I19" s="52"/>
    </row>
    <row r="20" spans="2:10" ht="15.75" x14ac:dyDescent="0.45">
      <c r="D20" s="52"/>
      <c r="E20" s="52"/>
      <c r="F20" s="52"/>
      <c r="G20" s="52"/>
      <c r="H20" s="52"/>
      <c r="I20" s="52"/>
    </row>
    <row r="21" spans="2:10" ht="15.75" x14ac:dyDescent="0.45">
      <c r="D21" s="52"/>
      <c r="E21" s="52"/>
      <c r="F21" s="52"/>
      <c r="G21" s="52"/>
      <c r="H21" s="52"/>
      <c r="I21" s="52"/>
    </row>
    <row r="22" spans="2:10" ht="15.75" customHeight="1" x14ac:dyDescent="0.45">
      <c r="B22" s="307" t="s">
        <v>70</v>
      </c>
      <c r="C22" s="308"/>
      <c r="D22" s="308"/>
      <c r="E22" s="309"/>
      <c r="F22" s="58"/>
      <c r="G22" s="58"/>
      <c r="H22" s="52"/>
      <c r="I22" s="52"/>
    </row>
    <row r="23" spans="2:10" ht="15.75" customHeight="1" x14ac:dyDescent="0.45">
      <c r="B23" s="310"/>
      <c r="C23" s="311"/>
      <c r="D23" s="311"/>
      <c r="E23" s="312"/>
      <c r="F23" s="58"/>
      <c r="G23" s="58"/>
      <c r="H23" s="52"/>
      <c r="I23" s="52"/>
    </row>
    <row r="24" spans="2:10" ht="15.75" x14ac:dyDescent="0.45">
      <c r="B24" s="313"/>
      <c r="C24" s="314"/>
      <c r="D24" s="314"/>
      <c r="E24" s="315"/>
      <c r="F24" s="58"/>
      <c r="G24" s="58"/>
      <c r="H24" s="52"/>
      <c r="I24" s="52"/>
    </row>
    <row r="25" spans="2:10" ht="15.75" x14ac:dyDescent="0.45">
      <c r="D25" s="52"/>
      <c r="E25" s="52"/>
      <c r="F25" s="52"/>
      <c r="G25" s="52"/>
      <c r="H25" s="52"/>
      <c r="I25" s="52"/>
    </row>
    <row r="26" spans="2:10" ht="15.75" x14ac:dyDescent="0.45">
      <c r="B26" s="132" t="s">
        <v>73</v>
      </c>
      <c r="D26" s="52"/>
      <c r="E26" s="52"/>
      <c r="F26" s="52"/>
      <c r="G26" s="52"/>
      <c r="H26" s="52"/>
      <c r="I26" s="52"/>
    </row>
    <row r="27" spans="2:10" ht="15.75" x14ac:dyDescent="0.45">
      <c r="G27" s="52"/>
      <c r="H27" s="52"/>
      <c r="I27" s="52"/>
    </row>
    <row r="28" spans="2:10" ht="15.75" x14ac:dyDescent="0.45">
      <c r="B28" s="13"/>
      <c r="C28" s="13"/>
      <c r="D28" s="13"/>
      <c r="E28" s="13"/>
      <c r="G28" s="52"/>
      <c r="H28" s="52"/>
      <c r="I28" s="52"/>
    </row>
    <row r="29" spans="2:10" ht="15.75" x14ac:dyDescent="0.45">
      <c r="B29" s="13"/>
      <c r="C29" s="13"/>
      <c r="D29" s="13"/>
      <c r="E29" s="13"/>
      <c r="G29" s="52"/>
      <c r="H29" s="52"/>
      <c r="I29" s="52"/>
    </row>
    <row r="30" spans="2:10" ht="15.75" x14ac:dyDescent="0.45">
      <c r="B30" s="13"/>
      <c r="C30" s="13"/>
      <c r="D30" s="13"/>
      <c r="E30" s="13"/>
      <c r="G30" s="52"/>
      <c r="H30" s="52"/>
      <c r="I30" s="52"/>
    </row>
    <row r="31" spans="2:10" x14ac:dyDescent="0.45">
      <c r="B31" s="13"/>
      <c r="C31" s="13"/>
      <c r="D31" s="13"/>
      <c r="E31" s="13"/>
    </row>
    <row r="32" spans="2:10" x14ac:dyDescent="0.45">
      <c r="B32" s="13"/>
      <c r="C32" s="13"/>
      <c r="D32" s="13"/>
      <c r="E32" s="13"/>
    </row>
    <row r="34" ht="15" customHeight="1" x14ac:dyDescent="0.45"/>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53</vt:i4>
      </vt:variant>
    </vt:vector>
  </HeadingPairs>
  <TitlesOfParts>
    <vt:vector size="70" baseType="lpstr">
      <vt:lpstr>LICENSE</vt:lpstr>
      <vt:lpstr>Setup</vt:lpstr>
      <vt:lpstr>Define New Securities</vt:lpstr>
      <vt:lpstr>Define Portfolio</vt:lpstr>
      <vt:lpstr>Define Classifications</vt:lpstr>
      <vt:lpstr>Apply classifications to sec</vt:lpstr>
      <vt:lpstr>Master Securities View</vt:lpstr>
      <vt:lpstr>Sheet2</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Sheet2!fbnPropertiesAdd_Template_ref</vt:lpstr>
      <vt:lpstr>'Define New Securities'!fbnSecurities_Template_ref</vt:lpstr>
      <vt:lpstr>'Master Securities View'!fbnSecurities_Template_ref</vt:lpstr>
      <vt:lpstr>Sheet2!fbnSecurities_Template_ref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cp:lastModifiedBy>
  <dcterms:created xsi:type="dcterms:W3CDTF">2018-03-27T09:49:44Z</dcterms:created>
  <dcterms:modified xsi:type="dcterms:W3CDTF">2019-03-02T17:31:50Z</dcterms:modified>
</cp:coreProperties>
</file>